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heusGonçalves\Downloads\"/>
    </mc:Choice>
  </mc:AlternateContent>
  <xr:revisionPtr revIDLastSave="0" documentId="8_{64E6C8D9-28ED-4D7B-9A33-EDF354AD790B}" xr6:coauthVersionLast="47" xr6:coauthVersionMax="47" xr10:uidLastSave="{00000000-0000-0000-0000-000000000000}"/>
  <bookViews>
    <workbookView xWindow="-120" yWindow="-120" windowWidth="20730" windowHeight="11040" xr2:uid="{6F77ED0E-22FB-468C-8CD2-1F6FEE820214}"/>
  </bookViews>
  <sheets>
    <sheet name="FOLHA_DP" sheetId="1" r:id="rId1"/>
  </sheets>
  <externalReferences>
    <externalReference r:id="rId2"/>
  </externalReferences>
  <definedNames>
    <definedName name="_xlnm._FilterDatabase" localSheetId="0" hidden="1">FOLHA_DP!$A$1:$AZ$1440</definedName>
    <definedName name="CardAcimaDaMeta">#REF!</definedName>
    <definedName name="CardMediaProva">#REF!</definedName>
    <definedName name="CardQtdeNomes">#REF!</definedName>
    <definedName name="CardQtdeProvas">#REF!</definedName>
    <definedName name="FizeramProva">#REF!</definedName>
    <definedName name="NotaMedia">#REF!</definedName>
    <definedName name="tipoUsuarioLogado">"admin"</definedName>
    <definedName name="TotalMatricu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440" i="1" l="1"/>
  <c r="AY1440" i="1"/>
  <c r="AX1440" i="1"/>
  <c r="AW1440" i="1"/>
  <c r="AZ1439" i="1"/>
  <c r="AY1439" i="1"/>
  <c r="AX1439" i="1"/>
  <c r="AW1439" i="1"/>
  <c r="AZ1438" i="1"/>
  <c r="AY1438" i="1"/>
  <c r="AX1438" i="1"/>
  <c r="AW1438" i="1"/>
  <c r="AZ1437" i="1"/>
  <c r="AY1437" i="1"/>
  <c r="AX1437" i="1"/>
  <c r="AW1437" i="1"/>
  <c r="A1437" i="1"/>
  <c r="AZ1436" i="1"/>
  <c r="AY1436" i="1"/>
  <c r="AX1436" i="1"/>
  <c r="AW1436" i="1"/>
  <c r="A1436" i="1"/>
  <c r="AZ1435" i="1"/>
  <c r="AY1435" i="1"/>
  <c r="AX1435" i="1"/>
  <c r="AW1435" i="1"/>
  <c r="A1435" i="1"/>
  <c r="AZ1434" i="1"/>
  <c r="AY1434" i="1"/>
  <c r="AX1434" i="1"/>
  <c r="AW1434" i="1"/>
  <c r="A1434" i="1"/>
  <c r="AZ1433" i="1"/>
  <c r="AY1433" i="1"/>
  <c r="AX1433" i="1"/>
  <c r="AW1433" i="1"/>
  <c r="A1433" i="1"/>
  <c r="AZ1432" i="1"/>
  <c r="AY1432" i="1"/>
  <c r="AX1432" i="1"/>
  <c r="AW1432" i="1"/>
  <c r="A1432" i="1"/>
  <c r="AZ1431" i="1"/>
  <c r="AY1431" i="1"/>
  <c r="AX1431" i="1"/>
  <c r="AW1431" i="1"/>
  <c r="A1431" i="1"/>
  <c r="AZ1430" i="1"/>
  <c r="AY1430" i="1"/>
  <c r="AX1430" i="1"/>
  <c r="AW1430" i="1"/>
  <c r="A1430" i="1"/>
  <c r="AZ1429" i="1"/>
  <c r="AY1429" i="1"/>
  <c r="AX1429" i="1"/>
  <c r="AW1429" i="1"/>
  <c r="A1429" i="1"/>
  <c r="AZ1428" i="1"/>
  <c r="AY1428" i="1"/>
  <c r="AX1428" i="1"/>
  <c r="AW1428" i="1"/>
  <c r="A1428" i="1"/>
  <c r="AZ1427" i="1"/>
  <c r="AY1427" i="1"/>
  <c r="AX1427" i="1"/>
  <c r="AW1427" i="1"/>
  <c r="A1427" i="1"/>
  <c r="AZ1426" i="1"/>
  <c r="AY1426" i="1"/>
  <c r="AX1426" i="1"/>
  <c r="AW1426" i="1"/>
  <c r="A1426" i="1"/>
  <c r="AZ1425" i="1"/>
  <c r="AY1425" i="1"/>
  <c r="AX1425" i="1"/>
  <c r="AW1425" i="1"/>
  <c r="A1425" i="1"/>
  <c r="AZ1424" i="1"/>
  <c r="AY1424" i="1"/>
  <c r="AX1424" i="1"/>
  <c r="AW1424" i="1"/>
  <c r="A1424" i="1"/>
  <c r="AZ1423" i="1"/>
  <c r="AY1423" i="1"/>
  <c r="AX1423" i="1"/>
  <c r="AW1423" i="1"/>
  <c r="A1423" i="1"/>
  <c r="AZ1422" i="1"/>
  <c r="AY1422" i="1"/>
  <c r="AX1422" i="1"/>
  <c r="AW1422" i="1"/>
  <c r="A1422" i="1"/>
  <c r="AZ1421" i="1"/>
  <c r="AY1421" i="1"/>
  <c r="AX1421" i="1"/>
  <c r="AW1421" i="1"/>
  <c r="A1421" i="1"/>
  <c r="AZ1420" i="1"/>
  <c r="AY1420" i="1"/>
  <c r="AX1420" i="1"/>
  <c r="AW1420" i="1"/>
  <c r="A1420" i="1"/>
  <c r="AZ1419" i="1"/>
  <c r="AY1419" i="1"/>
  <c r="AX1419" i="1"/>
  <c r="AW1419" i="1"/>
  <c r="A1419" i="1"/>
  <c r="AZ1418" i="1"/>
  <c r="AY1418" i="1"/>
  <c r="AX1418" i="1"/>
  <c r="AW1418" i="1"/>
  <c r="A1418" i="1"/>
  <c r="AZ1417" i="1"/>
  <c r="AY1417" i="1"/>
  <c r="AX1417" i="1"/>
  <c r="AW1417" i="1"/>
  <c r="A1417" i="1"/>
  <c r="AZ1416" i="1"/>
  <c r="AY1416" i="1"/>
  <c r="AX1416" i="1"/>
  <c r="AW1416" i="1"/>
  <c r="A1416" i="1"/>
  <c r="AZ1415" i="1"/>
  <c r="AY1415" i="1"/>
  <c r="AX1415" i="1"/>
  <c r="AW1415" i="1"/>
  <c r="A1415" i="1"/>
  <c r="AZ1414" i="1"/>
  <c r="AY1414" i="1"/>
  <c r="AX1414" i="1"/>
  <c r="AW1414" i="1"/>
  <c r="A1414" i="1"/>
  <c r="AZ1413" i="1"/>
  <c r="AY1413" i="1"/>
  <c r="AX1413" i="1"/>
  <c r="AW1413" i="1"/>
  <c r="A1413" i="1"/>
  <c r="AZ1412" i="1"/>
  <c r="AY1412" i="1"/>
  <c r="AX1412" i="1"/>
  <c r="AW1412" i="1"/>
  <c r="A1412" i="1"/>
  <c r="AZ1411" i="1"/>
  <c r="AY1411" i="1"/>
  <c r="AX1411" i="1"/>
  <c r="AW1411" i="1"/>
  <c r="A1411" i="1"/>
  <c r="AZ1410" i="1"/>
  <c r="AY1410" i="1"/>
  <c r="AX1410" i="1"/>
  <c r="AW1410" i="1"/>
  <c r="A1410" i="1"/>
  <c r="AZ1409" i="1"/>
  <c r="AY1409" i="1"/>
  <c r="AX1409" i="1"/>
  <c r="AW1409" i="1"/>
  <c r="A1409" i="1"/>
  <c r="AZ1408" i="1"/>
  <c r="AY1408" i="1"/>
  <c r="AX1408" i="1"/>
  <c r="AW1408" i="1"/>
  <c r="A1408" i="1"/>
  <c r="AZ1407" i="1"/>
  <c r="AY1407" i="1"/>
  <c r="AX1407" i="1"/>
  <c r="AW1407" i="1"/>
  <c r="A1407" i="1"/>
  <c r="AZ1406" i="1"/>
  <c r="AY1406" i="1"/>
  <c r="AX1406" i="1"/>
  <c r="AW1406" i="1"/>
  <c r="A1406" i="1"/>
  <c r="AZ1405" i="1"/>
  <c r="AY1405" i="1"/>
  <c r="AX1405" i="1"/>
  <c r="AW1405" i="1"/>
  <c r="A1405" i="1"/>
  <c r="AZ1404" i="1"/>
  <c r="AY1404" i="1"/>
  <c r="AX1404" i="1"/>
  <c r="AW1404" i="1"/>
  <c r="A1404" i="1"/>
  <c r="AZ1403" i="1"/>
  <c r="AY1403" i="1"/>
  <c r="AX1403" i="1"/>
  <c r="AW1403" i="1"/>
  <c r="A1403" i="1"/>
  <c r="AZ1402" i="1"/>
  <c r="AY1402" i="1"/>
  <c r="AX1402" i="1"/>
  <c r="AW1402" i="1"/>
  <c r="A1402" i="1"/>
  <c r="AZ1401" i="1"/>
  <c r="AY1401" i="1"/>
  <c r="AX1401" i="1"/>
  <c r="AW1401" i="1"/>
  <c r="A1401" i="1"/>
  <c r="AZ1400" i="1"/>
  <c r="AY1400" i="1"/>
  <c r="AX1400" i="1"/>
  <c r="AW1400" i="1"/>
  <c r="A1400" i="1"/>
  <c r="AZ1399" i="1"/>
  <c r="AY1399" i="1"/>
  <c r="AX1399" i="1"/>
  <c r="AW1399" i="1"/>
  <c r="A1399" i="1"/>
  <c r="AZ1398" i="1"/>
  <c r="AY1398" i="1"/>
  <c r="AX1398" i="1"/>
  <c r="AW1398" i="1"/>
  <c r="A1398" i="1"/>
  <c r="AZ1397" i="1"/>
  <c r="AY1397" i="1"/>
  <c r="AX1397" i="1"/>
  <c r="AW1397" i="1"/>
  <c r="A1397" i="1"/>
  <c r="AZ1396" i="1"/>
  <c r="AY1396" i="1"/>
  <c r="AX1396" i="1"/>
  <c r="AW1396" i="1"/>
  <c r="A1396" i="1"/>
  <c r="AZ1395" i="1"/>
  <c r="AY1395" i="1"/>
  <c r="AX1395" i="1"/>
  <c r="AW1395" i="1"/>
  <c r="A1395" i="1"/>
  <c r="AZ1394" i="1"/>
  <c r="AY1394" i="1"/>
  <c r="AX1394" i="1"/>
  <c r="AW1394" i="1"/>
  <c r="A1394" i="1"/>
  <c r="AZ1393" i="1"/>
  <c r="AY1393" i="1"/>
  <c r="AX1393" i="1"/>
  <c r="AW1393" i="1"/>
  <c r="A1393" i="1"/>
  <c r="AZ1392" i="1"/>
  <c r="AY1392" i="1"/>
  <c r="AX1392" i="1"/>
  <c r="AW1392" i="1"/>
  <c r="A1392" i="1"/>
  <c r="AZ1391" i="1"/>
  <c r="AY1391" i="1"/>
  <c r="AX1391" i="1"/>
  <c r="AW1391" i="1"/>
  <c r="A1391" i="1"/>
  <c r="AZ1390" i="1"/>
  <c r="AY1390" i="1"/>
  <c r="AX1390" i="1"/>
  <c r="AW1390" i="1"/>
  <c r="A1390" i="1"/>
  <c r="AZ1389" i="1"/>
  <c r="AY1389" i="1"/>
  <c r="AX1389" i="1"/>
  <c r="AW1389" i="1"/>
  <c r="A1389" i="1"/>
  <c r="AZ1388" i="1"/>
  <c r="AY1388" i="1"/>
  <c r="AX1388" i="1"/>
  <c r="AW1388" i="1"/>
  <c r="A1388" i="1"/>
  <c r="AZ1387" i="1"/>
  <c r="AY1387" i="1"/>
  <c r="AX1387" i="1"/>
  <c r="AW1387" i="1"/>
  <c r="A1387" i="1"/>
  <c r="AZ1386" i="1"/>
  <c r="AY1386" i="1"/>
  <c r="AX1386" i="1"/>
  <c r="AW1386" i="1"/>
  <c r="A1386" i="1"/>
  <c r="AZ1385" i="1"/>
  <c r="AY1385" i="1"/>
  <c r="AX1385" i="1"/>
  <c r="AW1385" i="1"/>
  <c r="A1385" i="1"/>
  <c r="AZ1384" i="1"/>
  <c r="AY1384" i="1"/>
  <c r="AX1384" i="1"/>
  <c r="AW1384" i="1"/>
  <c r="A1384" i="1"/>
  <c r="AZ1383" i="1"/>
  <c r="AY1383" i="1"/>
  <c r="AX1383" i="1"/>
  <c r="AW1383" i="1"/>
  <c r="A1383" i="1"/>
  <c r="AZ1382" i="1"/>
  <c r="AY1382" i="1"/>
  <c r="AX1382" i="1"/>
  <c r="AW1382" i="1"/>
  <c r="A1382" i="1"/>
  <c r="AZ1381" i="1"/>
  <c r="AY1381" i="1"/>
  <c r="AX1381" i="1"/>
  <c r="AW1381" i="1"/>
  <c r="A1381" i="1"/>
  <c r="AZ1380" i="1"/>
  <c r="AY1380" i="1"/>
  <c r="AX1380" i="1"/>
  <c r="AW1380" i="1"/>
  <c r="A1380" i="1"/>
  <c r="AZ1379" i="1"/>
  <c r="AY1379" i="1"/>
  <c r="AX1379" i="1"/>
  <c r="AW1379" i="1"/>
  <c r="A1379" i="1"/>
  <c r="AZ1378" i="1"/>
  <c r="AY1378" i="1"/>
  <c r="AX1378" i="1"/>
  <c r="AW1378" i="1"/>
  <c r="A1378" i="1"/>
  <c r="AZ1377" i="1"/>
  <c r="AY1377" i="1"/>
  <c r="AX1377" i="1"/>
  <c r="AW1377" i="1"/>
  <c r="A1377" i="1"/>
  <c r="AZ1376" i="1"/>
  <c r="AY1376" i="1"/>
  <c r="AX1376" i="1"/>
  <c r="AW1376" i="1"/>
  <c r="A1376" i="1"/>
  <c r="AZ1375" i="1"/>
  <c r="AY1375" i="1"/>
  <c r="AX1375" i="1"/>
  <c r="AW1375" i="1"/>
  <c r="A1375" i="1"/>
  <c r="AZ1374" i="1"/>
  <c r="AY1374" i="1"/>
  <c r="AX1374" i="1"/>
  <c r="AW1374" i="1"/>
  <c r="A1374" i="1"/>
  <c r="AZ1373" i="1"/>
  <c r="AY1373" i="1"/>
  <c r="AX1373" i="1"/>
  <c r="AW1373" i="1"/>
  <c r="A1373" i="1"/>
  <c r="AZ1372" i="1"/>
  <c r="AY1372" i="1"/>
  <c r="AX1372" i="1"/>
  <c r="AW1372" i="1"/>
  <c r="A1372" i="1"/>
  <c r="AZ1371" i="1"/>
  <c r="AY1371" i="1"/>
  <c r="AX1371" i="1"/>
  <c r="AW1371" i="1"/>
  <c r="A1371" i="1"/>
  <c r="AZ1370" i="1"/>
  <c r="AY1370" i="1"/>
  <c r="AX1370" i="1"/>
  <c r="AW1370" i="1"/>
  <c r="A1370" i="1"/>
  <c r="AZ1369" i="1"/>
  <c r="AY1369" i="1"/>
  <c r="AX1369" i="1"/>
  <c r="AW1369" i="1"/>
  <c r="A1369" i="1"/>
  <c r="AZ1368" i="1"/>
  <c r="AY1368" i="1"/>
  <c r="AX1368" i="1"/>
  <c r="AW1368" i="1"/>
  <c r="A1368" i="1"/>
  <c r="AZ1367" i="1"/>
  <c r="AY1367" i="1"/>
  <c r="AX1367" i="1"/>
  <c r="AW1367" i="1"/>
  <c r="A1367" i="1"/>
  <c r="AZ1366" i="1"/>
  <c r="AY1366" i="1"/>
  <c r="AX1366" i="1"/>
  <c r="AW1366" i="1"/>
  <c r="A1366" i="1"/>
  <c r="AZ1365" i="1"/>
  <c r="AY1365" i="1"/>
  <c r="AX1365" i="1"/>
  <c r="AW1365" i="1"/>
  <c r="A1365" i="1"/>
  <c r="AZ1364" i="1"/>
  <c r="AY1364" i="1"/>
  <c r="AX1364" i="1"/>
  <c r="AW1364" i="1"/>
  <c r="A1364" i="1"/>
  <c r="AZ1363" i="1"/>
  <c r="AY1363" i="1"/>
  <c r="AX1363" i="1"/>
  <c r="AW1363" i="1"/>
  <c r="A1363" i="1"/>
  <c r="AZ1362" i="1"/>
  <c r="AY1362" i="1"/>
  <c r="AX1362" i="1"/>
  <c r="AW1362" i="1"/>
  <c r="A1362" i="1"/>
  <c r="AZ1361" i="1"/>
  <c r="AY1361" i="1"/>
  <c r="AX1361" i="1"/>
  <c r="AW1361" i="1"/>
  <c r="A1361" i="1"/>
  <c r="AZ1360" i="1"/>
  <c r="AY1360" i="1"/>
  <c r="AX1360" i="1"/>
  <c r="AW1360" i="1"/>
  <c r="A1360" i="1"/>
  <c r="AZ1359" i="1"/>
  <c r="AY1359" i="1"/>
  <c r="AX1359" i="1"/>
  <c r="AW1359" i="1"/>
  <c r="A1359" i="1"/>
  <c r="AZ1358" i="1"/>
  <c r="AY1358" i="1"/>
  <c r="AX1358" i="1"/>
  <c r="AW1358" i="1"/>
  <c r="A1358" i="1"/>
  <c r="AZ1357" i="1"/>
  <c r="AY1357" i="1"/>
  <c r="AX1357" i="1"/>
  <c r="AW1357" i="1"/>
  <c r="A1357" i="1"/>
  <c r="AZ1356" i="1"/>
  <c r="AY1356" i="1"/>
  <c r="AX1356" i="1"/>
  <c r="AW1356" i="1"/>
  <c r="A1356" i="1"/>
  <c r="AZ1355" i="1"/>
  <c r="AY1355" i="1"/>
  <c r="AX1355" i="1"/>
  <c r="AW1355" i="1"/>
  <c r="A1355" i="1"/>
  <c r="AZ1354" i="1"/>
  <c r="AY1354" i="1"/>
  <c r="AX1354" i="1"/>
  <c r="AW1354" i="1"/>
  <c r="A1354" i="1"/>
  <c r="AZ1353" i="1"/>
  <c r="AY1353" i="1"/>
  <c r="AX1353" i="1"/>
  <c r="AW1353" i="1"/>
  <c r="A1353" i="1"/>
  <c r="AZ1352" i="1"/>
  <c r="AY1352" i="1"/>
  <c r="AX1352" i="1"/>
  <c r="AW1352" i="1"/>
  <c r="A1352" i="1"/>
  <c r="AZ1351" i="1"/>
  <c r="AY1351" i="1"/>
  <c r="AX1351" i="1"/>
  <c r="AW1351" i="1"/>
  <c r="A1351" i="1"/>
  <c r="AZ1350" i="1"/>
  <c r="AY1350" i="1"/>
  <c r="AX1350" i="1"/>
  <c r="AW1350" i="1"/>
  <c r="A1350" i="1"/>
  <c r="AZ1349" i="1"/>
  <c r="AY1349" i="1"/>
  <c r="AX1349" i="1"/>
  <c r="AW1349" i="1"/>
  <c r="A1349" i="1"/>
  <c r="AZ1348" i="1"/>
  <c r="AY1348" i="1"/>
  <c r="AX1348" i="1"/>
  <c r="AW1348" i="1"/>
  <c r="A1348" i="1"/>
  <c r="AZ1347" i="1"/>
  <c r="AY1347" i="1"/>
  <c r="AX1347" i="1"/>
  <c r="AW1347" i="1"/>
  <c r="A1347" i="1"/>
  <c r="AZ1346" i="1"/>
  <c r="AY1346" i="1"/>
  <c r="AX1346" i="1"/>
  <c r="AW1346" i="1"/>
  <c r="A1346" i="1"/>
  <c r="AZ1345" i="1"/>
  <c r="AY1345" i="1"/>
  <c r="AX1345" i="1"/>
  <c r="AW1345" i="1"/>
  <c r="A1345" i="1"/>
  <c r="AZ1344" i="1"/>
  <c r="AY1344" i="1"/>
  <c r="AX1344" i="1"/>
  <c r="AW1344" i="1"/>
  <c r="A1344" i="1"/>
  <c r="AZ1343" i="1"/>
  <c r="AY1343" i="1"/>
  <c r="AX1343" i="1"/>
  <c r="AW1343" i="1"/>
  <c r="A1343" i="1"/>
  <c r="AZ1342" i="1"/>
  <c r="AY1342" i="1"/>
  <c r="AX1342" i="1"/>
  <c r="AW1342" i="1"/>
  <c r="A1342" i="1"/>
  <c r="AZ1341" i="1"/>
  <c r="AY1341" i="1"/>
  <c r="AX1341" i="1"/>
  <c r="AW1341" i="1"/>
  <c r="A1341" i="1"/>
  <c r="AZ1340" i="1"/>
  <c r="AY1340" i="1"/>
  <c r="AX1340" i="1"/>
  <c r="AW1340" i="1"/>
  <c r="A1340" i="1"/>
  <c r="AZ1339" i="1"/>
  <c r="AY1339" i="1"/>
  <c r="AX1339" i="1"/>
  <c r="AW1339" i="1"/>
  <c r="A1339" i="1"/>
  <c r="AZ1338" i="1"/>
  <c r="AY1338" i="1"/>
  <c r="AX1338" i="1"/>
  <c r="AW1338" i="1"/>
  <c r="A1338" i="1"/>
  <c r="AZ1337" i="1"/>
  <c r="AY1337" i="1"/>
  <c r="AX1337" i="1"/>
  <c r="AW1337" i="1"/>
  <c r="A1337" i="1"/>
  <c r="AZ1336" i="1"/>
  <c r="AY1336" i="1"/>
  <c r="AX1336" i="1"/>
  <c r="AW1336" i="1"/>
  <c r="A1336" i="1"/>
  <c r="AZ1335" i="1"/>
  <c r="AY1335" i="1"/>
  <c r="AX1335" i="1"/>
  <c r="AW1335" i="1"/>
  <c r="A1335" i="1"/>
  <c r="AZ1334" i="1"/>
  <c r="AY1334" i="1"/>
  <c r="AX1334" i="1"/>
  <c r="AW1334" i="1"/>
  <c r="A1334" i="1"/>
  <c r="AZ1333" i="1"/>
  <c r="AY1333" i="1"/>
  <c r="AX1333" i="1"/>
  <c r="AW1333" i="1"/>
  <c r="A1333" i="1"/>
  <c r="AZ1332" i="1"/>
  <c r="AY1332" i="1"/>
  <c r="AX1332" i="1"/>
  <c r="AW1332" i="1"/>
  <c r="A1332" i="1"/>
  <c r="AZ1331" i="1"/>
  <c r="AY1331" i="1"/>
  <c r="AX1331" i="1"/>
  <c r="AW1331" i="1"/>
  <c r="A1331" i="1"/>
  <c r="AZ1330" i="1"/>
  <c r="AY1330" i="1"/>
  <c r="AX1330" i="1"/>
  <c r="AW1330" i="1"/>
  <c r="A1330" i="1"/>
  <c r="AZ1329" i="1"/>
  <c r="AY1329" i="1"/>
  <c r="AX1329" i="1"/>
  <c r="AW1329" i="1"/>
  <c r="A1329" i="1"/>
  <c r="AZ1328" i="1"/>
  <c r="AY1328" i="1"/>
  <c r="AX1328" i="1"/>
  <c r="AW1328" i="1"/>
  <c r="A1328" i="1"/>
  <c r="AZ1327" i="1"/>
  <c r="AY1327" i="1"/>
  <c r="AX1327" i="1"/>
  <c r="AW1327" i="1"/>
  <c r="A1327" i="1"/>
  <c r="AZ1326" i="1"/>
  <c r="AY1326" i="1"/>
  <c r="AX1326" i="1"/>
  <c r="AW1326" i="1"/>
  <c r="A1326" i="1"/>
  <c r="AZ1325" i="1"/>
  <c r="AY1325" i="1"/>
  <c r="AX1325" i="1"/>
  <c r="AW1325" i="1"/>
  <c r="A1325" i="1"/>
  <c r="AZ1324" i="1"/>
  <c r="AY1324" i="1"/>
  <c r="AX1324" i="1"/>
  <c r="AW1324" i="1"/>
  <c r="A1324" i="1"/>
  <c r="AZ1323" i="1"/>
  <c r="AY1323" i="1"/>
  <c r="AX1323" i="1"/>
  <c r="AW1323" i="1"/>
  <c r="A1323" i="1"/>
  <c r="AZ1322" i="1"/>
  <c r="AY1322" i="1"/>
  <c r="AX1322" i="1"/>
  <c r="AW1322" i="1"/>
  <c r="A1322" i="1"/>
  <c r="AZ1321" i="1"/>
  <c r="AY1321" i="1"/>
  <c r="AX1321" i="1"/>
  <c r="AW1321" i="1"/>
  <c r="A1321" i="1"/>
  <c r="AZ1320" i="1"/>
  <c r="AY1320" i="1"/>
  <c r="AX1320" i="1"/>
  <c r="AW1320" i="1"/>
  <c r="A1320" i="1"/>
  <c r="AZ1319" i="1"/>
  <c r="AY1319" i="1"/>
  <c r="AX1319" i="1"/>
  <c r="AW1319" i="1"/>
  <c r="A1319" i="1"/>
  <c r="AZ1318" i="1"/>
  <c r="AY1318" i="1"/>
  <c r="AX1318" i="1"/>
  <c r="AW1318" i="1"/>
  <c r="A1318" i="1"/>
  <c r="AZ1317" i="1"/>
  <c r="AY1317" i="1"/>
  <c r="AX1317" i="1"/>
  <c r="AW1317" i="1"/>
  <c r="A1317" i="1"/>
  <c r="AZ1316" i="1"/>
  <c r="AY1316" i="1"/>
  <c r="AX1316" i="1"/>
  <c r="AW1316" i="1"/>
  <c r="A1316" i="1"/>
  <c r="AZ1315" i="1"/>
  <c r="AY1315" i="1"/>
  <c r="AX1315" i="1"/>
  <c r="AW1315" i="1"/>
  <c r="A1315" i="1"/>
  <c r="AZ1314" i="1"/>
  <c r="AY1314" i="1"/>
  <c r="AX1314" i="1"/>
  <c r="AW1314" i="1"/>
  <c r="A1314" i="1"/>
  <c r="AZ1313" i="1"/>
  <c r="AY1313" i="1"/>
  <c r="AX1313" i="1"/>
  <c r="AW1313" i="1"/>
  <c r="A1313" i="1"/>
  <c r="AZ1312" i="1"/>
  <c r="AY1312" i="1"/>
  <c r="AX1312" i="1"/>
  <c r="AW1312" i="1"/>
  <c r="A1312" i="1"/>
  <c r="AZ1311" i="1"/>
  <c r="AY1311" i="1"/>
  <c r="AX1311" i="1"/>
  <c r="AW1311" i="1"/>
  <c r="A1311" i="1"/>
  <c r="AZ1310" i="1"/>
  <c r="AY1310" i="1"/>
  <c r="AX1310" i="1"/>
  <c r="AW1310" i="1"/>
  <c r="A1310" i="1"/>
  <c r="AZ1309" i="1"/>
  <c r="AY1309" i="1"/>
  <c r="AX1309" i="1"/>
  <c r="AW1309" i="1"/>
  <c r="A1309" i="1"/>
  <c r="AZ1308" i="1"/>
  <c r="AY1308" i="1"/>
  <c r="AX1308" i="1"/>
  <c r="AW1308" i="1"/>
  <c r="A1308" i="1"/>
  <c r="AZ1307" i="1"/>
  <c r="AY1307" i="1"/>
  <c r="AX1307" i="1"/>
  <c r="AW1307" i="1"/>
  <c r="A1307" i="1"/>
  <c r="AZ1306" i="1"/>
  <c r="AY1306" i="1"/>
  <c r="AX1306" i="1"/>
  <c r="AW1306" i="1"/>
  <c r="A1306" i="1"/>
  <c r="AZ1305" i="1"/>
  <c r="AY1305" i="1"/>
  <c r="AX1305" i="1"/>
  <c r="AW1305" i="1"/>
  <c r="A1305" i="1"/>
  <c r="AZ1304" i="1"/>
  <c r="AY1304" i="1"/>
  <c r="AX1304" i="1"/>
  <c r="AW1304" i="1"/>
  <c r="A1304" i="1"/>
  <c r="AZ1303" i="1"/>
  <c r="AY1303" i="1"/>
  <c r="AX1303" i="1"/>
  <c r="AW1303" i="1"/>
  <c r="A1303" i="1"/>
  <c r="AZ1302" i="1"/>
  <c r="AY1302" i="1"/>
  <c r="AX1302" i="1"/>
  <c r="AW1302" i="1"/>
  <c r="A1302" i="1"/>
  <c r="AZ1301" i="1"/>
  <c r="AY1301" i="1"/>
  <c r="AX1301" i="1"/>
  <c r="AW1301" i="1"/>
  <c r="A1301" i="1"/>
  <c r="AZ1300" i="1"/>
  <c r="AY1300" i="1"/>
  <c r="AX1300" i="1"/>
  <c r="AW1300" i="1"/>
  <c r="A1300" i="1"/>
  <c r="AZ1299" i="1"/>
  <c r="AY1299" i="1"/>
  <c r="AX1299" i="1"/>
  <c r="AW1299" i="1"/>
  <c r="A1299" i="1"/>
  <c r="AZ1298" i="1"/>
  <c r="AY1298" i="1"/>
  <c r="AX1298" i="1"/>
  <c r="AW1298" i="1"/>
  <c r="A1298" i="1"/>
  <c r="AZ1297" i="1"/>
  <c r="AY1297" i="1"/>
  <c r="AX1297" i="1"/>
  <c r="AW1297" i="1"/>
  <c r="A1297" i="1"/>
  <c r="AZ1296" i="1"/>
  <c r="AY1296" i="1"/>
  <c r="AX1296" i="1"/>
  <c r="AW1296" i="1"/>
  <c r="A1296" i="1"/>
  <c r="AZ1295" i="1"/>
  <c r="AY1295" i="1"/>
  <c r="AX1295" i="1"/>
  <c r="AW1295" i="1"/>
  <c r="A1295" i="1"/>
  <c r="AZ1294" i="1"/>
  <c r="AY1294" i="1"/>
  <c r="AX1294" i="1"/>
  <c r="AW1294" i="1"/>
  <c r="A1294" i="1"/>
  <c r="AZ1293" i="1"/>
  <c r="AY1293" i="1"/>
  <c r="AX1293" i="1"/>
  <c r="AW1293" i="1"/>
  <c r="A1293" i="1"/>
  <c r="AZ1292" i="1"/>
  <c r="AY1292" i="1"/>
  <c r="AX1292" i="1"/>
  <c r="AW1292" i="1"/>
  <c r="A1292" i="1"/>
  <c r="AZ1291" i="1"/>
  <c r="AY1291" i="1"/>
  <c r="AX1291" i="1"/>
  <c r="AW1291" i="1"/>
  <c r="A1291" i="1"/>
  <c r="AZ1290" i="1"/>
  <c r="AY1290" i="1"/>
  <c r="AX1290" i="1"/>
  <c r="AW1290" i="1"/>
  <c r="A1290" i="1"/>
  <c r="AZ1289" i="1"/>
  <c r="AY1289" i="1"/>
  <c r="AX1289" i="1"/>
  <c r="AW1289" i="1"/>
  <c r="A1289" i="1"/>
  <c r="AZ1288" i="1"/>
  <c r="AY1288" i="1"/>
  <c r="AX1288" i="1"/>
  <c r="AW1288" i="1"/>
  <c r="A1288" i="1"/>
  <c r="AZ1287" i="1"/>
  <c r="AY1287" i="1"/>
  <c r="AX1287" i="1"/>
  <c r="AW1287" i="1"/>
  <c r="A1287" i="1"/>
  <c r="AZ1286" i="1"/>
  <c r="AY1286" i="1"/>
  <c r="AX1286" i="1"/>
  <c r="AW1286" i="1"/>
  <c r="A1286" i="1"/>
  <c r="AZ1285" i="1"/>
  <c r="AY1285" i="1"/>
  <c r="AX1285" i="1"/>
  <c r="AW1285" i="1"/>
  <c r="A1285" i="1"/>
  <c r="AZ1284" i="1"/>
  <c r="AY1284" i="1"/>
  <c r="AX1284" i="1"/>
  <c r="AW1284" i="1"/>
  <c r="A1284" i="1"/>
  <c r="AZ1283" i="1"/>
  <c r="AY1283" i="1"/>
  <c r="AX1283" i="1"/>
  <c r="AW1283" i="1"/>
  <c r="A1283" i="1"/>
  <c r="AZ1282" i="1"/>
  <c r="AY1282" i="1"/>
  <c r="AX1282" i="1"/>
  <c r="AW1282" i="1"/>
  <c r="A1282" i="1"/>
  <c r="AZ1281" i="1"/>
  <c r="AY1281" i="1"/>
  <c r="AX1281" i="1"/>
  <c r="AW1281" i="1"/>
  <c r="A1281" i="1"/>
  <c r="AZ1280" i="1"/>
  <c r="AY1280" i="1"/>
  <c r="AX1280" i="1"/>
  <c r="AW1280" i="1"/>
  <c r="A1280" i="1"/>
  <c r="AZ1279" i="1"/>
  <c r="AY1279" i="1"/>
  <c r="AX1279" i="1"/>
  <c r="AW1279" i="1"/>
  <c r="A1279" i="1"/>
  <c r="AZ1278" i="1"/>
  <c r="AY1278" i="1"/>
  <c r="AX1278" i="1"/>
  <c r="AW1278" i="1"/>
  <c r="A1278" i="1"/>
  <c r="AZ1277" i="1"/>
  <c r="AY1277" i="1"/>
  <c r="AX1277" i="1"/>
  <c r="AW1277" i="1"/>
  <c r="A1277" i="1"/>
  <c r="AZ1276" i="1"/>
  <c r="AY1276" i="1"/>
  <c r="AX1276" i="1"/>
  <c r="AW1276" i="1"/>
  <c r="A1276" i="1"/>
  <c r="AZ1275" i="1"/>
  <c r="AY1275" i="1"/>
  <c r="AX1275" i="1"/>
  <c r="AW1275" i="1"/>
  <c r="A1275" i="1"/>
  <c r="AZ1274" i="1"/>
  <c r="AY1274" i="1"/>
  <c r="AX1274" i="1"/>
  <c r="AW1274" i="1"/>
  <c r="A1274" i="1"/>
  <c r="AZ1273" i="1"/>
  <c r="AY1273" i="1"/>
  <c r="AX1273" i="1"/>
  <c r="AW1273" i="1"/>
  <c r="A1273" i="1"/>
  <c r="AZ1272" i="1"/>
  <c r="AY1272" i="1"/>
  <c r="AX1272" i="1"/>
  <c r="AW1272" i="1"/>
  <c r="A1272" i="1"/>
  <c r="AZ1271" i="1"/>
  <c r="AY1271" i="1"/>
  <c r="AX1271" i="1"/>
  <c r="AW1271" i="1"/>
  <c r="A1271" i="1"/>
  <c r="AZ1270" i="1"/>
  <c r="AY1270" i="1"/>
  <c r="AX1270" i="1"/>
  <c r="AW1270" i="1"/>
  <c r="A1270" i="1"/>
  <c r="AZ1269" i="1"/>
  <c r="AY1269" i="1"/>
  <c r="AX1269" i="1"/>
  <c r="AW1269" i="1"/>
  <c r="A1269" i="1"/>
  <c r="AZ1268" i="1"/>
  <c r="AY1268" i="1"/>
  <c r="AX1268" i="1"/>
  <c r="AW1268" i="1"/>
  <c r="A1268" i="1"/>
  <c r="AZ1267" i="1"/>
  <c r="AY1267" i="1"/>
  <c r="AX1267" i="1"/>
  <c r="AW1267" i="1"/>
  <c r="A1267" i="1"/>
  <c r="AZ1266" i="1"/>
  <c r="AY1266" i="1"/>
  <c r="AX1266" i="1"/>
  <c r="AW1266" i="1"/>
  <c r="A1266" i="1"/>
  <c r="AZ1265" i="1"/>
  <c r="AY1265" i="1"/>
  <c r="AX1265" i="1"/>
  <c r="AW1265" i="1"/>
  <c r="A1265" i="1"/>
  <c r="AZ1264" i="1"/>
  <c r="AY1264" i="1"/>
  <c r="AX1264" i="1"/>
  <c r="AW1264" i="1"/>
  <c r="A1264" i="1"/>
  <c r="AZ1263" i="1"/>
  <c r="AY1263" i="1"/>
  <c r="AX1263" i="1"/>
  <c r="AW1263" i="1"/>
  <c r="A1263" i="1"/>
  <c r="AZ1262" i="1"/>
  <c r="AY1262" i="1"/>
  <c r="AX1262" i="1"/>
  <c r="AW1262" i="1"/>
  <c r="A1262" i="1"/>
  <c r="AZ1261" i="1"/>
  <c r="AY1261" i="1"/>
  <c r="AX1261" i="1"/>
  <c r="AW1261" i="1"/>
  <c r="A1261" i="1"/>
  <c r="AZ1260" i="1"/>
  <c r="AY1260" i="1"/>
  <c r="AX1260" i="1"/>
  <c r="AW1260" i="1"/>
  <c r="A1260" i="1"/>
  <c r="AZ1259" i="1"/>
  <c r="AY1259" i="1"/>
  <c r="AX1259" i="1"/>
  <c r="AW1259" i="1"/>
  <c r="A1259" i="1"/>
  <c r="AZ1258" i="1"/>
  <c r="AY1258" i="1"/>
  <c r="AX1258" i="1"/>
  <c r="AW1258" i="1"/>
  <c r="A1258" i="1"/>
  <c r="AZ1257" i="1"/>
  <c r="AY1257" i="1"/>
  <c r="AX1257" i="1"/>
  <c r="AW1257" i="1"/>
  <c r="A1257" i="1"/>
  <c r="AZ1256" i="1"/>
  <c r="AY1256" i="1"/>
  <c r="AX1256" i="1"/>
  <c r="AW1256" i="1"/>
  <c r="A1256" i="1"/>
  <c r="AZ1255" i="1"/>
  <c r="AY1255" i="1"/>
  <c r="AX1255" i="1"/>
  <c r="AW1255" i="1"/>
  <c r="A1255" i="1"/>
  <c r="AZ1254" i="1"/>
  <c r="AY1254" i="1"/>
  <c r="AX1254" i="1"/>
  <c r="AW1254" i="1"/>
  <c r="A1254" i="1"/>
  <c r="AZ1253" i="1"/>
  <c r="AY1253" i="1"/>
  <c r="AX1253" i="1"/>
  <c r="AW1253" i="1"/>
  <c r="A1253" i="1"/>
  <c r="AZ1252" i="1"/>
  <c r="AY1252" i="1"/>
  <c r="AX1252" i="1"/>
  <c r="AW1252" i="1"/>
  <c r="A1252" i="1"/>
  <c r="AZ1251" i="1"/>
  <c r="AY1251" i="1"/>
  <c r="AX1251" i="1"/>
  <c r="AW1251" i="1"/>
  <c r="A1251" i="1"/>
  <c r="AZ1250" i="1"/>
  <c r="AY1250" i="1"/>
  <c r="AX1250" i="1"/>
  <c r="AW1250" i="1"/>
  <c r="A1250" i="1"/>
  <c r="AZ1249" i="1"/>
  <c r="AY1249" i="1"/>
  <c r="AX1249" i="1"/>
  <c r="AW1249" i="1"/>
  <c r="A1249" i="1"/>
  <c r="AZ1248" i="1"/>
  <c r="AY1248" i="1"/>
  <c r="AX1248" i="1"/>
  <c r="AW1248" i="1"/>
  <c r="A1248" i="1"/>
  <c r="AZ1247" i="1"/>
  <c r="AY1247" i="1"/>
  <c r="AX1247" i="1"/>
  <c r="AW1247" i="1"/>
  <c r="A1247" i="1"/>
  <c r="AZ1246" i="1"/>
  <c r="AY1246" i="1"/>
  <c r="AX1246" i="1"/>
  <c r="AW1246" i="1"/>
  <c r="A1246" i="1"/>
  <c r="AZ1245" i="1"/>
  <c r="AY1245" i="1"/>
  <c r="AX1245" i="1"/>
  <c r="AW1245" i="1"/>
  <c r="A1245" i="1"/>
  <c r="AZ1244" i="1"/>
  <c r="AY1244" i="1"/>
  <c r="AX1244" i="1"/>
  <c r="AW1244" i="1"/>
  <c r="A1244" i="1"/>
  <c r="AZ1243" i="1"/>
  <c r="AY1243" i="1"/>
  <c r="AX1243" i="1"/>
  <c r="AW1243" i="1"/>
  <c r="A1243" i="1"/>
  <c r="AZ1242" i="1"/>
  <c r="AY1242" i="1"/>
  <c r="AX1242" i="1"/>
  <c r="AW1242" i="1"/>
  <c r="A1242" i="1"/>
  <c r="AZ1241" i="1"/>
  <c r="AY1241" i="1"/>
  <c r="AX1241" i="1"/>
  <c r="AW1241" i="1"/>
  <c r="A1241" i="1"/>
  <c r="AZ1240" i="1"/>
  <c r="AY1240" i="1"/>
  <c r="AX1240" i="1"/>
  <c r="AW1240" i="1"/>
  <c r="A1240" i="1"/>
  <c r="AZ1239" i="1"/>
  <c r="AY1239" i="1"/>
  <c r="AX1239" i="1"/>
  <c r="AW1239" i="1"/>
  <c r="A1239" i="1"/>
  <c r="AZ1238" i="1"/>
  <c r="AY1238" i="1"/>
  <c r="AX1238" i="1"/>
  <c r="AW1238" i="1"/>
  <c r="A1238" i="1"/>
  <c r="AZ1237" i="1"/>
  <c r="AY1237" i="1"/>
  <c r="AX1237" i="1"/>
  <c r="AW1237" i="1"/>
  <c r="A1237" i="1"/>
  <c r="AZ1236" i="1"/>
  <c r="AY1236" i="1"/>
  <c r="AX1236" i="1"/>
  <c r="AW1236" i="1"/>
  <c r="A1236" i="1"/>
  <c r="AZ1235" i="1"/>
  <c r="AY1235" i="1"/>
  <c r="AX1235" i="1"/>
  <c r="AW1235" i="1"/>
  <c r="A1235" i="1"/>
  <c r="AZ1234" i="1"/>
  <c r="AY1234" i="1"/>
  <c r="AX1234" i="1"/>
  <c r="AW1234" i="1"/>
  <c r="A1234" i="1"/>
  <c r="AZ1233" i="1"/>
  <c r="AY1233" i="1"/>
  <c r="AX1233" i="1"/>
  <c r="AW1233" i="1"/>
  <c r="A1233" i="1"/>
  <c r="AZ1232" i="1"/>
  <c r="AY1232" i="1"/>
  <c r="AX1232" i="1"/>
  <c r="AW1232" i="1"/>
  <c r="A1232" i="1"/>
  <c r="AZ1231" i="1"/>
  <c r="AY1231" i="1"/>
  <c r="AX1231" i="1"/>
  <c r="AW1231" i="1"/>
  <c r="A1231" i="1"/>
  <c r="AZ1230" i="1"/>
  <c r="AY1230" i="1"/>
  <c r="AX1230" i="1"/>
  <c r="AW1230" i="1"/>
  <c r="A1230" i="1"/>
  <c r="AZ1229" i="1"/>
  <c r="AY1229" i="1"/>
  <c r="AX1229" i="1"/>
  <c r="AW1229" i="1"/>
  <c r="A1229" i="1"/>
  <c r="AZ1228" i="1"/>
  <c r="AY1228" i="1"/>
  <c r="AX1228" i="1"/>
  <c r="AW1228" i="1"/>
  <c r="A1228" i="1"/>
  <c r="AZ1227" i="1"/>
  <c r="AY1227" i="1"/>
  <c r="AX1227" i="1"/>
  <c r="AW1227" i="1"/>
  <c r="A1227" i="1"/>
  <c r="AZ1226" i="1"/>
  <c r="AY1226" i="1"/>
  <c r="AX1226" i="1"/>
  <c r="AW1226" i="1"/>
  <c r="A1226" i="1"/>
  <c r="AZ1225" i="1"/>
  <c r="AY1225" i="1"/>
  <c r="AX1225" i="1"/>
  <c r="AW1225" i="1"/>
  <c r="A1225" i="1"/>
  <c r="AZ1224" i="1"/>
  <c r="AY1224" i="1"/>
  <c r="AX1224" i="1"/>
  <c r="AW1224" i="1"/>
  <c r="A1224" i="1"/>
  <c r="AZ1223" i="1"/>
  <c r="AY1223" i="1"/>
  <c r="AX1223" i="1"/>
  <c r="AW1223" i="1"/>
  <c r="A1223" i="1"/>
  <c r="AZ1222" i="1"/>
  <c r="AY1222" i="1"/>
  <c r="AX1222" i="1"/>
  <c r="AW1222" i="1"/>
  <c r="A1222" i="1"/>
  <c r="AZ1221" i="1"/>
  <c r="AY1221" i="1"/>
  <c r="AX1221" i="1"/>
  <c r="AW1221" i="1"/>
  <c r="A1221" i="1"/>
  <c r="AZ1220" i="1"/>
  <c r="AY1220" i="1"/>
  <c r="AX1220" i="1"/>
  <c r="AW1220" i="1"/>
  <c r="A1220" i="1"/>
  <c r="AZ1219" i="1"/>
  <c r="AY1219" i="1"/>
  <c r="AX1219" i="1"/>
  <c r="AW1219" i="1"/>
  <c r="A1219" i="1"/>
  <c r="AZ1218" i="1"/>
  <c r="AY1218" i="1"/>
  <c r="AX1218" i="1"/>
  <c r="AW1218" i="1"/>
  <c r="A1218" i="1"/>
  <c r="AZ1217" i="1"/>
  <c r="AY1217" i="1"/>
  <c r="AX1217" i="1"/>
  <c r="AW1217" i="1"/>
  <c r="A1217" i="1"/>
  <c r="AZ1216" i="1"/>
  <c r="AY1216" i="1"/>
  <c r="AX1216" i="1"/>
  <c r="AW1216" i="1"/>
  <c r="A1216" i="1"/>
  <c r="AZ1215" i="1"/>
  <c r="AY1215" i="1"/>
  <c r="AX1215" i="1"/>
  <c r="AW1215" i="1"/>
  <c r="A1215" i="1"/>
  <c r="AZ1214" i="1"/>
  <c r="AY1214" i="1"/>
  <c r="AX1214" i="1"/>
  <c r="AW1214" i="1"/>
  <c r="A1214" i="1"/>
  <c r="AZ1213" i="1"/>
  <c r="AY1213" i="1"/>
  <c r="AX1213" i="1"/>
  <c r="AW1213" i="1"/>
  <c r="A1213" i="1"/>
  <c r="AZ1212" i="1"/>
  <c r="AY1212" i="1"/>
  <c r="AX1212" i="1"/>
  <c r="AW1212" i="1"/>
  <c r="A1212" i="1"/>
  <c r="AZ1211" i="1"/>
  <c r="AY1211" i="1"/>
  <c r="AX1211" i="1"/>
  <c r="AW1211" i="1"/>
  <c r="A1211" i="1"/>
  <c r="AZ1210" i="1"/>
  <c r="AY1210" i="1"/>
  <c r="AX1210" i="1"/>
  <c r="AW1210" i="1"/>
  <c r="A1210" i="1"/>
  <c r="AZ1209" i="1"/>
  <c r="AY1209" i="1"/>
  <c r="AX1209" i="1"/>
  <c r="AW1209" i="1"/>
  <c r="A1209" i="1"/>
  <c r="AZ1208" i="1"/>
  <c r="AY1208" i="1"/>
  <c r="AX1208" i="1"/>
  <c r="AW1208" i="1"/>
  <c r="A1208" i="1"/>
  <c r="AZ1207" i="1"/>
  <c r="AY1207" i="1"/>
  <c r="AX1207" i="1"/>
  <c r="AW1207" i="1"/>
  <c r="A1207" i="1"/>
  <c r="AZ1206" i="1"/>
  <c r="AY1206" i="1"/>
  <c r="AX1206" i="1"/>
  <c r="AW1206" i="1"/>
  <c r="A1206" i="1"/>
  <c r="AZ1205" i="1"/>
  <c r="AY1205" i="1"/>
  <c r="AX1205" i="1"/>
  <c r="AW1205" i="1"/>
  <c r="A1205" i="1"/>
  <c r="AZ1204" i="1"/>
  <c r="AY1204" i="1"/>
  <c r="AX1204" i="1"/>
  <c r="AW1204" i="1"/>
  <c r="A1204" i="1"/>
  <c r="AZ1203" i="1"/>
  <c r="AY1203" i="1"/>
  <c r="AX1203" i="1"/>
  <c r="AW1203" i="1"/>
  <c r="A1203" i="1"/>
  <c r="AZ1202" i="1"/>
  <c r="AY1202" i="1"/>
  <c r="AX1202" i="1"/>
  <c r="AW1202" i="1"/>
  <c r="A1202" i="1"/>
  <c r="AZ1201" i="1"/>
  <c r="AY1201" i="1"/>
  <c r="AX1201" i="1"/>
  <c r="AW1201" i="1"/>
  <c r="A1201" i="1"/>
  <c r="AZ1200" i="1"/>
  <c r="AY1200" i="1"/>
  <c r="AX1200" i="1"/>
  <c r="AW1200" i="1"/>
  <c r="A1200" i="1"/>
  <c r="AZ1199" i="1"/>
  <c r="AY1199" i="1"/>
  <c r="AX1199" i="1"/>
  <c r="AW1199" i="1"/>
  <c r="A1199" i="1"/>
  <c r="AZ1198" i="1"/>
  <c r="AY1198" i="1"/>
  <c r="AX1198" i="1"/>
  <c r="AW1198" i="1"/>
  <c r="A1198" i="1"/>
  <c r="AZ1197" i="1"/>
  <c r="AY1197" i="1"/>
  <c r="AX1197" i="1"/>
  <c r="AW1197" i="1"/>
  <c r="A1197" i="1"/>
  <c r="AZ1196" i="1"/>
  <c r="AY1196" i="1"/>
  <c r="AX1196" i="1"/>
  <c r="AW1196" i="1"/>
  <c r="A1196" i="1"/>
  <c r="AZ1195" i="1"/>
  <c r="AY1195" i="1"/>
  <c r="AX1195" i="1"/>
  <c r="AW1195" i="1"/>
  <c r="A1195" i="1"/>
  <c r="AZ1194" i="1"/>
  <c r="AY1194" i="1"/>
  <c r="AX1194" i="1"/>
  <c r="AW1194" i="1"/>
  <c r="A1194" i="1"/>
  <c r="AZ1193" i="1"/>
  <c r="AY1193" i="1"/>
  <c r="AX1193" i="1"/>
  <c r="AW1193" i="1"/>
  <c r="A1193" i="1"/>
  <c r="AZ1192" i="1"/>
  <c r="AY1192" i="1"/>
  <c r="AX1192" i="1"/>
  <c r="AW1192" i="1"/>
  <c r="A1192" i="1"/>
  <c r="AZ1191" i="1"/>
  <c r="AY1191" i="1"/>
  <c r="AX1191" i="1"/>
  <c r="AW1191" i="1"/>
  <c r="A1191" i="1"/>
  <c r="AZ1190" i="1"/>
  <c r="AY1190" i="1"/>
  <c r="AX1190" i="1"/>
  <c r="AW1190" i="1"/>
  <c r="A1190" i="1"/>
  <c r="AZ1189" i="1"/>
  <c r="AY1189" i="1"/>
  <c r="AX1189" i="1"/>
  <c r="AW1189" i="1"/>
  <c r="A1189" i="1"/>
  <c r="AZ1188" i="1"/>
  <c r="AY1188" i="1"/>
  <c r="AX1188" i="1"/>
  <c r="AW1188" i="1"/>
  <c r="A1188" i="1"/>
  <c r="AZ1187" i="1"/>
  <c r="AY1187" i="1"/>
  <c r="AX1187" i="1"/>
  <c r="AW1187" i="1"/>
  <c r="A1187" i="1"/>
  <c r="AZ1186" i="1"/>
  <c r="AY1186" i="1"/>
  <c r="AX1186" i="1"/>
  <c r="AW1186" i="1"/>
  <c r="A1186" i="1"/>
  <c r="AZ1185" i="1"/>
  <c r="AY1185" i="1"/>
  <c r="AX1185" i="1"/>
  <c r="AW1185" i="1"/>
  <c r="A1185" i="1"/>
  <c r="AZ1184" i="1"/>
  <c r="AY1184" i="1"/>
  <c r="AX1184" i="1"/>
  <c r="AW1184" i="1"/>
  <c r="A1184" i="1"/>
  <c r="AZ1183" i="1"/>
  <c r="AY1183" i="1"/>
  <c r="AX1183" i="1"/>
  <c r="AW1183" i="1"/>
  <c r="A1183" i="1"/>
  <c r="AZ1182" i="1"/>
  <c r="AY1182" i="1"/>
  <c r="AX1182" i="1"/>
  <c r="AW1182" i="1"/>
  <c r="A1182" i="1"/>
  <c r="AZ1181" i="1"/>
  <c r="AY1181" i="1"/>
  <c r="AX1181" i="1"/>
  <c r="AW1181" i="1"/>
  <c r="A1181" i="1"/>
  <c r="AZ1180" i="1"/>
  <c r="AY1180" i="1"/>
  <c r="AX1180" i="1"/>
  <c r="AW1180" i="1"/>
  <c r="A1180" i="1"/>
  <c r="AZ1179" i="1"/>
  <c r="AY1179" i="1"/>
  <c r="AX1179" i="1"/>
  <c r="AW1179" i="1"/>
  <c r="A1179" i="1"/>
  <c r="AZ1178" i="1"/>
  <c r="AY1178" i="1"/>
  <c r="AX1178" i="1"/>
  <c r="AW1178" i="1"/>
  <c r="A1178" i="1"/>
  <c r="AZ1177" i="1"/>
  <c r="AY1177" i="1"/>
  <c r="AX1177" i="1"/>
  <c r="AW1177" i="1"/>
  <c r="A1177" i="1"/>
  <c r="AZ1176" i="1"/>
  <c r="AY1176" i="1"/>
  <c r="AX1176" i="1"/>
  <c r="AW1176" i="1"/>
  <c r="A1176" i="1"/>
  <c r="AZ1175" i="1"/>
  <c r="AY1175" i="1"/>
  <c r="AX1175" i="1"/>
  <c r="AW1175" i="1"/>
  <c r="A1175" i="1"/>
  <c r="AZ1174" i="1"/>
  <c r="AY1174" i="1"/>
  <c r="AX1174" i="1"/>
  <c r="AW1174" i="1"/>
  <c r="A1174" i="1"/>
  <c r="AZ1173" i="1"/>
  <c r="AY1173" i="1"/>
  <c r="AX1173" i="1"/>
  <c r="AW1173" i="1"/>
  <c r="A1173" i="1"/>
  <c r="AZ1172" i="1"/>
  <c r="AY1172" i="1"/>
  <c r="AX1172" i="1"/>
  <c r="AW1172" i="1"/>
  <c r="A1172" i="1"/>
  <c r="AZ1171" i="1"/>
  <c r="AY1171" i="1"/>
  <c r="AX1171" i="1"/>
  <c r="AW1171" i="1"/>
  <c r="A1171" i="1"/>
  <c r="AZ1170" i="1"/>
  <c r="AY1170" i="1"/>
  <c r="AX1170" i="1"/>
  <c r="AW1170" i="1"/>
  <c r="A1170" i="1"/>
  <c r="AZ1169" i="1"/>
  <c r="AY1169" i="1"/>
  <c r="AX1169" i="1"/>
  <c r="AW1169" i="1"/>
  <c r="A1169" i="1"/>
  <c r="AZ1168" i="1"/>
  <c r="AY1168" i="1"/>
  <c r="AX1168" i="1"/>
  <c r="AW1168" i="1"/>
  <c r="A1168" i="1"/>
  <c r="AZ1167" i="1"/>
  <c r="AY1167" i="1"/>
  <c r="AX1167" i="1"/>
  <c r="AW1167" i="1"/>
  <c r="A1167" i="1"/>
  <c r="AZ1166" i="1"/>
  <c r="AY1166" i="1"/>
  <c r="AX1166" i="1"/>
  <c r="AW1166" i="1"/>
  <c r="A1166" i="1"/>
  <c r="AZ1165" i="1"/>
  <c r="AY1165" i="1"/>
  <c r="AX1165" i="1"/>
  <c r="AW1165" i="1"/>
  <c r="A1165" i="1"/>
  <c r="AZ1164" i="1"/>
  <c r="AY1164" i="1"/>
  <c r="AX1164" i="1"/>
  <c r="AW1164" i="1"/>
  <c r="A1164" i="1"/>
  <c r="AZ1163" i="1"/>
  <c r="AY1163" i="1"/>
  <c r="AX1163" i="1"/>
  <c r="AW1163" i="1"/>
  <c r="A1163" i="1"/>
  <c r="AZ1162" i="1"/>
  <c r="AY1162" i="1"/>
  <c r="AX1162" i="1"/>
  <c r="AW1162" i="1"/>
  <c r="A1162" i="1"/>
  <c r="AZ1161" i="1"/>
  <c r="AY1161" i="1"/>
  <c r="AX1161" i="1"/>
  <c r="AW1161" i="1"/>
  <c r="A1161" i="1"/>
  <c r="AZ1160" i="1"/>
  <c r="AY1160" i="1"/>
  <c r="AX1160" i="1"/>
  <c r="AW1160" i="1"/>
  <c r="A1160" i="1"/>
  <c r="AZ1159" i="1"/>
  <c r="AY1159" i="1"/>
  <c r="AX1159" i="1"/>
  <c r="AW1159" i="1"/>
  <c r="A1159" i="1"/>
  <c r="AZ1158" i="1"/>
  <c r="AY1158" i="1"/>
  <c r="AX1158" i="1"/>
  <c r="AW1158" i="1"/>
  <c r="A1158" i="1"/>
  <c r="AZ1157" i="1"/>
  <c r="AY1157" i="1"/>
  <c r="AX1157" i="1"/>
  <c r="AW1157" i="1"/>
  <c r="A1157" i="1"/>
  <c r="AZ1156" i="1"/>
  <c r="AY1156" i="1"/>
  <c r="AX1156" i="1"/>
  <c r="AW1156" i="1"/>
  <c r="A1156" i="1"/>
  <c r="AZ1155" i="1"/>
  <c r="AY1155" i="1"/>
  <c r="AX1155" i="1"/>
  <c r="AW1155" i="1"/>
  <c r="A1155" i="1"/>
  <c r="AZ1154" i="1"/>
  <c r="AY1154" i="1"/>
  <c r="AX1154" i="1"/>
  <c r="AW1154" i="1"/>
  <c r="A1154" i="1"/>
  <c r="AZ1153" i="1"/>
  <c r="AY1153" i="1"/>
  <c r="AX1153" i="1"/>
  <c r="AW1153" i="1"/>
  <c r="A1153" i="1"/>
  <c r="AZ1152" i="1"/>
  <c r="AY1152" i="1"/>
  <c r="AX1152" i="1"/>
  <c r="AW1152" i="1"/>
  <c r="A1152" i="1"/>
  <c r="AZ1151" i="1"/>
  <c r="AY1151" i="1"/>
  <c r="AX1151" i="1"/>
  <c r="AW1151" i="1"/>
  <c r="A1151" i="1"/>
  <c r="AZ1150" i="1"/>
  <c r="AY1150" i="1"/>
  <c r="AX1150" i="1"/>
  <c r="AW1150" i="1"/>
  <c r="A1150" i="1"/>
  <c r="AZ1149" i="1"/>
  <c r="AY1149" i="1"/>
  <c r="AX1149" i="1"/>
  <c r="AW1149" i="1"/>
  <c r="A1149" i="1"/>
  <c r="AZ1148" i="1"/>
  <c r="AY1148" i="1"/>
  <c r="AX1148" i="1"/>
  <c r="AW1148" i="1"/>
  <c r="A1148" i="1"/>
  <c r="AZ1147" i="1"/>
  <c r="AY1147" i="1"/>
  <c r="AX1147" i="1"/>
  <c r="AW1147" i="1"/>
  <c r="A1147" i="1"/>
  <c r="AZ1146" i="1"/>
  <c r="AY1146" i="1"/>
  <c r="AX1146" i="1"/>
  <c r="AW1146" i="1"/>
  <c r="A1146" i="1"/>
  <c r="AZ1145" i="1"/>
  <c r="AY1145" i="1"/>
  <c r="AX1145" i="1"/>
  <c r="AW1145" i="1"/>
  <c r="A1145" i="1"/>
  <c r="AZ1144" i="1"/>
  <c r="AY1144" i="1"/>
  <c r="AX1144" i="1"/>
  <c r="AW1144" i="1"/>
  <c r="A1144" i="1"/>
  <c r="AZ1143" i="1"/>
  <c r="AY1143" i="1"/>
  <c r="AX1143" i="1"/>
  <c r="AW1143" i="1"/>
  <c r="A1143" i="1"/>
  <c r="AZ1142" i="1"/>
  <c r="AY1142" i="1"/>
  <c r="AX1142" i="1"/>
  <c r="AW1142" i="1"/>
  <c r="A1142" i="1"/>
  <c r="AZ1141" i="1"/>
  <c r="AY1141" i="1"/>
  <c r="AX1141" i="1"/>
  <c r="AW1141" i="1"/>
  <c r="A1141" i="1"/>
  <c r="AZ1140" i="1"/>
  <c r="AY1140" i="1"/>
  <c r="AX1140" i="1"/>
  <c r="AW1140" i="1"/>
  <c r="A1140" i="1"/>
  <c r="AZ1139" i="1"/>
  <c r="AY1139" i="1"/>
  <c r="AX1139" i="1"/>
  <c r="AW1139" i="1"/>
  <c r="A1139" i="1"/>
  <c r="AZ1138" i="1"/>
  <c r="AY1138" i="1"/>
  <c r="AX1138" i="1"/>
  <c r="AW1138" i="1"/>
  <c r="A1138" i="1"/>
  <c r="AZ1137" i="1"/>
  <c r="AY1137" i="1"/>
  <c r="AX1137" i="1"/>
  <c r="AW1137" i="1"/>
  <c r="A1137" i="1"/>
  <c r="AZ1136" i="1"/>
  <c r="AY1136" i="1"/>
  <c r="AX1136" i="1"/>
  <c r="AW1136" i="1"/>
  <c r="A1136" i="1"/>
  <c r="AZ1135" i="1"/>
  <c r="AY1135" i="1"/>
  <c r="AX1135" i="1"/>
  <c r="AW1135" i="1"/>
  <c r="A1135" i="1"/>
  <c r="AZ1134" i="1"/>
  <c r="AY1134" i="1"/>
  <c r="AX1134" i="1"/>
  <c r="AW1134" i="1"/>
  <c r="A1134" i="1"/>
  <c r="AZ1133" i="1"/>
  <c r="AY1133" i="1"/>
  <c r="AX1133" i="1"/>
  <c r="AW1133" i="1"/>
  <c r="A1133" i="1"/>
  <c r="AZ1132" i="1"/>
  <c r="AY1132" i="1"/>
  <c r="AX1132" i="1"/>
  <c r="AW1132" i="1"/>
  <c r="A1132" i="1"/>
  <c r="AZ1131" i="1"/>
  <c r="AY1131" i="1"/>
  <c r="AX1131" i="1"/>
  <c r="AW1131" i="1"/>
  <c r="A1131" i="1"/>
  <c r="AZ1130" i="1"/>
  <c r="AY1130" i="1"/>
  <c r="AX1130" i="1"/>
  <c r="AW1130" i="1"/>
  <c r="A1130" i="1"/>
  <c r="AZ1129" i="1"/>
  <c r="AY1129" i="1"/>
  <c r="AX1129" i="1"/>
  <c r="AW1129" i="1"/>
  <c r="A1129" i="1"/>
  <c r="AZ1128" i="1"/>
  <c r="AY1128" i="1"/>
  <c r="AX1128" i="1"/>
  <c r="AW1128" i="1"/>
  <c r="A1128" i="1"/>
  <c r="AZ1127" i="1"/>
  <c r="AY1127" i="1"/>
  <c r="AX1127" i="1"/>
  <c r="AW1127" i="1"/>
  <c r="A1127" i="1"/>
  <c r="AZ1126" i="1"/>
  <c r="AY1126" i="1"/>
  <c r="AX1126" i="1"/>
  <c r="AW1126" i="1"/>
  <c r="A1126" i="1"/>
  <c r="AZ1125" i="1"/>
  <c r="AY1125" i="1"/>
  <c r="AX1125" i="1"/>
  <c r="AW1125" i="1"/>
  <c r="A1125" i="1"/>
  <c r="AZ1124" i="1"/>
  <c r="AY1124" i="1"/>
  <c r="AX1124" i="1"/>
  <c r="AW1124" i="1"/>
  <c r="A1124" i="1"/>
  <c r="AZ1123" i="1"/>
  <c r="AY1123" i="1"/>
  <c r="AX1123" i="1"/>
  <c r="AW1123" i="1"/>
  <c r="A1123" i="1"/>
  <c r="AZ1122" i="1"/>
  <c r="AY1122" i="1"/>
  <c r="AX1122" i="1"/>
  <c r="AW1122" i="1"/>
  <c r="A1122" i="1"/>
  <c r="AZ1121" i="1"/>
  <c r="AY1121" i="1"/>
  <c r="AX1121" i="1"/>
  <c r="AW1121" i="1"/>
  <c r="A1121" i="1"/>
  <c r="AZ1120" i="1"/>
  <c r="AY1120" i="1"/>
  <c r="AX1120" i="1"/>
  <c r="AW1120" i="1"/>
  <c r="A1120" i="1"/>
  <c r="AZ1119" i="1"/>
  <c r="AY1119" i="1"/>
  <c r="AX1119" i="1"/>
  <c r="AW1119" i="1"/>
  <c r="A1119" i="1"/>
  <c r="AZ1118" i="1"/>
  <c r="AY1118" i="1"/>
  <c r="AX1118" i="1"/>
  <c r="AW1118" i="1"/>
  <c r="A1118" i="1"/>
  <c r="AZ1117" i="1"/>
  <c r="AY1117" i="1"/>
  <c r="AX1117" i="1"/>
  <c r="AW1117" i="1"/>
  <c r="A1117" i="1"/>
  <c r="AZ1116" i="1"/>
  <c r="AY1116" i="1"/>
  <c r="AX1116" i="1"/>
  <c r="AW1116" i="1"/>
  <c r="A1116" i="1"/>
  <c r="AZ1115" i="1"/>
  <c r="AY1115" i="1"/>
  <c r="AX1115" i="1"/>
  <c r="AW1115" i="1"/>
  <c r="A1115" i="1"/>
  <c r="AZ1114" i="1"/>
  <c r="AY1114" i="1"/>
  <c r="AX1114" i="1"/>
  <c r="AW1114" i="1"/>
  <c r="A1114" i="1"/>
  <c r="AZ1113" i="1"/>
  <c r="AY1113" i="1"/>
  <c r="AX1113" i="1"/>
  <c r="AW1113" i="1"/>
  <c r="A1113" i="1"/>
  <c r="AZ1112" i="1"/>
  <c r="AY1112" i="1"/>
  <c r="AX1112" i="1"/>
  <c r="AW1112" i="1"/>
  <c r="A1112" i="1"/>
  <c r="AZ1111" i="1"/>
  <c r="AY1111" i="1"/>
  <c r="AX1111" i="1"/>
  <c r="AW1111" i="1"/>
  <c r="A1111" i="1"/>
  <c r="AZ1110" i="1"/>
  <c r="AY1110" i="1"/>
  <c r="AX1110" i="1"/>
  <c r="AW1110" i="1"/>
  <c r="A1110" i="1"/>
  <c r="AZ1109" i="1"/>
  <c r="AY1109" i="1"/>
  <c r="AX1109" i="1"/>
  <c r="AW1109" i="1"/>
  <c r="A1109" i="1"/>
  <c r="AZ1108" i="1"/>
  <c r="AY1108" i="1"/>
  <c r="AX1108" i="1"/>
  <c r="AW1108" i="1"/>
  <c r="A1108" i="1"/>
  <c r="AZ1107" i="1"/>
  <c r="AY1107" i="1"/>
  <c r="AX1107" i="1"/>
  <c r="AW1107" i="1"/>
  <c r="A1107" i="1"/>
  <c r="AZ1106" i="1"/>
  <c r="AY1106" i="1"/>
  <c r="AX1106" i="1"/>
  <c r="AW1106" i="1"/>
  <c r="A1106" i="1"/>
  <c r="AZ1105" i="1"/>
  <c r="AY1105" i="1"/>
  <c r="AX1105" i="1"/>
  <c r="AW1105" i="1"/>
  <c r="A1105" i="1"/>
  <c r="AZ1104" i="1"/>
  <c r="AY1104" i="1"/>
  <c r="AX1104" i="1"/>
  <c r="AW1104" i="1"/>
  <c r="A1104" i="1"/>
  <c r="AZ1103" i="1"/>
  <c r="AY1103" i="1"/>
  <c r="AX1103" i="1"/>
  <c r="AW1103" i="1"/>
  <c r="A1103" i="1"/>
  <c r="AZ1102" i="1"/>
  <c r="AY1102" i="1"/>
  <c r="AX1102" i="1"/>
  <c r="AW1102" i="1"/>
  <c r="A1102" i="1"/>
  <c r="AZ1101" i="1"/>
  <c r="AY1101" i="1"/>
  <c r="AX1101" i="1"/>
  <c r="AW1101" i="1"/>
  <c r="A1101" i="1"/>
  <c r="AZ1100" i="1"/>
  <c r="AY1100" i="1"/>
  <c r="AX1100" i="1"/>
  <c r="AW1100" i="1"/>
  <c r="A1100" i="1"/>
  <c r="AZ1099" i="1"/>
  <c r="AY1099" i="1"/>
  <c r="AX1099" i="1"/>
  <c r="AW1099" i="1"/>
  <c r="A1099" i="1"/>
  <c r="AZ1098" i="1"/>
  <c r="AY1098" i="1"/>
  <c r="AX1098" i="1"/>
  <c r="AW1098" i="1"/>
  <c r="A1098" i="1"/>
  <c r="AZ1097" i="1"/>
  <c r="AY1097" i="1"/>
  <c r="AX1097" i="1"/>
  <c r="AW1097" i="1"/>
  <c r="A1097" i="1"/>
  <c r="AZ1096" i="1"/>
  <c r="AY1096" i="1"/>
  <c r="AX1096" i="1"/>
  <c r="AW1096" i="1"/>
  <c r="A1096" i="1"/>
  <c r="AZ1095" i="1"/>
  <c r="AY1095" i="1"/>
  <c r="AX1095" i="1"/>
  <c r="AW1095" i="1"/>
  <c r="A1095" i="1"/>
  <c r="AZ1094" i="1"/>
  <c r="AY1094" i="1"/>
  <c r="AX1094" i="1"/>
  <c r="AW1094" i="1"/>
  <c r="A1094" i="1"/>
  <c r="AZ1093" i="1"/>
  <c r="AY1093" i="1"/>
  <c r="AX1093" i="1"/>
  <c r="AW1093" i="1"/>
  <c r="A1093" i="1"/>
  <c r="AZ1092" i="1"/>
  <c r="AY1092" i="1"/>
  <c r="AX1092" i="1"/>
  <c r="AW1092" i="1"/>
  <c r="A1092" i="1"/>
  <c r="AZ1091" i="1"/>
  <c r="AY1091" i="1"/>
  <c r="AX1091" i="1"/>
  <c r="AW1091" i="1"/>
  <c r="A1091" i="1"/>
  <c r="AZ1090" i="1"/>
  <c r="AY1090" i="1"/>
  <c r="AX1090" i="1"/>
  <c r="AW1090" i="1"/>
  <c r="A1090" i="1"/>
  <c r="AZ1089" i="1"/>
  <c r="AY1089" i="1"/>
  <c r="AX1089" i="1"/>
  <c r="AW1089" i="1"/>
  <c r="A1089" i="1"/>
  <c r="AZ1088" i="1"/>
  <c r="AY1088" i="1"/>
  <c r="AX1088" i="1"/>
  <c r="AW1088" i="1"/>
  <c r="A1088" i="1"/>
  <c r="AZ1087" i="1"/>
  <c r="AY1087" i="1"/>
  <c r="AX1087" i="1"/>
  <c r="AW1087" i="1"/>
  <c r="A1087" i="1"/>
  <c r="AZ1086" i="1"/>
  <c r="AY1086" i="1"/>
  <c r="AX1086" i="1"/>
  <c r="AW1086" i="1"/>
  <c r="A1086" i="1"/>
  <c r="AZ1085" i="1"/>
  <c r="AY1085" i="1"/>
  <c r="AX1085" i="1"/>
  <c r="AW1085" i="1"/>
  <c r="A1085" i="1"/>
  <c r="AZ1084" i="1"/>
  <c r="AY1084" i="1"/>
  <c r="AX1084" i="1"/>
  <c r="AW1084" i="1"/>
  <c r="A1084" i="1"/>
  <c r="AZ1083" i="1"/>
  <c r="AY1083" i="1"/>
  <c r="AX1083" i="1"/>
  <c r="AW1083" i="1"/>
  <c r="A1083" i="1"/>
  <c r="AZ1082" i="1"/>
  <c r="AY1082" i="1"/>
  <c r="AX1082" i="1"/>
  <c r="AW1082" i="1"/>
  <c r="A1082" i="1"/>
  <c r="AZ1081" i="1"/>
  <c r="AY1081" i="1"/>
  <c r="AX1081" i="1"/>
  <c r="AW1081" i="1"/>
  <c r="A1081" i="1"/>
  <c r="AZ1080" i="1"/>
  <c r="AY1080" i="1"/>
  <c r="AX1080" i="1"/>
  <c r="AW1080" i="1"/>
  <c r="A1080" i="1"/>
  <c r="AZ1079" i="1"/>
  <c r="AY1079" i="1"/>
  <c r="AX1079" i="1"/>
  <c r="AW1079" i="1"/>
  <c r="A1079" i="1"/>
  <c r="AZ1078" i="1"/>
  <c r="AY1078" i="1"/>
  <c r="AX1078" i="1"/>
  <c r="AW1078" i="1"/>
  <c r="A1078" i="1"/>
  <c r="AZ1077" i="1"/>
  <c r="AY1077" i="1"/>
  <c r="AX1077" i="1"/>
  <c r="AW1077" i="1"/>
  <c r="A1077" i="1"/>
  <c r="AZ1076" i="1"/>
  <c r="AY1076" i="1"/>
  <c r="AX1076" i="1"/>
  <c r="AW1076" i="1"/>
  <c r="A1076" i="1"/>
  <c r="AZ1075" i="1"/>
  <c r="AY1075" i="1"/>
  <c r="AX1075" i="1"/>
  <c r="AW1075" i="1"/>
  <c r="A1075" i="1"/>
  <c r="AZ1074" i="1"/>
  <c r="AY1074" i="1"/>
  <c r="AX1074" i="1"/>
  <c r="AW1074" i="1"/>
  <c r="A1074" i="1"/>
  <c r="AZ1073" i="1"/>
  <c r="AY1073" i="1"/>
  <c r="AX1073" i="1"/>
  <c r="AW1073" i="1"/>
  <c r="A1073" i="1"/>
  <c r="AZ1072" i="1"/>
  <c r="AY1072" i="1"/>
  <c r="AX1072" i="1"/>
  <c r="AW1072" i="1"/>
  <c r="A1072" i="1"/>
  <c r="AZ1071" i="1"/>
  <c r="AY1071" i="1"/>
  <c r="AX1071" i="1"/>
  <c r="AW1071" i="1"/>
  <c r="A1071" i="1"/>
  <c r="AZ1070" i="1"/>
  <c r="AY1070" i="1"/>
  <c r="AX1070" i="1"/>
  <c r="AW1070" i="1"/>
  <c r="A1070" i="1"/>
  <c r="AZ1069" i="1"/>
  <c r="AY1069" i="1"/>
  <c r="AX1069" i="1"/>
  <c r="AW1069" i="1"/>
  <c r="A1069" i="1"/>
  <c r="AZ1068" i="1"/>
  <c r="AY1068" i="1"/>
  <c r="AX1068" i="1"/>
  <c r="AW1068" i="1"/>
  <c r="A1068" i="1"/>
  <c r="AZ1067" i="1"/>
  <c r="AY1067" i="1"/>
  <c r="AX1067" i="1"/>
  <c r="AW1067" i="1"/>
  <c r="A1067" i="1"/>
  <c r="AZ1066" i="1"/>
  <c r="AY1066" i="1"/>
  <c r="AX1066" i="1"/>
  <c r="AW1066" i="1"/>
  <c r="A1066" i="1"/>
  <c r="AZ1065" i="1"/>
  <c r="AY1065" i="1"/>
  <c r="AX1065" i="1"/>
  <c r="AW1065" i="1"/>
  <c r="A1065" i="1"/>
  <c r="AZ1064" i="1"/>
  <c r="AY1064" i="1"/>
  <c r="AX1064" i="1"/>
  <c r="AW1064" i="1"/>
  <c r="A1064" i="1"/>
  <c r="AZ1063" i="1"/>
  <c r="AY1063" i="1"/>
  <c r="AX1063" i="1"/>
  <c r="AW1063" i="1"/>
  <c r="A1063" i="1"/>
  <c r="AZ1062" i="1"/>
  <c r="AY1062" i="1"/>
  <c r="AX1062" i="1"/>
  <c r="AW1062" i="1"/>
  <c r="A1062" i="1"/>
  <c r="AZ1061" i="1"/>
  <c r="AY1061" i="1"/>
  <c r="AX1061" i="1"/>
  <c r="AW1061" i="1"/>
  <c r="A1061" i="1"/>
  <c r="AZ1060" i="1"/>
  <c r="AY1060" i="1"/>
  <c r="AX1060" i="1"/>
  <c r="AW1060" i="1"/>
  <c r="A1060" i="1"/>
  <c r="AZ1059" i="1"/>
  <c r="AY1059" i="1"/>
  <c r="AX1059" i="1"/>
  <c r="AW1059" i="1"/>
  <c r="A1059" i="1"/>
  <c r="AZ1058" i="1"/>
  <c r="AY1058" i="1"/>
  <c r="AX1058" i="1"/>
  <c r="AW1058" i="1"/>
  <c r="A1058" i="1"/>
  <c r="AZ1057" i="1"/>
  <c r="AY1057" i="1"/>
  <c r="AX1057" i="1"/>
  <c r="AW1057" i="1"/>
  <c r="A1057" i="1"/>
  <c r="AZ1056" i="1"/>
  <c r="AY1056" i="1"/>
  <c r="AX1056" i="1"/>
  <c r="AW1056" i="1"/>
  <c r="A1056" i="1"/>
  <c r="AZ1055" i="1"/>
  <c r="AY1055" i="1"/>
  <c r="AX1055" i="1"/>
  <c r="AW1055" i="1"/>
  <c r="A1055" i="1"/>
  <c r="AZ1054" i="1"/>
  <c r="AY1054" i="1"/>
  <c r="AX1054" i="1"/>
  <c r="AW1054" i="1"/>
  <c r="A1054" i="1"/>
  <c r="AZ1053" i="1"/>
  <c r="AY1053" i="1"/>
  <c r="AX1053" i="1"/>
  <c r="AW1053" i="1"/>
  <c r="A1053" i="1"/>
  <c r="AZ1052" i="1"/>
  <c r="AY1052" i="1"/>
  <c r="AX1052" i="1"/>
  <c r="AW1052" i="1"/>
  <c r="A1052" i="1"/>
  <c r="AZ1051" i="1"/>
  <c r="AY1051" i="1"/>
  <c r="AX1051" i="1"/>
  <c r="AW1051" i="1"/>
  <c r="A1051" i="1"/>
  <c r="AZ1050" i="1"/>
  <c r="AY1050" i="1"/>
  <c r="AX1050" i="1"/>
  <c r="AW1050" i="1"/>
  <c r="A1050" i="1"/>
  <c r="AZ1049" i="1"/>
  <c r="AY1049" i="1"/>
  <c r="AX1049" i="1"/>
  <c r="AW1049" i="1"/>
  <c r="A1049" i="1"/>
  <c r="AZ1048" i="1"/>
  <c r="AY1048" i="1"/>
  <c r="AX1048" i="1"/>
  <c r="AW1048" i="1"/>
  <c r="A1048" i="1"/>
  <c r="AZ1047" i="1"/>
  <c r="AY1047" i="1"/>
  <c r="AX1047" i="1"/>
  <c r="AW1047" i="1"/>
  <c r="A1047" i="1"/>
  <c r="AZ1046" i="1"/>
  <c r="AY1046" i="1"/>
  <c r="AX1046" i="1"/>
  <c r="AW1046" i="1"/>
  <c r="A1046" i="1"/>
  <c r="AZ1045" i="1"/>
  <c r="AY1045" i="1"/>
  <c r="AX1045" i="1"/>
  <c r="AW1045" i="1"/>
  <c r="A1045" i="1"/>
  <c r="AZ1044" i="1"/>
  <c r="AY1044" i="1"/>
  <c r="AX1044" i="1"/>
  <c r="AW1044" i="1"/>
  <c r="A1044" i="1"/>
  <c r="AZ1043" i="1"/>
  <c r="AY1043" i="1"/>
  <c r="AX1043" i="1"/>
  <c r="AW1043" i="1"/>
  <c r="A1043" i="1"/>
  <c r="AZ1042" i="1"/>
  <c r="AY1042" i="1"/>
  <c r="AX1042" i="1"/>
  <c r="AW1042" i="1"/>
  <c r="A1042" i="1"/>
  <c r="AZ1041" i="1"/>
  <c r="AY1041" i="1"/>
  <c r="AX1041" i="1"/>
  <c r="AW1041" i="1"/>
  <c r="A1041" i="1"/>
  <c r="AZ1040" i="1"/>
  <c r="AY1040" i="1"/>
  <c r="AX1040" i="1"/>
  <c r="AW1040" i="1"/>
  <c r="A1040" i="1"/>
  <c r="AZ1039" i="1"/>
  <c r="AY1039" i="1"/>
  <c r="AX1039" i="1"/>
  <c r="AW1039" i="1"/>
  <c r="A1039" i="1"/>
  <c r="AZ1038" i="1"/>
  <c r="AY1038" i="1"/>
  <c r="AX1038" i="1"/>
  <c r="AW1038" i="1"/>
  <c r="A1038" i="1"/>
  <c r="AZ1037" i="1"/>
  <c r="AY1037" i="1"/>
  <c r="AX1037" i="1"/>
  <c r="AW1037" i="1"/>
  <c r="A1037" i="1"/>
  <c r="AZ1036" i="1"/>
  <c r="AY1036" i="1"/>
  <c r="AX1036" i="1"/>
  <c r="AW1036" i="1"/>
  <c r="A1036" i="1"/>
  <c r="AZ1035" i="1"/>
  <c r="AY1035" i="1"/>
  <c r="AX1035" i="1"/>
  <c r="AW1035" i="1"/>
  <c r="A1035" i="1"/>
  <c r="AZ1034" i="1"/>
  <c r="AY1034" i="1"/>
  <c r="AX1034" i="1"/>
  <c r="AW1034" i="1"/>
  <c r="A1034" i="1"/>
  <c r="AZ1033" i="1"/>
  <c r="AY1033" i="1"/>
  <c r="AX1033" i="1"/>
  <c r="AW1033" i="1"/>
  <c r="A1033" i="1"/>
  <c r="AZ1032" i="1"/>
  <c r="AY1032" i="1"/>
  <c r="AX1032" i="1"/>
  <c r="AW1032" i="1"/>
  <c r="A1032" i="1"/>
  <c r="AZ1031" i="1"/>
  <c r="AY1031" i="1"/>
  <c r="AX1031" i="1"/>
  <c r="AW1031" i="1"/>
  <c r="A1031" i="1"/>
  <c r="AZ1030" i="1"/>
  <c r="AY1030" i="1"/>
  <c r="AX1030" i="1"/>
  <c r="AW1030" i="1"/>
  <c r="A1030" i="1"/>
  <c r="AZ1029" i="1"/>
  <c r="AY1029" i="1"/>
  <c r="AX1029" i="1"/>
  <c r="AW1029" i="1"/>
  <c r="A1029" i="1"/>
  <c r="AZ1028" i="1"/>
  <c r="AY1028" i="1"/>
  <c r="AX1028" i="1"/>
  <c r="AW1028" i="1"/>
  <c r="A1028" i="1"/>
  <c r="AZ1027" i="1"/>
  <c r="AY1027" i="1"/>
  <c r="AX1027" i="1"/>
  <c r="AW1027" i="1"/>
  <c r="A1027" i="1"/>
  <c r="AZ1026" i="1"/>
  <c r="AY1026" i="1"/>
  <c r="AX1026" i="1"/>
  <c r="AW1026" i="1"/>
  <c r="A1026" i="1"/>
  <c r="AZ1025" i="1"/>
  <c r="AY1025" i="1"/>
  <c r="AX1025" i="1"/>
  <c r="AW1025" i="1"/>
  <c r="A1025" i="1"/>
  <c r="AZ1024" i="1"/>
  <c r="AY1024" i="1"/>
  <c r="AX1024" i="1"/>
  <c r="AW1024" i="1"/>
  <c r="A1024" i="1"/>
  <c r="AZ1023" i="1"/>
  <c r="AY1023" i="1"/>
  <c r="AX1023" i="1"/>
  <c r="AW1023" i="1"/>
  <c r="A1023" i="1"/>
  <c r="AZ1022" i="1"/>
  <c r="AY1022" i="1"/>
  <c r="AX1022" i="1"/>
  <c r="AW1022" i="1"/>
  <c r="A1022" i="1"/>
  <c r="AZ1021" i="1"/>
  <c r="AY1021" i="1"/>
  <c r="AX1021" i="1"/>
  <c r="AW1021" i="1"/>
  <c r="A1021" i="1"/>
  <c r="AZ1020" i="1"/>
  <c r="AY1020" i="1"/>
  <c r="AX1020" i="1"/>
  <c r="AW1020" i="1"/>
  <c r="A1020" i="1"/>
  <c r="AZ1019" i="1"/>
  <c r="AY1019" i="1"/>
  <c r="AX1019" i="1"/>
  <c r="AW1019" i="1"/>
  <c r="A1019" i="1"/>
  <c r="AZ1018" i="1"/>
  <c r="AY1018" i="1"/>
  <c r="AX1018" i="1"/>
  <c r="AW1018" i="1"/>
  <c r="A1018" i="1"/>
  <c r="AZ1017" i="1"/>
  <c r="AY1017" i="1"/>
  <c r="AX1017" i="1"/>
  <c r="AW1017" i="1"/>
  <c r="A1017" i="1"/>
  <c r="AZ1016" i="1"/>
  <c r="AY1016" i="1"/>
  <c r="AX1016" i="1"/>
  <c r="AW1016" i="1"/>
  <c r="A1016" i="1"/>
  <c r="AZ1015" i="1"/>
  <c r="AY1015" i="1"/>
  <c r="AX1015" i="1"/>
  <c r="AW1015" i="1"/>
  <c r="A1015" i="1"/>
  <c r="AZ1014" i="1"/>
  <c r="AY1014" i="1"/>
  <c r="AX1014" i="1"/>
  <c r="AW1014" i="1"/>
  <c r="A1014" i="1"/>
  <c r="AZ1013" i="1"/>
  <c r="AY1013" i="1"/>
  <c r="AX1013" i="1"/>
  <c r="AW1013" i="1"/>
  <c r="A1013" i="1"/>
  <c r="AZ1012" i="1"/>
  <c r="AY1012" i="1"/>
  <c r="AX1012" i="1"/>
  <c r="AW1012" i="1"/>
  <c r="A1012" i="1"/>
  <c r="AZ1011" i="1"/>
  <c r="AY1011" i="1"/>
  <c r="AX1011" i="1"/>
  <c r="AW1011" i="1"/>
  <c r="A1011" i="1"/>
  <c r="AZ1010" i="1"/>
  <c r="AY1010" i="1"/>
  <c r="AX1010" i="1"/>
  <c r="AW1010" i="1"/>
  <c r="A1010" i="1"/>
  <c r="AZ1009" i="1"/>
  <c r="AY1009" i="1"/>
  <c r="AX1009" i="1"/>
  <c r="AW1009" i="1"/>
  <c r="A1009" i="1"/>
  <c r="AZ1008" i="1"/>
  <c r="AY1008" i="1"/>
  <c r="AX1008" i="1"/>
  <c r="AW1008" i="1"/>
  <c r="A1008" i="1"/>
  <c r="AZ1007" i="1"/>
  <c r="AY1007" i="1"/>
  <c r="AX1007" i="1"/>
  <c r="AW1007" i="1"/>
  <c r="A1007" i="1"/>
  <c r="AZ1006" i="1"/>
  <c r="AY1006" i="1"/>
  <c r="AX1006" i="1"/>
  <c r="AW1006" i="1"/>
  <c r="A1006" i="1"/>
  <c r="AZ1005" i="1"/>
  <c r="AY1005" i="1"/>
  <c r="AX1005" i="1"/>
  <c r="AW1005" i="1"/>
  <c r="A1005" i="1"/>
  <c r="AZ1004" i="1"/>
  <c r="AY1004" i="1"/>
  <c r="AX1004" i="1"/>
  <c r="AW1004" i="1"/>
  <c r="A1004" i="1"/>
  <c r="AZ1003" i="1"/>
  <c r="AY1003" i="1"/>
  <c r="AX1003" i="1"/>
  <c r="AW1003" i="1"/>
  <c r="A1003" i="1"/>
  <c r="AZ1002" i="1"/>
  <c r="AY1002" i="1"/>
  <c r="AX1002" i="1"/>
  <c r="AW1002" i="1"/>
  <c r="A1002" i="1"/>
  <c r="AZ1001" i="1"/>
  <c r="AY1001" i="1"/>
  <c r="AX1001" i="1"/>
  <c r="AW1001" i="1"/>
  <c r="A1001" i="1"/>
  <c r="AZ1000" i="1"/>
  <c r="AY1000" i="1"/>
  <c r="AX1000" i="1"/>
  <c r="AW1000" i="1"/>
  <c r="A1000" i="1"/>
  <c r="AZ999" i="1"/>
  <c r="AY999" i="1"/>
  <c r="AX999" i="1"/>
  <c r="AW999" i="1"/>
  <c r="A999" i="1"/>
  <c r="AZ998" i="1"/>
  <c r="AY998" i="1"/>
  <c r="AX998" i="1"/>
  <c r="AW998" i="1"/>
  <c r="A998" i="1"/>
  <c r="AZ997" i="1"/>
  <c r="AY997" i="1"/>
  <c r="AX997" i="1"/>
  <c r="AW997" i="1"/>
  <c r="A997" i="1"/>
  <c r="AZ996" i="1"/>
  <c r="AY996" i="1"/>
  <c r="AX996" i="1"/>
  <c r="AW996" i="1"/>
  <c r="A996" i="1"/>
  <c r="AZ995" i="1"/>
  <c r="AY995" i="1"/>
  <c r="AX995" i="1"/>
  <c r="AW995" i="1"/>
  <c r="A995" i="1"/>
  <c r="AZ994" i="1"/>
  <c r="AY994" i="1"/>
  <c r="AX994" i="1"/>
  <c r="AW994" i="1"/>
  <c r="A994" i="1"/>
  <c r="AZ993" i="1"/>
  <c r="AY993" i="1"/>
  <c r="AX993" i="1"/>
  <c r="AW993" i="1"/>
  <c r="A993" i="1"/>
  <c r="AZ992" i="1"/>
  <c r="AY992" i="1"/>
  <c r="AX992" i="1"/>
  <c r="AW992" i="1"/>
  <c r="A992" i="1"/>
  <c r="AZ991" i="1"/>
  <c r="AY991" i="1"/>
  <c r="AX991" i="1"/>
  <c r="AW991" i="1"/>
  <c r="A991" i="1"/>
  <c r="AZ990" i="1"/>
  <c r="AY990" i="1"/>
  <c r="AX990" i="1"/>
  <c r="AW990" i="1"/>
  <c r="A990" i="1"/>
  <c r="AZ989" i="1"/>
  <c r="AY989" i="1"/>
  <c r="AX989" i="1"/>
  <c r="AW989" i="1"/>
  <c r="A989" i="1"/>
  <c r="AZ988" i="1"/>
  <c r="AY988" i="1"/>
  <c r="AX988" i="1"/>
  <c r="AW988" i="1"/>
  <c r="A988" i="1"/>
  <c r="AZ987" i="1"/>
  <c r="AY987" i="1"/>
  <c r="AX987" i="1"/>
  <c r="AW987" i="1"/>
  <c r="A987" i="1"/>
  <c r="AZ986" i="1"/>
  <c r="AY986" i="1"/>
  <c r="AX986" i="1"/>
  <c r="AW986" i="1"/>
  <c r="A986" i="1"/>
  <c r="AZ985" i="1"/>
  <c r="AY985" i="1"/>
  <c r="AX985" i="1"/>
  <c r="AW985" i="1"/>
  <c r="A985" i="1"/>
  <c r="AZ984" i="1"/>
  <c r="AY984" i="1"/>
  <c r="AX984" i="1"/>
  <c r="AW984" i="1"/>
  <c r="A984" i="1"/>
  <c r="AZ983" i="1"/>
  <c r="AY983" i="1"/>
  <c r="AX983" i="1"/>
  <c r="AW983" i="1"/>
  <c r="A983" i="1"/>
  <c r="AZ982" i="1"/>
  <c r="AY982" i="1"/>
  <c r="AX982" i="1"/>
  <c r="AW982" i="1"/>
  <c r="A982" i="1"/>
  <c r="AZ981" i="1"/>
  <c r="AY981" i="1"/>
  <c r="AX981" i="1"/>
  <c r="AW981" i="1"/>
  <c r="A981" i="1"/>
  <c r="AZ980" i="1"/>
  <c r="AY980" i="1"/>
  <c r="AX980" i="1"/>
  <c r="AW980" i="1"/>
  <c r="A980" i="1"/>
  <c r="AZ979" i="1"/>
  <c r="AY979" i="1"/>
  <c r="AX979" i="1"/>
  <c r="AW979" i="1"/>
  <c r="A979" i="1"/>
  <c r="AZ978" i="1"/>
  <c r="AY978" i="1"/>
  <c r="AX978" i="1"/>
  <c r="AW978" i="1"/>
  <c r="A978" i="1"/>
  <c r="AZ977" i="1"/>
  <c r="AY977" i="1"/>
  <c r="AX977" i="1"/>
  <c r="AW977" i="1"/>
  <c r="A977" i="1"/>
  <c r="AZ976" i="1"/>
  <c r="AY976" i="1"/>
  <c r="AX976" i="1"/>
  <c r="AW976" i="1"/>
  <c r="A976" i="1"/>
  <c r="AZ975" i="1"/>
  <c r="AY975" i="1"/>
  <c r="AX975" i="1"/>
  <c r="AW975" i="1"/>
  <c r="A975" i="1"/>
  <c r="AZ974" i="1"/>
  <c r="AY974" i="1"/>
  <c r="AX974" i="1"/>
  <c r="AW974" i="1"/>
  <c r="A974" i="1"/>
  <c r="AZ973" i="1"/>
  <c r="AY973" i="1"/>
  <c r="AX973" i="1"/>
  <c r="AW973" i="1"/>
  <c r="A973" i="1"/>
  <c r="AZ972" i="1"/>
  <c r="AY972" i="1"/>
  <c r="AX972" i="1"/>
  <c r="AW972" i="1"/>
  <c r="A972" i="1"/>
  <c r="AZ971" i="1"/>
  <c r="AY971" i="1"/>
  <c r="AX971" i="1"/>
  <c r="AW971" i="1"/>
  <c r="A971" i="1"/>
  <c r="AZ970" i="1"/>
  <c r="AY970" i="1"/>
  <c r="AX970" i="1"/>
  <c r="AW970" i="1"/>
  <c r="A970" i="1"/>
  <c r="AZ969" i="1"/>
  <c r="AY969" i="1"/>
  <c r="AX969" i="1"/>
  <c r="AW969" i="1"/>
  <c r="A969" i="1"/>
  <c r="AZ968" i="1"/>
  <c r="AY968" i="1"/>
  <c r="AX968" i="1"/>
  <c r="AW968" i="1"/>
  <c r="A968" i="1"/>
  <c r="AZ967" i="1"/>
  <c r="AY967" i="1"/>
  <c r="AX967" i="1"/>
  <c r="AW967" i="1"/>
  <c r="A967" i="1"/>
  <c r="AZ966" i="1"/>
  <c r="AY966" i="1"/>
  <c r="AX966" i="1"/>
  <c r="AW966" i="1"/>
  <c r="A966" i="1"/>
  <c r="AZ965" i="1"/>
  <c r="AY965" i="1"/>
  <c r="AX965" i="1"/>
  <c r="AW965" i="1"/>
  <c r="A965" i="1"/>
  <c r="AZ964" i="1"/>
  <c r="AY964" i="1"/>
  <c r="AX964" i="1"/>
  <c r="AW964" i="1"/>
  <c r="A964" i="1"/>
  <c r="AZ963" i="1"/>
  <c r="AY963" i="1"/>
  <c r="AX963" i="1"/>
  <c r="AW963" i="1"/>
  <c r="A963" i="1"/>
  <c r="AZ962" i="1"/>
  <c r="AY962" i="1"/>
  <c r="AX962" i="1"/>
  <c r="AW962" i="1"/>
  <c r="A962" i="1"/>
  <c r="AZ961" i="1"/>
  <c r="AY961" i="1"/>
  <c r="AX961" i="1"/>
  <c r="AW961" i="1"/>
  <c r="A961" i="1"/>
  <c r="AZ960" i="1"/>
  <c r="AY960" i="1"/>
  <c r="AX960" i="1"/>
  <c r="AW960" i="1"/>
  <c r="A960" i="1"/>
  <c r="AZ959" i="1"/>
  <c r="AY959" i="1"/>
  <c r="AX959" i="1"/>
  <c r="AW959" i="1"/>
  <c r="A959" i="1"/>
  <c r="AZ958" i="1"/>
  <c r="AY958" i="1"/>
  <c r="AX958" i="1"/>
  <c r="AW958" i="1"/>
  <c r="A958" i="1"/>
  <c r="AZ957" i="1"/>
  <c r="AY957" i="1"/>
  <c r="AX957" i="1"/>
  <c r="AW957" i="1"/>
  <c r="A957" i="1"/>
  <c r="AZ956" i="1"/>
  <c r="AY956" i="1"/>
  <c r="AX956" i="1"/>
  <c r="AW956" i="1"/>
  <c r="A956" i="1"/>
  <c r="AZ955" i="1"/>
  <c r="AY955" i="1"/>
  <c r="AX955" i="1"/>
  <c r="AW955" i="1"/>
  <c r="A955" i="1"/>
  <c r="AZ954" i="1"/>
  <c r="AY954" i="1"/>
  <c r="AX954" i="1"/>
  <c r="AW954" i="1"/>
  <c r="A954" i="1"/>
  <c r="AZ953" i="1"/>
  <c r="AY953" i="1"/>
  <c r="AX953" i="1"/>
  <c r="AW953" i="1"/>
  <c r="A953" i="1"/>
  <c r="AZ952" i="1"/>
  <c r="AY952" i="1"/>
  <c r="AX952" i="1"/>
  <c r="AW952" i="1"/>
  <c r="A952" i="1"/>
  <c r="AZ951" i="1"/>
  <c r="AY951" i="1"/>
  <c r="AX951" i="1"/>
  <c r="AW951" i="1"/>
  <c r="A951" i="1"/>
  <c r="AZ950" i="1"/>
  <c r="AY950" i="1"/>
  <c r="AX950" i="1"/>
  <c r="AW950" i="1"/>
  <c r="A950" i="1"/>
  <c r="AZ949" i="1"/>
  <c r="AY949" i="1"/>
  <c r="AX949" i="1"/>
  <c r="AW949" i="1"/>
  <c r="A949" i="1"/>
  <c r="AZ948" i="1"/>
  <c r="AY948" i="1"/>
  <c r="AX948" i="1"/>
  <c r="AW948" i="1"/>
  <c r="A948" i="1"/>
  <c r="AZ947" i="1"/>
  <c r="AY947" i="1"/>
  <c r="AX947" i="1"/>
  <c r="AW947" i="1"/>
  <c r="A947" i="1"/>
  <c r="AZ946" i="1"/>
  <c r="AY946" i="1"/>
  <c r="AX946" i="1"/>
  <c r="AW946" i="1"/>
  <c r="A946" i="1"/>
  <c r="AZ945" i="1"/>
  <c r="AY945" i="1"/>
  <c r="AX945" i="1"/>
  <c r="AW945" i="1"/>
  <c r="A945" i="1"/>
  <c r="AZ944" i="1"/>
  <c r="AY944" i="1"/>
  <c r="AX944" i="1"/>
  <c r="AW944" i="1"/>
  <c r="A944" i="1"/>
  <c r="AZ943" i="1"/>
  <c r="AY943" i="1"/>
  <c r="AX943" i="1"/>
  <c r="AW943" i="1"/>
  <c r="A943" i="1"/>
  <c r="AZ942" i="1"/>
  <c r="AY942" i="1"/>
  <c r="AX942" i="1"/>
  <c r="AW942" i="1"/>
  <c r="A942" i="1"/>
  <c r="AZ941" i="1"/>
  <c r="AY941" i="1"/>
  <c r="AX941" i="1"/>
  <c r="AW941" i="1"/>
  <c r="A941" i="1"/>
  <c r="AZ940" i="1"/>
  <c r="AY940" i="1"/>
  <c r="AX940" i="1"/>
  <c r="AW940" i="1"/>
  <c r="A940" i="1"/>
  <c r="AZ939" i="1"/>
  <c r="AY939" i="1"/>
  <c r="AX939" i="1"/>
  <c r="AW939" i="1"/>
  <c r="A939" i="1"/>
  <c r="AZ938" i="1"/>
  <c r="AY938" i="1"/>
  <c r="AX938" i="1"/>
  <c r="AW938" i="1"/>
  <c r="A938" i="1"/>
  <c r="AZ937" i="1"/>
  <c r="AY937" i="1"/>
  <c r="AX937" i="1"/>
  <c r="AW937" i="1"/>
  <c r="A937" i="1"/>
  <c r="AZ936" i="1"/>
  <c r="AY936" i="1"/>
  <c r="AX936" i="1"/>
  <c r="AW936" i="1"/>
  <c r="A936" i="1"/>
  <c r="AZ935" i="1"/>
  <c r="AY935" i="1"/>
  <c r="AX935" i="1"/>
  <c r="AW935" i="1"/>
  <c r="A935" i="1"/>
  <c r="AZ934" i="1"/>
  <c r="AY934" i="1"/>
  <c r="AX934" i="1"/>
  <c r="AW934" i="1"/>
  <c r="A934" i="1"/>
  <c r="AZ933" i="1"/>
  <c r="AY933" i="1"/>
  <c r="AX933" i="1"/>
  <c r="AW933" i="1"/>
  <c r="A933" i="1"/>
  <c r="AZ932" i="1"/>
  <c r="AY932" i="1"/>
  <c r="AX932" i="1"/>
  <c r="AW932" i="1"/>
  <c r="A932" i="1"/>
  <c r="AZ931" i="1"/>
  <c r="AY931" i="1"/>
  <c r="AX931" i="1"/>
  <c r="AW931" i="1"/>
  <c r="A931" i="1"/>
  <c r="AZ930" i="1"/>
  <c r="AY930" i="1"/>
  <c r="AX930" i="1"/>
  <c r="AW930" i="1"/>
  <c r="A930" i="1"/>
  <c r="AZ929" i="1"/>
  <c r="AY929" i="1"/>
  <c r="AX929" i="1"/>
  <c r="AW929" i="1"/>
  <c r="A929" i="1"/>
  <c r="AZ928" i="1"/>
  <c r="AY928" i="1"/>
  <c r="AX928" i="1"/>
  <c r="AW928" i="1"/>
  <c r="A928" i="1"/>
  <c r="AZ927" i="1"/>
  <c r="AY927" i="1"/>
  <c r="AX927" i="1"/>
  <c r="AW927" i="1"/>
  <c r="A927" i="1"/>
  <c r="AZ926" i="1"/>
  <c r="AY926" i="1"/>
  <c r="AX926" i="1"/>
  <c r="AW926" i="1"/>
  <c r="A926" i="1"/>
  <c r="AZ925" i="1"/>
  <c r="AY925" i="1"/>
  <c r="AX925" i="1"/>
  <c r="AW925" i="1"/>
  <c r="A925" i="1"/>
  <c r="AZ924" i="1"/>
  <c r="AY924" i="1"/>
  <c r="AX924" i="1"/>
  <c r="AW924" i="1"/>
  <c r="A924" i="1"/>
  <c r="AZ923" i="1"/>
  <c r="AY923" i="1"/>
  <c r="AX923" i="1"/>
  <c r="AW923" i="1"/>
  <c r="A923" i="1"/>
  <c r="AZ922" i="1"/>
  <c r="AY922" i="1"/>
  <c r="AX922" i="1"/>
  <c r="AW922" i="1"/>
  <c r="A922" i="1"/>
  <c r="AZ921" i="1"/>
  <c r="AY921" i="1"/>
  <c r="AX921" i="1"/>
  <c r="AW921" i="1"/>
  <c r="A921" i="1"/>
  <c r="AZ920" i="1"/>
  <c r="AY920" i="1"/>
  <c r="AX920" i="1"/>
  <c r="AW920" i="1"/>
  <c r="A920" i="1"/>
  <c r="AZ919" i="1"/>
  <c r="AY919" i="1"/>
  <c r="AX919" i="1"/>
  <c r="AW919" i="1"/>
  <c r="A919" i="1"/>
  <c r="AZ918" i="1"/>
  <c r="AY918" i="1"/>
  <c r="AX918" i="1"/>
  <c r="AW918" i="1"/>
  <c r="A918" i="1"/>
  <c r="AZ917" i="1"/>
  <c r="AY917" i="1"/>
  <c r="AX917" i="1"/>
  <c r="AW917" i="1"/>
  <c r="A917" i="1"/>
  <c r="AZ916" i="1"/>
  <c r="AY916" i="1"/>
  <c r="AX916" i="1"/>
  <c r="AW916" i="1"/>
  <c r="A916" i="1"/>
  <c r="AZ915" i="1"/>
  <c r="AY915" i="1"/>
  <c r="AX915" i="1"/>
  <c r="AW915" i="1"/>
  <c r="A915" i="1"/>
  <c r="AZ914" i="1"/>
  <c r="AY914" i="1"/>
  <c r="AX914" i="1"/>
  <c r="AW914" i="1"/>
  <c r="A914" i="1"/>
  <c r="AZ913" i="1"/>
  <c r="AY913" i="1"/>
  <c r="AX913" i="1"/>
  <c r="AW913" i="1"/>
  <c r="A913" i="1"/>
  <c r="AZ912" i="1"/>
  <c r="AY912" i="1"/>
  <c r="AX912" i="1"/>
  <c r="AW912" i="1"/>
  <c r="A912" i="1"/>
  <c r="AZ911" i="1"/>
  <c r="AY911" i="1"/>
  <c r="AX911" i="1"/>
  <c r="AW911" i="1"/>
  <c r="A911" i="1"/>
  <c r="AZ910" i="1"/>
  <c r="AY910" i="1"/>
  <c r="AX910" i="1"/>
  <c r="AW910" i="1"/>
  <c r="A910" i="1"/>
  <c r="AZ909" i="1"/>
  <c r="AY909" i="1"/>
  <c r="AX909" i="1"/>
  <c r="AW909" i="1"/>
  <c r="A909" i="1"/>
  <c r="AZ908" i="1"/>
  <c r="AY908" i="1"/>
  <c r="AX908" i="1"/>
  <c r="AW908" i="1"/>
  <c r="A908" i="1"/>
  <c r="AZ907" i="1"/>
  <c r="AY907" i="1"/>
  <c r="AX907" i="1"/>
  <c r="AW907" i="1"/>
  <c r="A907" i="1"/>
  <c r="AZ906" i="1"/>
  <c r="AY906" i="1"/>
  <c r="AX906" i="1"/>
  <c r="AW906" i="1"/>
  <c r="A906" i="1"/>
  <c r="AZ905" i="1"/>
  <c r="AY905" i="1"/>
  <c r="AX905" i="1"/>
  <c r="AW905" i="1"/>
  <c r="A905" i="1"/>
  <c r="AZ904" i="1"/>
  <c r="AY904" i="1"/>
  <c r="AX904" i="1"/>
  <c r="AW904" i="1"/>
  <c r="A904" i="1"/>
  <c r="AZ903" i="1"/>
  <c r="AY903" i="1"/>
  <c r="AX903" i="1"/>
  <c r="AW903" i="1"/>
  <c r="A903" i="1"/>
  <c r="AZ902" i="1"/>
  <c r="AY902" i="1"/>
  <c r="AX902" i="1"/>
  <c r="AW902" i="1"/>
  <c r="A902" i="1"/>
  <c r="AZ901" i="1"/>
  <c r="AY901" i="1"/>
  <c r="AX901" i="1"/>
  <c r="AW901" i="1"/>
  <c r="A901" i="1"/>
  <c r="AZ900" i="1"/>
  <c r="AY900" i="1"/>
  <c r="AX900" i="1"/>
  <c r="AW900" i="1"/>
  <c r="A900" i="1"/>
  <c r="AZ899" i="1"/>
  <c r="AY899" i="1"/>
  <c r="AX899" i="1"/>
  <c r="AW899" i="1"/>
  <c r="A899" i="1"/>
  <c r="AZ898" i="1"/>
  <c r="AY898" i="1"/>
  <c r="AX898" i="1"/>
  <c r="AW898" i="1"/>
  <c r="A898" i="1"/>
  <c r="AZ897" i="1"/>
  <c r="AY897" i="1"/>
  <c r="AX897" i="1"/>
  <c r="AW897" i="1"/>
  <c r="A897" i="1"/>
  <c r="AZ896" i="1"/>
  <c r="AY896" i="1"/>
  <c r="AX896" i="1"/>
  <c r="AW896" i="1"/>
  <c r="A896" i="1"/>
  <c r="AZ895" i="1"/>
  <c r="AY895" i="1"/>
  <c r="AX895" i="1"/>
  <c r="AW895" i="1"/>
  <c r="A895" i="1"/>
  <c r="AZ894" i="1"/>
  <c r="AY894" i="1"/>
  <c r="AX894" i="1"/>
  <c r="AW894" i="1"/>
  <c r="A894" i="1"/>
  <c r="AZ893" i="1"/>
  <c r="AY893" i="1"/>
  <c r="AX893" i="1"/>
  <c r="AW893" i="1"/>
  <c r="A893" i="1"/>
  <c r="AZ892" i="1"/>
  <c r="AY892" i="1"/>
  <c r="AX892" i="1"/>
  <c r="AW892" i="1"/>
  <c r="A892" i="1"/>
  <c r="AZ891" i="1"/>
  <c r="AY891" i="1"/>
  <c r="AX891" i="1"/>
  <c r="AW891" i="1"/>
  <c r="A891" i="1"/>
  <c r="AZ890" i="1"/>
  <c r="AY890" i="1"/>
  <c r="AX890" i="1"/>
  <c r="AW890" i="1"/>
  <c r="A890" i="1"/>
  <c r="AZ889" i="1"/>
  <c r="AY889" i="1"/>
  <c r="AX889" i="1"/>
  <c r="AW889" i="1"/>
  <c r="A889" i="1"/>
  <c r="AZ888" i="1"/>
  <c r="AY888" i="1"/>
  <c r="AX888" i="1"/>
  <c r="AW888" i="1"/>
  <c r="A888" i="1"/>
  <c r="AZ887" i="1"/>
  <c r="AY887" i="1"/>
  <c r="AX887" i="1"/>
  <c r="AW887" i="1"/>
  <c r="A887" i="1"/>
  <c r="AZ886" i="1"/>
  <c r="AY886" i="1"/>
  <c r="AX886" i="1"/>
  <c r="AW886" i="1"/>
  <c r="A886" i="1"/>
  <c r="AZ885" i="1"/>
  <c r="AY885" i="1"/>
  <c r="AX885" i="1"/>
  <c r="AW885" i="1"/>
  <c r="A885" i="1"/>
  <c r="AZ884" i="1"/>
  <c r="AY884" i="1"/>
  <c r="AX884" i="1"/>
  <c r="AW884" i="1"/>
  <c r="A884" i="1"/>
  <c r="AZ883" i="1"/>
  <c r="AY883" i="1"/>
  <c r="AX883" i="1"/>
  <c r="AW883" i="1"/>
  <c r="A883" i="1"/>
  <c r="AZ882" i="1"/>
  <c r="AY882" i="1"/>
  <c r="AX882" i="1"/>
  <c r="AW882" i="1"/>
  <c r="A882" i="1"/>
  <c r="AZ881" i="1"/>
  <c r="AY881" i="1"/>
  <c r="AX881" i="1"/>
  <c r="AW881" i="1"/>
  <c r="A881" i="1"/>
  <c r="AZ880" i="1"/>
  <c r="AY880" i="1"/>
  <c r="AX880" i="1"/>
  <c r="AW880" i="1"/>
  <c r="A880" i="1"/>
  <c r="AZ879" i="1"/>
  <c r="AY879" i="1"/>
  <c r="AX879" i="1"/>
  <c r="AW879" i="1"/>
  <c r="A879" i="1"/>
  <c r="AZ878" i="1"/>
  <c r="AY878" i="1"/>
  <c r="AX878" i="1"/>
  <c r="AW878" i="1"/>
  <c r="A878" i="1"/>
  <c r="AZ877" i="1"/>
  <c r="AY877" i="1"/>
  <c r="AX877" i="1"/>
  <c r="AW877" i="1"/>
  <c r="A877" i="1"/>
  <c r="AZ876" i="1"/>
  <c r="AY876" i="1"/>
  <c r="AX876" i="1"/>
  <c r="AW876" i="1"/>
  <c r="A876" i="1"/>
  <c r="AZ875" i="1"/>
  <c r="AY875" i="1"/>
  <c r="AX875" i="1"/>
  <c r="AW875" i="1"/>
  <c r="A875" i="1"/>
  <c r="AZ874" i="1"/>
  <c r="AY874" i="1"/>
  <c r="AX874" i="1"/>
  <c r="AW874" i="1"/>
  <c r="A874" i="1"/>
  <c r="AZ873" i="1"/>
  <c r="AY873" i="1"/>
  <c r="AX873" i="1"/>
  <c r="AW873" i="1"/>
  <c r="A873" i="1"/>
  <c r="AZ872" i="1"/>
  <c r="AY872" i="1"/>
  <c r="AX872" i="1"/>
  <c r="AW872" i="1"/>
  <c r="A872" i="1"/>
  <c r="AZ871" i="1"/>
  <c r="AY871" i="1"/>
  <c r="AX871" i="1"/>
  <c r="AW871" i="1"/>
  <c r="A871" i="1"/>
  <c r="AZ870" i="1"/>
  <c r="AY870" i="1"/>
  <c r="AX870" i="1"/>
  <c r="AW870" i="1"/>
  <c r="A870" i="1"/>
  <c r="AZ869" i="1"/>
  <c r="AY869" i="1"/>
  <c r="AX869" i="1"/>
  <c r="AW869" i="1"/>
  <c r="A869" i="1"/>
  <c r="AZ868" i="1"/>
  <c r="AY868" i="1"/>
  <c r="AX868" i="1"/>
  <c r="AW868" i="1"/>
  <c r="A868" i="1"/>
  <c r="AZ867" i="1"/>
  <c r="AY867" i="1"/>
  <c r="AX867" i="1"/>
  <c r="AW867" i="1"/>
  <c r="A867" i="1"/>
  <c r="AZ866" i="1"/>
  <c r="AY866" i="1"/>
  <c r="AX866" i="1"/>
  <c r="AW866" i="1"/>
  <c r="A866" i="1"/>
  <c r="AZ865" i="1"/>
  <c r="AY865" i="1"/>
  <c r="AX865" i="1"/>
  <c r="AW865" i="1"/>
  <c r="A865" i="1"/>
  <c r="AZ864" i="1"/>
  <c r="AY864" i="1"/>
  <c r="AX864" i="1"/>
  <c r="AW864" i="1"/>
  <c r="A864" i="1"/>
  <c r="AZ863" i="1"/>
  <c r="AY863" i="1"/>
  <c r="AX863" i="1"/>
  <c r="AW863" i="1"/>
  <c r="A863" i="1"/>
  <c r="AZ862" i="1"/>
  <c r="AY862" i="1"/>
  <c r="AX862" i="1"/>
  <c r="AW862" i="1"/>
  <c r="A862" i="1"/>
  <c r="AZ861" i="1"/>
  <c r="AY861" i="1"/>
  <c r="AX861" i="1"/>
  <c r="AW861" i="1"/>
  <c r="A861" i="1"/>
  <c r="AZ860" i="1"/>
  <c r="AY860" i="1"/>
  <c r="AX860" i="1"/>
  <c r="AW860" i="1"/>
  <c r="A860" i="1"/>
  <c r="AZ859" i="1"/>
  <c r="AY859" i="1"/>
  <c r="AX859" i="1"/>
  <c r="AW859" i="1"/>
  <c r="A859" i="1"/>
  <c r="AZ858" i="1"/>
  <c r="AY858" i="1"/>
  <c r="AX858" i="1"/>
  <c r="AW858" i="1"/>
  <c r="A858" i="1"/>
  <c r="AZ857" i="1"/>
  <c r="AY857" i="1"/>
  <c r="AX857" i="1"/>
  <c r="AW857" i="1"/>
  <c r="A857" i="1"/>
  <c r="AZ856" i="1"/>
  <c r="AY856" i="1"/>
  <c r="AX856" i="1"/>
  <c r="AW856" i="1"/>
  <c r="A856" i="1"/>
  <c r="AZ855" i="1"/>
  <c r="AY855" i="1"/>
  <c r="AX855" i="1"/>
  <c r="AW855" i="1"/>
  <c r="A855" i="1"/>
  <c r="AZ854" i="1"/>
  <c r="AY854" i="1"/>
  <c r="AX854" i="1"/>
  <c r="AW854" i="1"/>
  <c r="A854" i="1"/>
  <c r="AZ853" i="1"/>
  <c r="AY853" i="1"/>
  <c r="AX853" i="1"/>
  <c r="AW853" i="1"/>
  <c r="A853" i="1"/>
  <c r="AZ852" i="1"/>
  <c r="AY852" i="1"/>
  <c r="AX852" i="1"/>
  <c r="AW852" i="1"/>
  <c r="A852" i="1"/>
  <c r="AZ851" i="1"/>
  <c r="AY851" i="1"/>
  <c r="AX851" i="1"/>
  <c r="AW851" i="1"/>
  <c r="A851" i="1"/>
  <c r="AZ850" i="1"/>
  <c r="AY850" i="1"/>
  <c r="AX850" i="1"/>
  <c r="AW850" i="1"/>
  <c r="A850" i="1"/>
  <c r="AZ849" i="1"/>
  <c r="AY849" i="1"/>
  <c r="AX849" i="1"/>
  <c r="AW849" i="1"/>
  <c r="A849" i="1"/>
  <c r="AZ848" i="1"/>
  <c r="AY848" i="1"/>
  <c r="AX848" i="1"/>
  <c r="AW848" i="1"/>
  <c r="A848" i="1"/>
  <c r="AZ847" i="1"/>
  <c r="AY847" i="1"/>
  <c r="AX847" i="1"/>
  <c r="AW847" i="1"/>
  <c r="A847" i="1"/>
  <c r="AZ846" i="1"/>
  <c r="AY846" i="1"/>
  <c r="AX846" i="1"/>
  <c r="AW846" i="1"/>
  <c r="A846" i="1"/>
  <c r="AZ845" i="1"/>
  <c r="AY845" i="1"/>
  <c r="AX845" i="1"/>
  <c r="AW845" i="1"/>
  <c r="A845" i="1"/>
  <c r="AZ844" i="1"/>
  <c r="AY844" i="1"/>
  <c r="AX844" i="1"/>
  <c r="AW844" i="1"/>
  <c r="A844" i="1"/>
  <c r="AZ843" i="1"/>
  <c r="AY843" i="1"/>
  <c r="AX843" i="1"/>
  <c r="AW843" i="1"/>
  <c r="A843" i="1"/>
  <c r="AZ842" i="1"/>
  <c r="AY842" i="1"/>
  <c r="AX842" i="1"/>
  <c r="AW842" i="1"/>
  <c r="A842" i="1"/>
  <c r="AZ841" i="1"/>
  <c r="AY841" i="1"/>
  <c r="AX841" i="1"/>
  <c r="AW841" i="1"/>
  <c r="A841" i="1"/>
  <c r="AZ840" i="1"/>
  <c r="AY840" i="1"/>
  <c r="AX840" i="1"/>
  <c r="AW840" i="1"/>
  <c r="A840" i="1"/>
  <c r="AZ839" i="1"/>
  <c r="AY839" i="1"/>
  <c r="AX839" i="1"/>
  <c r="AW839" i="1"/>
  <c r="A839" i="1"/>
  <c r="AZ838" i="1"/>
  <c r="AY838" i="1"/>
  <c r="AX838" i="1"/>
  <c r="AW838" i="1"/>
  <c r="A838" i="1"/>
  <c r="AZ837" i="1"/>
  <c r="AY837" i="1"/>
  <c r="AX837" i="1"/>
  <c r="AW837" i="1"/>
  <c r="A837" i="1"/>
  <c r="AZ836" i="1"/>
  <c r="AY836" i="1"/>
  <c r="AX836" i="1"/>
  <c r="AW836" i="1"/>
  <c r="A836" i="1"/>
  <c r="AZ835" i="1"/>
  <c r="AY835" i="1"/>
  <c r="AX835" i="1"/>
  <c r="AW835" i="1"/>
  <c r="A835" i="1"/>
  <c r="AZ834" i="1"/>
  <c r="AY834" i="1"/>
  <c r="AX834" i="1"/>
  <c r="AW834" i="1"/>
  <c r="A834" i="1"/>
  <c r="AZ833" i="1"/>
  <c r="AY833" i="1"/>
  <c r="AX833" i="1"/>
  <c r="AW833" i="1"/>
  <c r="A833" i="1"/>
  <c r="AZ832" i="1"/>
  <c r="AY832" i="1"/>
  <c r="AX832" i="1"/>
  <c r="AW832" i="1"/>
  <c r="A832" i="1"/>
  <c r="AZ831" i="1"/>
  <c r="AY831" i="1"/>
  <c r="AX831" i="1"/>
  <c r="AW831" i="1"/>
  <c r="A831" i="1"/>
  <c r="AZ830" i="1"/>
  <c r="AY830" i="1"/>
  <c r="AX830" i="1"/>
  <c r="AW830" i="1"/>
  <c r="A830" i="1"/>
  <c r="AZ829" i="1"/>
  <c r="AY829" i="1"/>
  <c r="AX829" i="1"/>
  <c r="AW829" i="1"/>
  <c r="A829" i="1"/>
  <c r="AZ828" i="1"/>
  <c r="AY828" i="1"/>
  <c r="AX828" i="1"/>
  <c r="AW828" i="1"/>
  <c r="A828" i="1"/>
  <c r="AZ827" i="1"/>
  <c r="AY827" i="1"/>
  <c r="AX827" i="1"/>
  <c r="AW827" i="1"/>
  <c r="A827" i="1"/>
  <c r="AZ826" i="1"/>
  <c r="AY826" i="1"/>
  <c r="AX826" i="1"/>
  <c r="AW826" i="1"/>
  <c r="A826" i="1"/>
  <c r="AZ825" i="1"/>
  <c r="AY825" i="1"/>
  <c r="AX825" i="1"/>
  <c r="AW825" i="1"/>
  <c r="A825" i="1"/>
  <c r="AZ824" i="1"/>
  <c r="AY824" i="1"/>
  <c r="AX824" i="1"/>
  <c r="AW824" i="1"/>
  <c r="A824" i="1"/>
  <c r="AZ823" i="1"/>
  <c r="AY823" i="1"/>
  <c r="AX823" i="1"/>
  <c r="AW823" i="1"/>
  <c r="A823" i="1"/>
  <c r="AZ822" i="1"/>
  <c r="AY822" i="1"/>
  <c r="AX822" i="1"/>
  <c r="AW822" i="1"/>
  <c r="A822" i="1"/>
  <c r="AZ821" i="1"/>
  <c r="AY821" i="1"/>
  <c r="AX821" i="1"/>
  <c r="AW821" i="1"/>
  <c r="A821" i="1"/>
  <c r="AZ820" i="1"/>
  <c r="AY820" i="1"/>
  <c r="AX820" i="1"/>
  <c r="AW820" i="1"/>
  <c r="A820" i="1"/>
  <c r="AZ819" i="1"/>
  <c r="AY819" i="1"/>
  <c r="AX819" i="1"/>
  <c r="AW819" i="1"/>
  <c r="A819" i="1"/>
  <c r="AZ818" i="1"/>
  <c r="AY818" i="1"/>
  <c r="AX818" i="1"/>
  <c r="AW818" i="1"/>
  <c r="A818" i="1"/>
  <c r="AZ817" i="1"/>
  <c r="AY817" i="1"/>
  <c r="AX817" i="1"/>
  <c r="AW817" i="1"/>
  <c r="A817" i="1"/>
  <c r="AZ816" i="1"/>
  <c r="AY816" i="1"/>
  <c r="AX816" i="1"/>
  <c r="AW816" i="1"/>
  <c r="A816" i="1"/>
  <c r="AZ815" i="1"/>
  <c r="AY815" i="1"/>
  <c r="AX815" i="1"/>
  <c r="AW815" i="1"/>
  <c r="A815" i="1"/>
  <c r="AZ814" i="1"/>
  <c r="AY814" i="1"/>
  <c r="AX814" i="1"/>
  <c r="AW814" i="1"/>
  <c r="A814" i="1"/>
  <c r="AZ813" i="1"/>
  <c r="AY813" i="1"/>
  <c r="AX813" i="1"/>
  <c r="AW813" i="1"/>
  <c r="A813" i="1"/>
  <c r="AZ812" i="1"/>
  <c r="AY812" i="1"/>
  <c r="AX812" i="1"/>
  <c r="AW812" i="1"/>
  <c r="A812" i="1"/>
  <c r="AZ811" i="1"/>
  <c r="AY811" i="1"/>
  <c r="AX811" i="1"/>
  <c r="AW811" i="1"/>
  <c r="A811" i="1"/>
  <c r="AZ810" i="1"/>
  <c r="AY810" i="1"/>
  <c r="AX810" i="1"/>
  <c r="AW810" i="1"/>
  <c r="A810" i="1"/>
  <c r="AZ809" i="1"/>
  <c r="AY809" i="1"/>
  <c r="AX809" i="1"/>
  <c r="AW809" i="1"/>
  <c r="A809" i="1"/>
  <c r="AZ808" i="1"/>
  <c r="AY808" i="1"/>
  <c r="AX808" i="1"/>
  <c r="AW808" i="1"/>
  <c r="A808" i="1"/>
  <c r="AZ807" i="1"/>
  <c r="AY807" i="1"/>
  <c r="AX807" i="1"/>
  <c r="AW807" i="1"/>
  <c r="A807" i="1"/>
  <c r="AZ806" i="1"/>
  <c r="AY806" i="1"/>
  <c r="AX806" i="1"/>
  <c r="AW806" i="1"/>
  <c r="A806" i="1"/>
  <c r="AZ805" i="1"/>
  <c r="AY805" i="1"/>
  <c r="AX805" i="1"/>
  <c r="AW805" i="1"/>
  <c r="A805" i="1"/>
  <c r="AZ804" i="1"/>
  <c r="AY804" i="1"/>
  <c r="AX804" i="1"/>
  <c r="AW804" i="1"/>
  <c r="A804" i="1"/>
  <c r="AZ803" i="1"/>
  <c r="AY803" i="1"/>
  <c r="AX803" i="1"/>
  <c r="AW803" i="1"/>
  <c r="A803" i="1"/>
  <c r="AZ802" i="1"/>
  <c r="AY802" i="1"/>
  <c r="AX802" i="1"/>
  <c r="AW802" i="1"/>
  <c r="A802" i="1"/>
  <c r="AZ801" i="1"/>
  <c r="AY801" i="1"/>
  <c r="AX801" i="1"/>
  <c r="AW801" i="1"/>
  <c r="A801" i="1"/>
  <c r="AZ800" i="1"/>
  <c r="AY800" i="1"/>
  <c r="AX800" i="1"/>
  <c r="AW800" i="1"/>
  <c r="A800" i="1"/>
  <c r="AZ799" i="1"/>
  <c r="AY799" i="1"/>
  <c r="AX799" i="1"/>
  <c r="AW799" i="1"/>
  <c r="A799" i="1"/>
  <c r="AZ798" i="1"/>
  <c r="AY798" i="1"/>
  <c r="AX798" i="1"/>
  <c r="AW798" i="1"/>
  <c r="A798" i="1"/>
  <c r="AZ797" i="1"/>
  <c r="AY797" i="1"/>
  <c r="AX797" i="1"/>
  <c r="AW797" i="1"/>
  <c r="A797" i="1"/>
  <c r="AZ796" i="1"/>
  <c r="AY796" i="1"/>
  <c r="AX796" i="1"/>
  <c r="AW796" i="1"/>
  <c r="A796" i="1"/>
  <c r="AZ795" i="1"/>
  <c r="AY795" i="1"/>
  <c r="AX795" i="1"/>
  <c r="AW795" i="1"/>
  <c r="A795" i="1"/>
  <c r="AZ794" i="1"/>
  <c r="AY794" i="1"/>
  <c r="AX794" i="1"/>
  <c r="AW794" i="1"/>
  <c r="A794" i="1"/>
  <c r="AZ793" i="1"/>
  <c r="AY793" i="1"/>
  <c r="AX793" i="1"/>
  <c r="AW793" i="1"/>
  <c r="A793" i="1"/>
  <c r="AZ792" i="1"/>
  <c r="AY792" i="1"/>
  <c r="AX792" i="1"/>
  <c r="AW792" i="1"/>
  <c r="A792" i="1"/>
  <c r="AZ791" i="1"/>
  <c r="AY791" i="1"/>
  <c r="AX791" i="1"/>
  <c r="AW791" i="1"/>
  <c r="A791" i="1"/>
  <c r="AZ790" i="1"/>
  <c r="AY790" i="1"/>
  <c r="AX790" i="1"/>
  <c r="AW790" i="1"/>
  <c r="A790" i="1"/>
  <c r="AZ789" i="1"/>
  <c r="AY789" i="1"/>
  <c r="AX789" i="1"/>
  <c r="AW789" i="1"/>
  <c r="A789" i="1"/>
  <c r="AZ788" i="1"/>
  <c r="AY788" i="1"/>
  <c r="AX788" i="1"/>
  <c r="AW788" i="1"/>
  <c r="A788" i="1"/>
  <c r="AZ787" i="1"/>
  <c r="AY787" i="1"/>
  <c r="AX787" i="1"/>
  <c r="AW787" i="1"/>
  <c r="A787" i="1"/>
  <c r="AZ786" i="1"/>
  <c r="AY786" i="1"/>
  <c r="AX786" i="1"/>
  <c r="AW786" i="1"/>
  <c r="A786" i="1"/>
  <c r="AZ785" i="1"/>
  <c r="AY785" i="1"/>
  <c r="AX785" i="1"/>
  <c r="AW785" i="1"/>
  <c r="A785" i="1"/>
  <c r="AZ784" i="1"/>
  <c r="AY784" i="1"/>
  <c r="AX784" i="1"/>
  <c r="AW784" i="1"/>
  <c r="A784" i="1"/>
  <c r="AZ783" i="1"/>
  <c r="AY783" i="1"/>
  <c r="AX783" i="1"/>
  <c r="AW783" i="1"/>
  <c r="A783" i="1"/>
  <c r="AZ782" i="1"/>
  <c r="AY782" i="1"/>
  <c r="AX782" i="1"/>
  <c r="AW782" i="1"/>
  <c r="A782" i="1"/>
  <c r="AZ781" i="1"/>
  <c r="AY781" i="1"/>
  <c r="AX781" i="1"/>
  <c r="AW781" i="1"/>
  <c r="A781" i="1"/>
  <c r="AZ780" i="1"/>
  <c r="AY780" i="1"/>
  <c r="AX780" i="1"/>
  <c r="AW780" i="1"/>
  <c r="A780" i="1"/>
  <c r="AZ779" i="1"/>
  <c r="AY779" i="1"/>
  <c r="AX779" i="1"/>
  <c r="AW779" i="1"/>
  <c r="A779" i="1"/>
  <c r="AZ778" i="1"/>
  <c r="AY778" i="1"/>
  <c r="AX778" i="1"/>
  <c r="AW778" i="1"/>
  <c r="A778" i="1"/>
  <c r="AZ777" i="1"/>
  <c r="AY777" i="1"/>
  <c r="AX777" i="1"/>
  <c r="AW777" i="1"/>
  <c r="A777" i="1"/>
  <c r="AZ776" i="1"/>
  <c r="AY776" i="1"/>
  <c r="AX776" i="1"/>
  <c r="AW776" i="1"/>
  <c r="A776" i="1"/>
  <c r="AZ775" i="1"/>
  <c r="AY775" i="1"/>
  <c r="AX775" i="1"/>
  <c r="AW775" i="1"/>
  <c r="A775" i="1"/>
  <c r="AZ774" i="1"/>
  <c r="AY774" i="1"/>
  <c r="AX774" i="1"/>
  <c r="AW774" i="1"/>
  <c r="A774" i="1"/>
  <c r="AZ773" i="1"/>
  <c r="AY773" i="1"/>
  <c r="AX773" i="1"/>
  <c r="AW773" i="1"/>
  <c r="A773" i="1"/>
  <c r="AZ772" i="1"/>
  <c r="AY772" i="1"/>
  <c r="AX772" i="1"/>
  <c r="AW772" i="1"/>
  <c r="A772" i="1"/>
  <c r="AZ771" i="1"/>
  <c r="AY771" i="1"/>
  <c r="AX771" i="1"/>
  <c r="AW771" i="1"/>
  <c r="A771" i="1"/>
  <c r="AZ770" i="1"/>
  <c r="AY770" i="1"/>
  <c r="AX770" i="1"/>
  <c r="AW770" i="1"/>
  <c r="A770" i="1"/>
  <c r="AZ769" i="1"/>
  <c r="AY769" i="1"/>
  <c r="AX769" i="1"/>
  <c r="AW769" i="1"/>
  <c r="A769" i="1"/>
  <c r="AZ768" i="1"/>
  <c r="AY768" i="1"/>
  <c r="AX768" i="1"/>
  <c r="AW768" i="1"/>
  <c r="A768" i="1"/>
  <c r="AZ767" i="1"/>
  <c r="AY767" i="1"/>
  <c r="AX767" i="1"/>
  <c r="AW767" i="1"/>
  <c r="A767" i="1"/>
  <c r="AZ766" i="1"/>
  <c r="AY766" i="1"/>
  <c r="AX766" i="1"/>
  <c r="AW766" i="1"/>
  <c r="A766" i="1"/>
  <c r="AZ765" i="1"/>
  <c r="AY765" i="1"/>
  <c r="AX765" i="1"/>
  <c r="AW765" i="1"/>
  <c r="A765" i="1"/>
  <c r="AZ764" i="1"/>
  <c r="AY764" i="1"/>
  <c r="AX764" i="1"/>
  <c r="AW764" i="1"/>
  <c r="A764" i="1"/>
  <c r="AZ763" i="1"/>
  <c r="AY763" i="1"/>
  <c r="AX763" i="1"/>
  <c r="AW763" i="1"/>
  <c r="A763" i="1"/>
  <c r="AZ762" i="1"/>
  <c r="AY762" i="1"/>
  <c r="AX762" i="1"/>
  <c r="AW762" i="1"/>
  <c r="A762" i="1"/>
  <c r="AZ761" i="1"/>
  <c r="AY761" i="1"/>
  <c r="AX761" i="1"/>
  <c r="AW761" i="1"/>
  <c r="A761" i="1"/>
  <c r="AZ760" i="1"/>
  <c r="AY760" i="1"/>
  <c r="AX760" i="1"/>
  <c r="AW760" i="1"/>
  <c r="A760" i="1"/>
  <c r="AZ759" i="1"/>
  <c r="AY759" i="1"/>
  <c r="AX759" i="1"/>
  <c r="AW759" i="1"/>
  <c r="A759" i="1"/>
  <c r="AZ758" i="1"/>
  <c r="AY758" i="1"/>
  <c r="AX758" i="1"/>
  <c r="AW758" i="1"/>
  <c r="A758" i="1"/>
  <c r="AZ757" i="1"/>
  <c r="AY757" i="1"/>
  <c r="AX757" i="1"/>
  <c r="AW757" i="1"/>
  <c r="A757" i="1"/>
  <c r="AZ756" i="1"/>
  <c r="AY756" i="1"/>
  <c r="AX756" i="1"/>
  <c r="AW756" i="1"/>
  <c r="A756" i="1"/>
  <c r="AZ755" i="1"/>
  <c r="AY755" i="1"/>
  <c r="AX755" i="1"/>
  <c r="AW755" i="1"/>
  <c r="A755" i="1"/>
  <c r="AZ754" i="1"/>
  <c r="AY754" i="1"/>
  <c r="AX754" i="1"/>
  <c r="AW754" i="1"/>
  <c r="A754" i="1"/>
  <c r="AZ753" i="1"/>
  <c r="AY753" i="1"/>
  <c r="AX753" i="1"/>
  <c r="AW753" i="1"/>
  <c r="A753" i="1"/>
  <c r="AZ752" i="1"/>
  <c r="AY752" i="1"/>
  <c r="AX752" i="1"/>
  <c r="AW752" i="1"/>
  <c r="A752" i="1"/>
  <c r="AZ751" i="1"/>
  <c r="AY751" i="1"/>
  <c r="AX751" i="1"/>
  <c r="AW751" i="1"/>
  <c r="A751" i="1"/>
  <c r="AZ750" i="1"/>
  <c r="AY750" i="1"/>
  <c r="AX750" i="1"/>
  <c r="AW750" i="1"/>
  <c r="A750" i="1"/>
  <c r="AZ749" i="1"/>
  <c r="AY749" i="1"/>
  <c r="AX749" i="1"/>
  <c r="AW749" i="1"/>
  <c r="A749" i="1"/>
  <c r="AZ748" i="1"/>
  <c r="AY748" i="1"/>
  <c r="AX748" i="1"/>
  <c r="AW748" i="1"/>
  <c r="A748" i="1"/>
  <c r="AZ747" i="1"/>
  <c r="AY747" i="1"/>
  <c r="AX747" i="1"/>
  <c r="AW747" i="1"/>
  <c r="A747" i="1"/>
  <c r="AZ746" i="1"/>
  <c r="AY746" i="1"/>
  <c r="AX746" i="1"/>
  <c r="AW746" i="1"/>
  <c r="A746" i="1"/>
  <c r="AZ745" i="1"/>
  <c r="AY745" i="1"/>
  <c r="AX745" i="1"/>
  <c r="AW745" i="1"/>
  <c r="A745" i="1"/>
  <c r="AZ744" i="1"/>
  <c r="AY744" i="1"/>
  <c r="AX744" i="1"/>
  <c r="AW744" i="1"/>
  <c r="A744" i="1"/>
  <c r="AZ743" i="1"/>
  <c r="AY743" i="1"/>
  <c r="AX743" i="1"/>
  <c r="AW743" i="1"/>
  <c r="A743" i="1"/>
  <c r="AZ742" i="1"/>
  <c r="AY742" i="1"/>
  <c r="AX742" i="1"/>
  <c r="AW742" i="1"/>
  <c r="A742" i="1"/>
  <c r="AZ741" i="1"/>
  <c r="AY741" i="1"/>
  <c r="AX741" i="1"/>
  <c r="AW741" i="1"/>
  <c r="A741" i="1"/>
  <c r="AZ740" i="1"/>
  <c r="AY740" i="1"/>
  <c r="AX740" i="1"/>
  <c r="AW740" i="1"/>
  <c r="A740" i="1"/>
  <c r="AZ739" i="1"/>
  <c r="AY739" i="1"/>
  <c r="AX739" i="1"/>
  <c r="AW739" i="1"/>
  <c r="A739" i="1"/>
  <c r="AZ738" i="1"/>
  <c r="AY738" i="1"/>
  <c r="AX738" i="1"/>
  <c r="AW738" i="1"/>
  <c r="A738" i="1"/>
  <c r="AZ737" i="1"/>
  <c r="AY737" i="1"/>
  <c r="AX737" i="1"/>
  <c r="AW737" i="1"/>
  <c r="A737" i="1"/>
  <c r="AZ736" i="1"/>
  <c r="AY736" i="1"/>
  <c r="AX736" i="1"/>
  <c r="AW736" i="1"/>
  <c r="A736" i="1"/>
  <c r="AZ735" i="1"/>
  <c r="AY735" i="1"/>
  <c r="AX735" i="1"/>
  <c r="AW735" i="1"/>
  <c r="A735" i="1"/>
  <c r="AZ734" i="1"/>
  <c r="AY734" i="1"/>
  <c r="AX734" i="1"/>
  <c r="AW734" i="1"/>
  <c r="A734" i="1"/>
  <c r="AZ733" i="1"/>
  <c r="AY733" i="1"/>
  <c r="AX733" i="1"/>
  <c r="AW733" i="1"/>
  <c r="A733" i="1"/>
  <c r="AZ732" i="1"/>
  <c r="AY732" i="1"/>
  <c r="AX732" i="1"/>
  <c r="AW732" i="1"/>
  <c r="A732" i="1"/>
  <c r="AZ731" i="1"/>
  <c r="AY731" i="1"/>
  <c r="AX731" i="1"/>
  <c r="AW731" i="1"/>
  <c r="A731" i="1"/>
  <c r="AZ730" i="1"/>
  <c r="AY730" i="1"/>
  <c r="AX730" i="1"/>
  <c r="AW730" i="1"/>
  <c r="A730" i="1"/>
  <c r="AZ729" i="1"/>
  <c r="AY729" i="1"/>
  <c r="AX729" i="1"/>
  <c r="AW729" i="1"/>
  <c r="A729" i="1"/>
  <c r="AZ728" i="1"/>
  <c r="AY728" i="1"/>
  <c r="AX728" i="1"/>
  <c r="AW728" i="1"/>
  <c r="A728" i="1"/>
  <c r="AZ727" i="1"/>
  <c r="AY727" i="1"/>
  <c r="AX727" i="1"/>
  <c r="AW727" i="1"/>
  <c r="A727" i="1"/>
  <c r="AZ726" i="1"/>
  <c r="AY726" i="1"/>
  <c r="AX726" i="1"/>
  <c r="AW726" i="1"/>
  <c r="A726" i="1"/>
  <c r="AZ725" i="1"/>
  <c r="AY725" i="1"/>
  <c r="AX725" i="1"/>
  <c r="AW725" i="1"/>
  <c r="A725" i="1"/>
  <c r="AZ724" i="1"/>
  <c r="AY724" i="1"/>
  <c r="AX724" i="1"/>
  <c r="AW724" i="1"/>
  <c r="A724" i="1"/>
  <c r="AZ723" i="1"/>
  <c r="AY723" i="1"/>
  <c r="AX723" i="1"/>
  <c r="AW723" i="1"/>
  <c r="A723" i="1"/>
  <c r="AZ722" i="1"/>
  <c r="AY722" i="1"/>
  <c r="AX722" i="1"/>
  <c r="AW722" i="1"/>
  <c r="A722" i="1"/>
  <c r="AZ721" i="1"/>
  <c r="AY721" i="1"/>
  <c r="AX721" i="1"/>
  <c r="AW721" i="1"/>
  <c r="A721" i="1"/>
  <c r="AZ720" i="1"/>
  <c r="AY720" i="1"/>
  <c r="AX720" i="1"/>
  <c r="AW720" i="1"/>
  <c r="A720" i="1"/>
  <c r="AZ719" i="1"/>
  <c r="AY719" i="1"/>
  <c r="AX719" i="1"/>
  <c r="AW719" i="1"/>
  <c r="A719" i="1"/>
  <c r="AZ718" i="1"/>
  <c r="AY718" i="1"/>
  <c r="AX718" i="1"/>
  <c r="AW718" i="1"/>
  <c r="A718" i="1"/>
  <c r="AZ717" i="1"/>
  <c r="AY717" i="1"/>
  <c r="AX717" i="1"/>
  <c r="AW717" i="1"/>
  <c r="A717" i="1"/>
  <c r="AZ716" i="1"/>
  <c r="AY716" i="1"/>
  <c r="AX716" i="1"/>
  <c r="AW716" i="1"/>
  <c r="A716" i="1"/>
  <c r="AZ715" i="1"/>
  <c r="AY715" i="1"/>
  <c r="AX715" i="1"/>
  <c r="AW715" i="1"/>
  <c r="A715" i="1"/>
  <c r="AZ714" i="1"/>
  <c r="AY714" i="1"/>
  <c r="AX714" i="1"/>
  <c r="AW714" i="1"/>
  <c r="A714" i="1"/>
  <c r="AZ713" i="1"/>
  <c r="AY713" i="1"/>
  <c r="AX713" i="1"/>
  <c r="AW713" i="1"/>
  <c r="A713" i="1"/>
  <c r="AZ712" i="1"/>
  <c r="AY712" i="1"/>
  <c r="AX712" i="1"/>
  <c r="AW712" i="1"/>
  <c r="A712" i="1"/>
  <c r="AZ711" i="1"/>
  <c r="AY711" i="1"/>
  <c r="AX711" i="1"/>
  <c r="AW711" i="1"/>
  <c r="A711" i="1"/>
  <c r="AZ710" i="1"/>
  <c r="AY710" i="1"/>
  <c r="AX710" i="1"/>
  <c r="AW710" i="1"/>
  <c r="A710" i="1"/>
  <c r="AZ709" i="1"/>
  <c r="AY709" i="1"/>
  <c r="AX709" i="1"/>
  <c r="AW709" i="1"/>
  <c r="A709" i="1"/>
  <c r="AZ708" i="1"/>
  <c r="AY708" i="1"/>
  <c r="AX708" i="1"/>
  <c r="AW708" i="1"/>
  <c r="A708" i="1"/>
  <c r="AZ707" i="1"/>
  <c r="AY707" i="1"/>
  <c r="AX707" i="1"/>
  <c r="AW707" i="1"/>
  <c r="A707" i="1"/>
  <c r="AZ706" i="1"/>
  <c r="AY706" i="1"/>
  <c r="AX706" i="1"/>
  <c r="AW706" i="1"/>
  <c r="A706" i="1"/>
  <c r="AZ705" i="1"/>
  <c r="AY705" i="1"/>
  <c r="AX705" i="1"/>
  <c r="AW705" i="1"/>
  <c r="A705" i="1"/>
  <c r="AZ704" i="1"/>
  <c r="AY704" i="1"/>
  <c r="AX704" i="1"/>
  <c r="AW704" i="1"/>
  <c r="A704" i="1"/>
  <c r="AZ703" i="1"/>
  <c r="AY703" i="1"/>
  <c r="AX703" i="1"/>
  <c r="AW703" i="1"/>
  <c r="A703" i="1"/>
  <c r="AZ702" i="1"/>
  <c r="AY702" i="1"/>
  <c r="AX702" i="1"/>
  <c r="AW702" i="1"/>
  <c r="A702" i="1"/>
  <c r="AZ701" i="1"/>
  <c r="AY701" i="1"/>
  <c r="AX701" i="1"/>
  <c r="AW701" i="1"/>
  <c r="A701" i="1"/>
  <c r="AZ700" i="1"/>
  <c r="AY700" i="1"/>
  <c r="AX700" i="1"/>
  <c r="AW700" i="1"/>
  <c r="A700" i="1"/>
  <c r="AZ699" i="1"/>
  <c r="AY699" i="1"/>
  <c r="AX699" i="1"/>
  <c r="AW699" i="1"/>
  <c r="A699" i="1"/>
  <c r="AZ698" i="1"/>
  <c r="AY698" i="1"/>
  <c r="AX698" i="1"/>
  <c r="AW698" i="1"/>
  <c r="A698" i="1"/>
  <c r="AZ697" i="1"/>
  <c r="AY697" i="1"/>
  <c r="AX697" i="1"/>
  <c r="AW697" i="1"/>
  <c r="A697" i="1"/>
  <c r="AZ696" i="1"/>
  <c r="AY696" i="1"/>
  <c r="AX696" i="1"/>
  <c r="AW696" i="1"/>
  <c r="A696" i="1"/>
  <c r="AZ695" i="1"/>
  <c r="AY695" i="1"/>
  <c r="AX695" i="1"/>
  <c r="AW695" i="1"/>
  <c r="A695" i="1"/>
  <c r="AZ694" i="1"/>
  <c r="AY694" i="1"/>
  <c r="AX694" i="1"/>
  <c r="AW694" i="1"/>
  <c r="A694" i="1"/>
  <c r="AZ693" i="1"/>
  <c r="AY693" i="1"/>
  <c r="AX693" i="1"/>
  <c r="AW693" i="1"/>
  <c r="A693" i="1"/>
  <c r="AZ692" i="1"/>
  <c r="AY692" i="1"/>
  <c r="AX692" i="1"/>
  <c r="AW692" i="1"/>
  <c r="A692" i="1"/>
  <c r="AZ691" i="1"/>
  <c r="AY691" i="1"/>
  <c r="AX691" i="1"/>
  <c r="AW691" i="1"/>
  <c r="A691" i="1"/>
  <c r="AZ690" i="1"/>
  <c r="AY690" i="1"/>
  <c r="AX690" i="1"/>
  <c r="AW690" i="1"/>
  <c r="A690" i="1"/>
  <c r="AZ689" i="1"/>
  <c r="AY689" i="1"/>
  <c r="AX689" i="1"/>
  <c r="AW689" i="1"/>
  <c r="A689" i="1"/>
  <c r="AZ688" i="1"/>
  <c r="AY688" i="1"/>
  <c r="AX688" i="1"/>
  <c r="AW688" i="1"/>
  <c r="A688" i="1"/>
  <c r="AZ687" i="1"/>
  <c r="AY687" i="1"/>
  <c r="AX687" i="1"/>
  <c r="AW687" i="1"/>
  <c r="A687" i="1"/>
  <c r="AZ686" i="1"/>
  <c r="AY686" i="1"/>
  <c r="AX686" i="1"/>
  <c r="AW686" i="1"/>
  <c r="A686" i="1"/>
  <c r="AZ685" i="1"/>
  <c r="AY685" i="1"/>
  <c r="AX685" i="1"/>
  <c r="AW685" i="1"/>
  <c r="A685" i="1"/>
  <c r="AZ684" i="1"/>
  <c r="AY684" i="1"/>
  <c r="AX684" i="1"/>
  <c r="AW684" i="1"/>
  <c r="A684" i="1"/>
  <c r="AZ683" i="1"/>
  <c r="AY683" i="1"/>
  <c r="AX683" i="1"/>
  <c r="AW683" i="1"/>
  <c r="A683" i="1"/>
  <c r="AZ682" i="1"/>
  <c r="AY682" i="1"/>
  <c r="AX682" i="1"/>
  <c r="AW682" i="1"/>
  <c r="A682" i="1"/>
  <c r="AZ681" i="1"/>
  <c r="AY681" i="1"/>
  <c r="AX681" i="1"/>
  <c r="AW681" i="1"/>
  <c r="A681" i="1"/>
  <c r="AZ680" i="1"/>
  <c r="AY680" i="1"/>
  <c r="AX680" i="1"/>
  <c r="AW680" i="1"/>
  <c r="A680" i="1"/>
  <c r="AZ679" i="1"/>
  <c r="AY679" i="1"/>
  <c r="AX679" i="1"/>
  <c r="AW679" i="1"/>
  <c r="A679" i="1"/>
  <c r="AZ678" i="1"/>
  <c r="AY678" i="1"/>
  <c r="AX678" i="1"/>
  <c r="AW678" i="1"/>
  <c r="A678" i="1"/>
  <c r="AZ677" i="1"/>
  <c r="AY677" i="1"/>
  <c r="AX677" i="1"/>
  <c r="AW677" i="1"/>
  <c r="A677" i="1"/>
  <c r="AZ676" i="1"/>
  <c r="AY676" i="1"/>
  <c r="AX676" i="1"/>
  <c r="AW676" i="1"/>
  <c r="A676" i="1"/>
  <c r="AZ675" i="1"/>
  <c r="AY675" i="1"/>
  <c r="AX675" i="1"/>
  <c r="AW675" i="1"/>
  <c r="A675" i="1"/>
  <c r="AZ674" i="1"/>
  <c r="AY674" i="1"/>
  <c r="AX674" i="1"/>
  <c r="AW674" i="1"/>
  <c r="A674" i="1"/>
  <c r="AZ673" i="1"/>
  <c r="AY673" i="1"/>
  <c r="AX673" i="1"/>
  <c r="AW673" i="1"/>
  <c r="A673" i="1"/>
  <c r="AZ672" i="1"/>
  <c r="AY672" i="1"/>
  <c r="AX672" i="1"/>
  <c r="AW672" i="1"/>
  <c r="A672" i="1"/>
  <c r="AZ671" i="1"/>
  <c r="AY671" i="1"/>
  <c r="AX671" i="1"/>
  <c r="AW671" i="1"/>
  <c r="A671" i="1"/>
  <c r="AZ670" i="1"/>
  <c r="AY670" i="1"/>
  <c r="AX670" i="1"/>
  <c r="AW670" i="1"/>
  <c r="A670" i="1"/>
  <c r="AZ669" i="1"/>
  <c r="AY669" i="1"/>
  <c r="AX669" i="1"/>
  <c r="AW669" i="1"/>
  <c r="A669" i="1"/>
  <c r="AZ668" i="1"/>
  <c r="AY668" i="1"/>
  <c r="AX668" i="1"/>
  <c r="AW668" i="1"/>
  <c r="A668" i="1"/>
  <c r="AZ667" i="1"/>
  <c r="AY667" i="1"/>
  <c r="AX667" i="1"/>
  <c r="AW667" i="1"/>
  <c r="A667" i="1"/>
  <c r="AZ666" i="1"/>
  <c r="AY666" i="1"/>
  <c r="AX666" i="1"/>
  <c r="AW666" i="1"/>
  <c r="A666" i="1"/>
  <c r="AZ665" i="1"/>
  <c r="AY665" i="1"/>
  <c r="AX665" i="1"/>
  <c r="AW665" i="1"/>
  <c r="A665" i="1"/>
  <c r="AZ664" i="1"/>
  <c r="AY664" i="1"/>
  <c r="AX664" i="1"/>
  <c r="AW664" i="1"/>
  <c r="A664" i="1"/>
  <c r="AZ663" i="1"/>
  <c r="AY663" i="1"/>
  <c r="AX663" i="1"/>
  <c r="AW663" i="1"/>
  <c r="A663" i="1"/>
  <c r="AZ662" i="1"/>
  <c r="AY662" i="1"/>
  <c r="AX662" i="1"/>
  <c r="AW662" i="1"/>
  <c r="A662" i="1"/>
  <c r="AZ661" i="1"/>
  <c r="AY661" i="1"/>
  <c r="AX661" i="1"/>
  <c r="AW661" i="1"/>
  <c r="A661" i="1"/>
  <c r="AZ660" i="1"/>
  <c r="AY660" i="1"/>
  <c r="AX660" i="1"/>
  <c r="AW660" i="1"/>
  <c r="A660" i="1"/>
  <c r="AZ659" i="1"/>
  <c r="AY659" i="1"/>
  <c r="AX659" i="1"/>
  <c r="AW659" i="1"/>
  <c r="A659" i="1"/>
  <c r="AZ658" i="1"/>
  <c r="AY658" i="1"/>
  <c r="AX658" i="1"/>
  <c r="AW658" i="1"/>
  <c r="A658" i="1"/>
  <c r="AZ657" i="1"/>
  <c r="AY657" i="1"/>
  <c r="AX657" i="1"/>
  <c r="AW657" i="1"/>
  <c r="A657" i="1"/>
  <c r="AZ656" i="1"/>
  <c r="AY656" i="1"/>
  <c r="AX656" i="1"/>
  <c r="AW656" i="1"/>
  <c r="A656" i="1"/>
  <c r="AZ655" i="1"/>
  <c r="AY655" i="1"/>
  <c r="AX655" i="1"/>
  <c r="AW655" i="1"/>
  <c r="A655" i="1"/>
  <c r="AZ654" i="1"/>
  <c r="AY654" i="1"/>
  <c r="AX654" i="1"/>
  <c r="AW654" i="1"/>
  <c r="A654" i="1"/>
  <c r="AZ653" i="1"/>
  <c r="AY653" i="1"/>
  <c r="AX653" i="1"/>
  <c r="AW653" i="1"/>
  <c r="A653" i="1"/>
  <c r="AZ652" i="1"/>
  <c r="AY652" i="1"/>
  <c r="AX652" i="1"/>
  <c r="AW652" i="1"/>
  <c r="A652" i="1"/>
  <c r="AZ651" i="1"/>
  <c r="AY651" i="1"/>
  <c r="AX651" i="1"/>
  <c r="AW651" i="1"/>
  <c r="A651" i="1"/>
  <c r="AZ650" i="1"/>
  <c r="AY650" i="1"/>
  <c r="AX650" i="1"/>
  <c r="AW650" i="1"/>
  <c r="A650" i="1"/>
  <c r="AZ649" i="1"/>
  <c r="AY649" i="1"/>
  <c r="AX649" i="1"/>
  <c r="AW649" i="1"/>
  <c r="A649" i="1"/>
  <c r="AZ648" i="1"/>
  <c r="AY648" i="1"/>
  <c r="AX648" i="1"/>
  <c r="AW648" i="1"/>
  <c r="A648" i="1"/>
  <c r="AZ647" i="1"/>
  <c r="AY647" i="1"/>
  <c r="AX647" i="1"/>
  <c r="AW647" i="1"/>
  <c r="A647" i="1"/>
  <c r="AZ646" i="1"/>
  <c r="AY646" i="1"/>
  <c r="AX646" i="1"/>
  <c r="AW646" i="1"/>
  <c r="A646" i="1"/>
  <c r="AZ645" i="1"/>
  <c r="AY645" i="1"/>
  <c r="AX645" i="1"/>
  <c r="AW645" i="1"/>
  <c r="A645" i="1"/>
  <c r="AZ644" i="1"/>
  <c r="AY644" i="1"/>
  <c r="AX644" i="1"/>
  <c r="AW644" i="1"/>
  <c r="A644" i="1"/>
  <c r="AZ643" i="1"/>
  <c r="AY643" i="1"/>
  <c r="AX643" i="1"/>
  <c r="AW643" i="1"/>
  <c r="A643" i="1"/>
  <c r="AZ642" i="1"/>
  <c r="AY642" i="1"/>
  <c r="AX642" i="1"/>
  <c r="AW642" i="1"/>
  <c r="A642" i="1"/>
  <c r="AZ641" i="1"/>
  <c r="AY641" i="1"/>
  <c r="AX641" i="1"/>
  <c r="AW641" i="1"/>
  <c r="A641" i="1"/>
  <c r="AZ640" i="1"/>
  <c r="AY640" i="1"/>
  <c r="AX640" i="1"/>
  <c r="AW640" i="1"/>
  <c r="A640" i="1"/>
  <c r="AZ639" i="1"/>
  <c r="AY639" i="1"/>
  <c r="AX639" i="1"/>
  <c r="AW639" i="1"/>
  <c r="A639" i="1"/>
  <c r="AZ638" i="1"/>
  <c r="AY638" i="1"/>
  <c r="AX638" i="1"/>
  <c r="AW638" i="1"/>
  <c r="A638" i="1"/>
  <c r="AZ637" i="1"/>
  <c r="AY637" i="1"/>
  <c r="AX637" i="1"/>
  <c r="AW637" i="1"/>
  <c r="A637" i="1"/>
  <c r="AZ636" i="1"/>
  <c r="AY636" i="1"/>
  <c r="AX636" i="1"/>
  <c r="AW636" i="1"/>
  <c r="A636" i="1"/>
  <c r="AZ635" i="1"/>
  <c r="AY635" i="1"/>
  <c r="AX635" i="1"/>
  <c r="AW635" i="1"/>
  <c r="A635" i="1"/>
  <c r="AZ634" i="1"/>
  <c r="AY634" i="1"/>
  <c r="AX634" i="1"/>
  <c r="AW634" i="1"/>
  <c r="A634" i="1"/>
  <c r="AZ633" i="1"/>
  <c r="AY633" i="1"/>
  <c r="AX633" i="1"/>
  <c r="AW633" i="1"/>
  <c r="A633" i="1"/>
  <c r="AZ632" i="1"/>
  <c r="AY632" i="1"/>
  <c r="AX632" i="1"/>
  <c r="AW632" i="1"/>
  <c r="A632" i="1"/>
  <c r="AZ631" i="1"/>
  <c r="AY631" i="1"/>
  <c r="AX631" i="1"/>
  <c r="AW631" i="1"/>
  <c r="A631" i="1"/>
  <c r="AZ630" i="1"/>
  <c r="AY630" i="1"/>
  <c r="AX630" i="1"/>
  <c r="AW630" i="1"/>
  <c r="A630" i="1"/>
  <c r="AZ629" i="1"/>
  <c r="AY629" i="1"/>
  <c r="AX629" i="1"/>
  <c r="AW629" i="1"/>
  <c r="A629" i="1"/>
  <c r="AZ628" i="1"/>
  <c r="AY628" i="1"/>
  <c r="AX628" i="1"/>
  <c r="AW628" i="1"/>
  <c r="A628" i="1"/>
  <c r="AZ627" i="1"/>
  <c r="AY627" i="1"/>
  <c r="AX627" i="1"/>
  <c r="AW627" i="1"/>
  <c r="A627" i="1"/>
  <c r="AZ626" i="1"/>
  <c r="AY626" i="1"/>
  <c r="AX626" i="1"/>
  <c r="AW626" i="1"/>
  <c r="A626" i="1"/>
  <c r="AZ625" i="1"/>
  <c r="AY625" i="1"/>
  <c r="AX625" i="1"/>
  <c r="AW625" i="1"/>
  <c r="A625" i="1"/>
  <c r="AZ624" i="1"/>
  <c r="AY624" i="1"/>
  <c r="AX624" i="1"/>
  <c r="AW624" i="1"/>
  <c r="A624" i="1"/>
  <c r="AZ623" i="1"/>
  <c r="AY623" i="1"/>
  <c r="AX623" i="1"/>
  <c r="AW623" i="1"/>
  <c r="A623" i="1"/>
  <c r="AZ622" i="1"/>
  <c r="AY622" i="1"/>
  <c r="AX622" i="1"/>
  <c r="AW622" i="1"/>
  <c r="A622" i="1"/>
  <c r="AZ621" i="1"/>
  <c r="AY621" i="1"/>
  <c r="AX621" i="1"/>
  <c r="AW621" i="1"/>
  <c r="A621" i="1"/>
  <c r="AZ620" i="1"/>
  <c r="AY620" i="1"/>
  <c r="AX620" i="1"/>
  <c r="AW620" i="1"/>
  <c r="A620" i="1"/>
  <c r="AZ619" i="1"/>
  <c r="AY619" i="1"/>
  <c r="AX619" i="1"/>
  <c r="AW619" i="1"/>
  <c r="A619" i="1"/>
  <c r="AZ618" i="1"/>
  <c r="AY618" i="1"/>
  <c r="AX618" i="1"/>
  <c r="AW618" i="1"/>
  <c r="A618" i="1"/>
  <c r="AZ617" i="1"/>
  <c r="AY617" i="1"/>
  <c r="AX617" i="1"/>
  <c r="AW617" i="1"/>
  <c r="A617" i="1"/>
  <c r="AZ616" i="1"/>
  <c r="AY616" i="1"/>
  <c r="AX616" i="1"/>
  <c r="AW616" i="1"/>
  <c r="A616" i="1"/>
  <c r="AZ615" i="1"/>
  <c r="AY615" i="1"/>
  <c r="AX615" i="1"/>
  <c r="AW615" i="1"/>
  <c r="A615" i="1"/>
  <c r="AZ614" i="1"/>
  <c r="AY614" i="1"/>
  <c r="AX614" i="1"/>
  <c r="AW614" i="1"/>
  <c r="A614" i="1"/>
  <c r="AZ613" i="1"/>
  <c r="AY613" i="1"/>
  <c r="AX613" i="1"/>
  <c r="AW613" i="1"/>
  <c r="A613" i="1"/>
  <c r="AZ612" i="1"/>
  <c r="AY612" i="1"/>
  <c r="AX612" i="1"/>
  <c r="AW612" i="1"/>
  <c r="A612" i="1"/>
  <c r="AZ611" i="1"/>
  <c r="AY611" i="1"/>
  <c r="AX611" i="1"/>
  <c r="AW611" i="1"/>
  <c r="A611" i="1"/>
  <c r="AZ610" i="1"/>
  <c r="AY610" i="1"/>
  <c r="AX610" i="1"/>
  <c r="AW610" i="1"/>
  <c r="A610" i="1"/>
  <c r="AZ609" i="1"/>
  <c r="AY609" i="1"/>
  <c r="AX609" i="1"/>
  <c r="AW609" i="1"/>
  <c r="A609" i="1"/>
  <c r="AZ608" i="1"/>
  <c r="AY608" i="1"/>
  <c r="AX608" i="1"/>
  <c r="AW608" i="1"/>
  <c r="A608" i="1"/>
  <c r="AZ607" i="1"/>
  <c r="AY607" i="1"/>
  <c r="AX607" i="1"/>
  <c r="AW607" i="1"/>
  <c r="A607" i="1"/>
  <c r="AZ606" i="1"/>
  <c r="AY606" i="1"/>
  <c r="AX606" i="1"/>
  <c r="AW606" i="1"/>
  <c r="A606" i="1"/>
  <c r="AZ605" i="1"/>
  <c r="AY605" i="1"/>
  <c r="AX605" i="1"/>
  <c r="AW605" i="1"/>
  <c r="A605" i="1"/>
  <c r="AZ604" i="1"/>
  <c r="AY604" i="1"/>
  <c r="AX604" i="1"/>
  <c r="AW604" i="1"/>
  <c r="A604" i="1"/>
  <c r="AZ603" i="1"/>
  <c r="AY603" i="1"/>
  <c r="AX603" i="1"/>
  <c r="AW603" i="1"/>
  <c r="A603" i="1"/>
  <c r="AZ602" i="1"/>
  <c r="AY602" i="1"/>
  <c r="AX602" i="1"/>
  <c r="AW602" i="1"/>
  <c r="A602" i="1"/>
  <c r="AZ601" i="1"/>
  <c r="AY601" i="1"/>
  <c r="AX601" i="1"/>
  <c r="AW601" i="1"/>
  <c r="A601" i="1"/>
  <c r="AZ600" i="1"/>
  <c r="AY600" i="1"/>
  <c r="AX600" i="1"/>
  <c r="AW600" i="1"/>
  <c r="A600" i="1"/>
  <c r="AZ599" i="1"/>
  <c r="AY599" i="1"/>
  <c r="AX599" i="1"/>
  <c r="AW599" i="1"/>
  <c r="A599" i="1"/>
  <c r="AZ598" i="1"/>
  <c r="AY598" i="1"/>
  <c r="AX598" i="1"/>
  <c r="AW598" i="1"/>
  <c r="A598" i="1"/>
  <c r="AZ597" i="1"/>
  <c r="AY597" i="1"/>
  <c r="AX597" i="1"/>
  <c r="AW597" i="1"/>
  <c r="A597" i="1"/>
  <c r="AZ596" i="1"/>
  <c r="AY596" i="1"/>
  <c r="AX596" i="1"/>
  <c r="AW596" i="1"/>
  <c r="A596" i="1"/>
  <c r="AZ595" i="1"/>
  <c r="AY595" i="1"/>
  <c r="AX595" i="1"/>
  <c r="AW595" i="1"/>
  <c r="A595" i="1"/>
  <c r="AZ594" i="1"/>
  <c r="AY594" i="1"/>
  <c r="AX594" i="1"/>
  <c r="AW594" i="1"/>
  <c r="A594" i="1"/>
  <c r="AZ593" i="1"/>
  <c r="AY593" i="1"/>
  <c r="AX593" i="1"/>
  <c r="AW593" i="1"/>
  <c r="A593" i="1"/>
  <c r="AZ592" i="1"/>
  <c r="AY592" i="1"/>
  <c r="AX592" i="1"/>
  <c r="AW592" i="1"/>
  <c r="A592" i="1"/>
  <c r="AZ591" i="1"/>
  <c r="AY591" i="1"/>
  <c r="AX591" i="1"/>
  <c r="AW591" i="1"/>
  <c r="A591" i="1"/>
  <c r="AZ590" i="1"/>
  <c r="AY590" i="1"/>
  <c r="AX590" i="1"/>
  <c r="AW590" i="1"/>
  <c r="A590" i="1"/>
  <c r="AZ589" i="1"/>
  <c r="AY589" i="1"/>
  <c r="AX589" i="1"/>
  <c r="AW589" i="1"/>
  <c r="A589" i="1"/>
  <c r="AZ588" i="1"/>
  <c r="AY588" i="1"/>
  <c r="AX588" i="1"/>
  <c r="AW588" i="1"/>
  <c r="A588" i="1"/>
  <c r="AZ587" i="1"/>
  <c r="AY587" i="1"/>
  <c r="AX587" i="1"/>
  <c r="AW587" i="1"/>
  <c r="A587" i="1"/>
  <c r="AZ586" i="1"/>
  <c r="AY586" i="1"/>
  <c r="AX586" i="1"/>
  <c r="AW586" i="1"/>
  <c r="A586" i="1"/>
  <c r="AZ585" i="1"/>
  <c r="AY585" i="1"/>
  <c r="AX585" i="1"/>
  <c r="AW585" i="1"/>
  <c r="A585" i="1"/>
  <c r="AZ584" i="1"/>
  <c r="AY584" i="1"/>
  <c r="AX584" i="1"/>
  <c r="AW584" i="1"/>
  <c r="A584" i="1"/>
  <c r="AZ583" i="1"/>
  <c r="AY583" i="1"/>
  <c r="AX583" i="1"/>
  <c r="AW583" i="1"/>
  <c r="A583" i="1"/>
  <c r="AZ582" i="1"/>
  <c r="AY582" i="1"/>
  <c r="AX582" i="1"/>
  <c r="AW582" i="1"/>
  <c r="A582" i="1"/>
  <c r="AZ581" i="1"/>
  <c r="AY581" i="1"/>
  <c r="AX581" i="1"/>
  <c r="AW581" i="1"/>
  <c r="A581" i="1"/>
  <c r="AZ580" i="1"/>
  <c r="AY580" i="1"/>
  <c r="AX580" i="1"/>
  <c r="AW580" i="1"/>
  <c r="A580" i="1"/>
  <c r="AZ579" i="1"/>
  <c r="AY579" i="1"/>
  <c r="AX579" i="1"/>
  <c r="AW579" i="1"/>
  <c r="A579" i="1"/>
  <c r="AZ578" i="1"/>
  <c r="AY578" i="1"/>
  <c r="AX578" i="1"/>
  <c r="AW578" i="1"/>
  <c r="A578" i="1"/>
  <c r="AZ577" i="1"/>
  <c r="AY577" i="1"/>
  <c r="AX577" i="1"/>
  <c r="AW577" i="1"/>
  <c r="A577" i="1"/>
  <c r="AZ576" i="1"/>
  <c r="AY576" i="1"/>
  <c r="AX576" i="1"/>
  <c r="AW576" i="1"/>
  <c r="A576" i="1"/>
  <c r="AZ575" i="1"/>
  <c r="AY575" i="1"/>
  <c r="AX575" i="1"/>
  <c r="AW575" i="1"/>
  <c r="A575" i="1"/>
  <c r="AZ574" i="1"/>
  <c r="AY574" i="1"/>
  <c r="AX574" i="1"/>
  <c r="AW574" i="1"/>
  <c r="A574" i="1"/>
  <c r="AZ573" i="1"/>
  <c r="AY573" i="1"/>
  <c r="AX573" i="1"/>
  <c r="AW573" i="1"/>
  <c r="A573" i="1"/>
  <c r="AZ572" i="1"/>
  <c r="AY572" i="1"/>
  <c r="AX572" i="1"/>
  <c r="AW572" i="1"/>
  <c r="A572" i="1"/>
  <c r="AZ571" i="1"/>
  <c r="AY571" i="1"/>
  <c r="AX571" i="1"/>
  <c r="AW571" i="1"/>
  <c r="A571" i="1"/>
  <c r="AZ570" i="1"/>
  <c r="AY570" i="1"/>
  <c r="AX570" i="1"/>
  <c r="AW570" i="1"/>
  <c r="A570" i="1"/>
  <c r="AZ569" i="1"/>
  <c r="AY569" i="1"/>
  <c r="AX569" i="1"/>
  <c r="AW569" i="1"/>
  <c r="A569" i="1"/>
  <c r="AZ568" i="1"/>
  <c r="AY568" i="1"/>
  <c r="AX568" i="1"/>
  <c r="AW568" i="1"/>
  <c r="A568" i="1"/>
  <c r="AZ567" i="1"/>
  <c r="AY567" i="1"/>
  <c r="AX567" i="1"/>
  <c r="AW567" i="1"/>
  <c r="A567" i="1"/>
  <c r="AZ566" i="1"/>
  <c r="AY566" i="1"/>
  <c r="AX566" i="1"/>
  <c r="AW566" i="1"/>
  <c r="A566" i="1"/>
  <c r="AZ565" i="1"/>
  <c r="AY565" i="1"/>
  <c r="AX565" i="1"/>
  <c r="AW565" i="1"/>
  <c r="A565" i="1"/>
  <c r="AZ564" i="1"/>
  <c r="AY564" i="1"/>
  <c r="AX564" i="1"/>
  <c r="AW564" i="1"/>
  <c r="A564" i="1"/>
  <c r="AZ563" i="1"/>
  <c r="AY563" i="1"/>
  <c r="AX563" i="1"/>
  <c r="AW563" i="1"/>
  <c r="A563" i="1"/>
  <c r="AZ562" i="1"/>
  <c r="AY562" i="1"/>
  <c r="AX562" i="1"/>
  <c r="AW562" i="1"/>
  <c r="A562" i="1"/>
  <c r="AZ561" i="1"/>
  <c r="AY561" i="1"/>
  <c r="AX561" i="1"/>
  <c r="AW561" i="1"/>
  <c r="A561" i="1"/>
  <c r="AZ560" i="1"/>
  <c r="AY560" i="1"/>
  <c r="AX560" i="1"/>
  <c r="AW560" i="1"/>
  <c r="A560" i="1"/>
  <c r="AZ559" i="1"/>
  <c r="AY559" i="1"/>
  <c r="AX559" i="1"/>
  <c r="AW559" i="1"/>
  <c r="A559" i="1"/>
  <c r="AZ558" i="1"/>
  <c r="AY558" i="1"/>
  <c r="AX558" i="1"/>
  <c r="AW558" i="1"/>
  <c r="A558" i="1"/>
  <c r="AZ557" i="1"/>
  <c r="AY557" i="1"/>
  <c r="AX557" i="1"/>
  <c r="AW557" i="1"/>
  <c r="A557" i="1"/>
  <c r="AZ556" i="1"/>
  <c r="AY556" i="1"/>
  <c r="AX556" i="1"/>
  <c r="AW556" i="1"/>
  <c r="A556" i="1"/>
  <c r="AZ555" i="1"/>
  <c r="AY555" i="1"/>
  <c r="AX555" i="1"/>
  <c r="AW555" i="1"/>
  <c r="A555" i="1"/>
  <c r="AZ554" i="1"/>
  <c r="AY554" i="1"/>
  <c r="AX554" i="1"/>
  <c r="AW554" i="1"/>
  <c r="A554" i="1"/>
  <c r="AZ553" i="1"/>
  <c r="AY553" i="1"/>
  <c r="AX553" i="1"/>
  <c r="AW553" i="1"/>
  <c r="A553" i="1"/>
  <c r="AZ552" i="1"/>
  <c r="AY552" i="1"/>
  <c r="AX552" i="1"/>
  <c r="AW552" i="1"/>
  <c r="A552" i="1"/>
  <c r="AZ551" i="1"/>
  <c r="AY551" i="1"/>
  <c r="AX551" i="1"/>
  <c r="AW551" i="1"/>
  <c r="A551" i="1"/>
  <c r="AZ550" i="1"/>
  <c r="AY550" i="1"/>
  <c r="AX550" i="1"/>
  <c r="AW550" i="1"/>
  <c r="A550" i="1"/>
  <c r="AZ549" i="1"/>
  <c r="AY549" i="1"/>
  <c r="AX549" i="1"/>
  <c r="AW549" i="1"/>
  <c r="A549" i="1"/>
  <c r="AZ548" i="1"/>
  <c r="AY548" i="1"/>
  <c r="AX548" i="1"/>
  <c r="AW548" i="1"/>
  <c r="A548" i="1"/>
  <c r="AZ547" i="1"/>
  <c r="AY547" i="1"/>
  <c r="AX547" i="1"/>
  <c r="AW547" i="1"/>
  <c r="A547" i="1"/>
  <c r="AZ546" i="1"/>
  <c r="AY546" i="1"/>
  <c r="AX546" i="1"/>
  <c r="AW546" i="1"/>
  <c r="A546" i="1"/>
  <c r="AZ545" i="1"/>
  <c r="AY545" i="1"/>
  <c r="AX545" i="1"/>
  <c r="AW545" i="1"/>
  <c r="A545" i="1"/>
  <c r="AZ544" i="1"/>
  <c r="AY544" i="1"/>
  <c r="AX544" i="1"/>
  <c r="AW544" i="1"/>
  <c r="A544" i="1"/>
  <c r="AZ543" i="1"/>
  <c r="AY543" i="1"/>
  <c r="AX543" i="1"/>
  <c r="AW543" i="1"/>
  <c r="A543" i="1"/>
  <c r="AZ542" i="1"/>
  <c r="AY542" i="1"/>
  <c r="AX542" i="1"/>
  <c r="AW542" i="1"/>
  <c r="A542" i="1"/>
  <c r="AZ541" i="1"/>
  <c r="AY541" i="1"/>
  <c r="AX541" i="1"/>
  <c r="AW541" i="1"/>
  <c r="A541" i="1"/>
  <c r="AZ540" i="1"/>
  <c r="AY540" i="1"/>
  <c r="AX540" i="1"/>
  <c r="AW540" i="1"/>
  <c r="A540" i="1"/>
  <c r="AZ539" i="1"/>
  <c r="AY539" i="1"/>
  <c r="AX539" i="1"/>
  <c r="AW539" i="1"/>
  <c r="A539" i="1"/>
  <c r="AZ538" i="1"/>
  <c r="AY538" i="1"/>
  <c r="AX538" i="1"/>
  <c r="AW538" i="1"/>
  <c r="A538" i="1"/>
  <c r="AZ537" i="1"/>
  <c r="AY537" i="1"/>
  <c r="AX537" i="1"/>
  <c r="AW537" i="1"/>
  <c r="A537" i="1"/>
  <c r="AZ536" i="1"/>
  <c r="AY536" i="1"/>
  <c r="AX536" i="1"/>
  <c r="AW536" i="1"/>
  <c r="A536" i="1"/>
  <c r="AZ535" i="1"/>
  <c r="AY535" i="1"/>
  <c r="AX535" i="1"/>
  <c r="AW535" i="1"/>
  <c r="A535" i="1"/>
  <c r="AZ534" i="1"/>
  <c r="AY534" i="1"/>
  <c r="AX534" i="1"/>
  <c r="AW534" i="1"/>
  <c r="A534" i="1"/>
  <c r="AZ533" i="1"/>
  <c r="AY533" i="1"/>
  <c r="AX533" i="1"/>
  <c r="AW533" i="1"/>
  <c r="A533" i="1"/>
  <c r="AZ532" i="1"/>
  <c r="AY532" i="1"/>
  <c r="AX532" i="1"/>
  <c r="AW532" i="1"/>
  <c r="A532" i="1"/>
  <c r="AZ531" i="1"/>
  <c r="AY531" i="1"/>
  <c r="AX531" i="1"/>
  <c r="AW531" i="1"/>
  <c r="A531" i="1"/>
  <c r="AZ530" i="1"/>
  <c r="AY530" i="1"/>
  <c r="AX530" i="1"/>
  <c r="AW530" i="1"/>
  <c r="A530" i="1"/>
  <c r="AZ529" i="1"/>
  <c r="AY529" i="1"/>
  <c r="AX529" i="1"/>
  <c r="AW529" i="1"/>
  <c r="A529" i="1"/>
  <c r="AZ528" i="1"/>
  <c r="AY528" i="1"/>
  <c r="AX528" i="1"/>
  <c r="AW528" i="1"/>
  <c r="A528" i="1"/>
  <c r="AZ527" i="1"/>
  <c r="AY527" i="1"/>
  <c r="AX527" i="1"/>
  <c r="AW527" i="1"/>
  <c r="A527" i="1"/>
  <c r="AZ526" i="1"/>
  <c r="AY526" i="1"/>
  <c r="AX526" i="1"/>
  <c r="AW526" i="1"/>
  <c r="A526" i="1"/>
  <c r="AZ525" i="1"/>
  <c r="AY525" i="1"/>
  <c r="AX525" i="1"/>
  <c r="AW525" i="1"/>
  <c r="A525" i="1"/>
  <c r="AZ524" i="1"/>
  <c r="AY524" i="1"/>
  <c r="AX524" i="1"/>
  <c r="AW524" i="1"/>
  <c r="A524" i="1"/>
  <c r="AZ523" i="1"/>
  <c r="AY523" i="1"/>
  <c r="AX523" i="1"/>
  <c r="AW523" i="1"/>
  <c r="A523" i="1"/>
  <c r="AZ522" i="1"/>
  <c r="AY522" i="1"/>
  <c r="AX522" i="1"/>
  <c r="AW522" i="1"/>
  <c r="A522" i="1"/>
  <c r="AZ521" i="1"/>
  <c r="AY521" i="1"/>
  <c r="AX521" i="1"/>
  <c r="AW521" i="1"/>
  <c r="A521" i="1"/>
  <c r="AZ520" i="1"/>
  <c r="AY520" i="1"/>
  <c r="AX520" i="1"/>
  <c r="AW520" i="1"/>
  <c r="A520" i="1"/>
  <c r="AZ519" i="1"/>
  <c r="AY519" i="1"/>
  <c r="AX519" i="1"/>
  <c r="AW519" i="1"/>
  <c r="A519" i="1"/>
  <c r="AZ518" i="1"/>
  <c r="AY518" i="1"/>
  <c r="AX518" i="1"/>
  <c r="AW518" i="1"/>
  <c r="A518" i="1"/>
  <c r="AZ517" i="1"/>
  <c r="AY517" i="1"/>
  <c r="AX517" i="1"/>
  <c r="AW517" i="1"/>
  <c r="A517" i="1"/>
  <c r="AZ516" i="1"/>
  <c r="AY516" i="1"/>
  <c r="AX516" i="1"/>
  <c r="AW516" i="1"/>
  <c r="A516" i="1"/>
  <c r="AZ515" i="1"/>
  <c r="AY515" i="1"/>
  <c r="AX515" i="1"/>
  <c r="AW515" i="1"/>
  <c r="A515" i="1"/>
  <c r="AZ514" i="1"/>
  <c r="AY514" i="1"/>
  <c r="AX514" i="1"/>
  <c r="AW514" i="1"/>
  <c r="A514" i="1"/>
  <c r="AZ513" i="1"/>
  <c r="AY513" i="1"/>
  <c r="AX513" i="1"/>
  <c r="AW513" i="1"/>
  <c r="A513" i="1"/>
  <c r="AZ512" i="1"/>
  <c r="AY512" i="1"/>
  <c r="AX512" i="1"/>
  <c r="AW512" i="1"/>
  <c r="A512" i="1"/>
  <c r="AZ511" i="1"/>
  <c r="AY511" i="1"/>
  <c r="AX511" i="1"/>
  <c r="AW511" i="1"/>
  <c r="A511" i="1"/>
  <c r="AZ510" i="1"/>
  <c r="AY510" i="1"/>
  <c r="AX510" i="1"/>
  <c r="AW510" i="1"/>
  <c r="A510" i="1"/>
  <c r="AZ509" i="1"/>
  <c r="AY509" i="1"/>
  <c r="AX509" i="1"/>
  <c r="AW509" i="1"/>
  <c r="A509" i="1"/>
  <c r="AZ508" i="1"/>
  <c r="AY508" i="1"/>
  <c r="AX508" i="1"/>
  <c r="AW508" i="1"/>
  <c r="A508" i="1"/>
  <c r="AZ507" i="1"/>
  <c r="AY507" i="1"/>
  <c r="AX507" i="1"/>
  <c r="AW507" i="1"/>
  <c r="A507" i="1"/>
  <c r="AZ506" i="1"/>
  <c r="AY506" i="1"/>
  <c r="AX506" i="1"/>
  <c r="AW506" i="1"/>
  <c r="A506" i="1"/>
  <c r="AZ505" i="1"/>
  <c r="AY505" i="1"/>
  <c r="AX505" i="1"/>
  <c r="AW505" i="1"/>
  <c r="A505" i="1"/>
  <c r="AZ504" i="1"/>
  <c r="AY504" i="1"/>
  <c r="AX504" i="1"/>
  <c r="AW504" i="1"/>
  <c r="A504" i="1"/>
  <c r="AZ503" i="1"/>
  <c r="AY503" i="1"/>
  <c r="AX503" i="1"/>
  <c r="AW503" i="1"/>
  <c r="A503" i="1"/>
  <c r="AZ502" i="1"/>
  <c r="AY502" i="1"/>
  <c r="AX502" i="1"/>
  <c r="AW502" i="1"/>
  <c r="A502" i="1"/>
  <c r="AZ501" i="1"/>
  <c r="AY501" i="1"/>
  <c r="AX501" i="1"/>
  <c r="AW501" i="1"/>
  <c r="A501" i="1"/>
  <c r="AZ500" i="1"/>
  <c r="AY500" i="1"/>
  <c r="AX500" i="1"/>
  <c r="AW500" i="1"/>
  <c r="A500" i="1"/>
  <c r="AZ499" i="1"/>
  <c r="AY499" i="1"/>
  <c r="AX499" i="1"/>
  <c r="AW499" i="1"/>
  <c r="A499" i="1"/>
  <c r="AZ498" i="1"/>
  <c r="AY498" i="1"/>
  <c r="AX498" i="1"/>
  <c r="AW498" i="1"/>
  <c r="A498" i="1"/>
  <c r="AZ497" i="1"/>
  <c r="AY497" i="1"/>
  <c r="AX497" i="1"/>
  <c r="AW497" i="1"/>
  <c r="A497" i="1"/>
  <c r="AZ496" i="1"/>
  <c r="AY496" i="1"/>
  <c r="AX496" i="1"/>
  <c r="AW496" i="1"/>
  <c r="A496" i="1"/>
  <c r="AZ495" i="1"/>
  <c r="AY495" i="1"/>
  <c r="AX495" i="1"/>
  <c r="AW495" i="1"/>
  <c r="A495" i="1"/>
  <c r="AZ494" i="1"/>
  <c r="AY494" i="1"/>
  <c r="AX494" i="1"/>
  <c r="AW494" i="1"/>
  <c r="A494" i="1"/>
  <c r="AZ493" i="1"/>
  <c r="AY493" i="1"/>
  <c r="AX493" i="1"/>
  <c r="AW493" i="1"/>
  <c r="A493" i="1"/>
  <c r="AZ492" i="1"/>
  <c r="AY492" i="1"/>
  <c r="AX492" i="1"/>
  <c r="AW492" i="1"/>
  <c r="A492" i="1"/>
  <c r="AZ491" i="1"/>
  <c r="AY491" i="1"/>
  <c r="AX491" i="1"/>
  <c r="AW491" i="1"/>
  <c r="A491" i="1"/>
  <c r="AZ490" i="1"/>
  <c r="AY490" i="1"/>
  <c r="AX490" i="1"/>
  <c r="AW490" i="1"/>
  <c r="A490" i="1"/>
  <c r="AZ489" i="1"/>
  <c r="AY489" i="1"/>
  <c r="AX489" i="1"/>
  <c r="AW489" i="1"/>
  <c r="A489" i="1"/>
  <c r="AZ488" i="1"/>
  <c r="AY488" i="1"/>
  <c r="AX488" i="1"/>
  <c r="AW488" i="1"/>
  <c r="A488" i="1"/>
  <c r="AZ487" i="1"/>
  <c r="AY487" i="1"/>
  <c r="AX487" i="1"/>
  <c r="AW487" i="1"/>
  <c r="A487" i="1"/>
  <c r="AZ486" i="1"/>
  <c r="AY486" i="1"/>
  <c r="AX486" i="1"/>
  <c r="AW486" i="1"/>
  <c r="A486" i="1"/>
  <c r="AZ485" i="1"/>
  <c r="AY485" i="1"/>
  <c r="AX485" i="1"/>
  <c r="AW485" i="1"/>
  <c r="A485" i="1"/>
  <c r="AZ484" i="1"/>
  <c r="AY484" i="1"/>
  <c r="AX484" i="1"/>
  <c r="AW484" i="1"/>
  <c r="A484" i="1"/>
  <c r="AZ483" i="1"/>
  <c r="AY483" i="1"/>
  <c r="AX483" i="1"/>
  <c r="AW483" i="1"/>
  <c r="A483" i="1"/>
  <c r="AZ482" i="1"/>
  <c r="AY482" i="1"/>
  <c r="AX482" i="1"/>
  <c r="AW482" i="1"/>
  <c r="A482" i="1"/>
  <c r="AZ481" i="1"/>
  <c r="AY481" i="1"/>
  <c r="AX481" i="1"/>
  <c r="AW481" i="1"/>
  <c r="A481" i="1"/>
  <c r="AZ480" i="1"/>
  <c r="AY480" i="1"/>
  <c r="AX480" i="1"/>
  <c r="AW480" i="1"/>
  <c r="A480" i="1"/>
  <c r="AZ479" i="1"/>
  <c r="AY479" i="1"/>
  <c r="AX479" i="1"/>
  <c r="AW479" i="1"/>
  <c r="A479" i="1"/>
  <c r="AZ478" i="1"/>
  <c r="AY478" i="1"/>
  <c r="AX478" i="1"/>
  <c r="AW478" i="1"/>
  <c r="A478" i="1"/>
  <c r="AZ477" i="1"/>
  <c r="AY477" i="1"/>
  <c r="AX477" i="1"/>
  <c r="AW477" i="1"/>
  <c r="A477" i="1"/>
  <c r="AZ476" i="1"/>
  <c r="AY476" i="1"/>
  <c r="AX476" i="1"/>
  <c r="AW476" i="1"/>
  <c r="A476" i="1"/>
  <c r="AZ475" i="1"/>
  <c r="AY475" i="1"/>
  <c r="AX475" i="1"/>
  <c r="AW475" i="1"/>
  <c r="A475" i="1"/>
  <c r="AZ474" i="1"/>
  <c r="AY474" i="1"/>
  <c r="AX474" i="1"/>
  <c r="AW474" i="1"/>
  <c r="A474" i="1"/>
  <c r="AZ473" i="1"/>
  <c r="AY473" i="1"/>
  <c r="AX473" i="1"/>
  <c r="AW473" i="1"/>
  <c r="A473" i="1"/>
  <c r="AZ472" i="1"/>
  <c r="AY472" i="1"/>
  <c r="AX472" i="1"/>
  <c r="AW472" i="1"/>
  <c r="A472" i="1"/>
  <c r="AZ471" i="1"/>
  <c r="AY471" i="1"/>
  <c r="AX471" i="1"/>
  <c r="AW471" i="1"/>
  <c r="A471" i="1"/>
  <c r="AZ470" i="1"/>
  <c r="AY470" i="1"/>
  <c r="AX470" i="1"/>
  <c r="AW470" i="1"/>
  <c r="A470" i="1"/>
  <c r="AZ469" i="1"/>
  <c r="AY469" i="1"/>
  <c r="AX469" i="1"/>
  <c r="AW469" i="1"/>
  <c r="A469" i="1"/>
  <c r="AZ468" i="1"/>
  <c r="AY468" i="1"/>
  <c r="AX468" i="1"/>
  <c r="AW468" i="1"/>
  <c r="A468" i="1"/>
  <c r="AZ467" i="1"/>
  <c r="AY467" i="1"/>
  <c r="AX467" i="1"/>
  <c r="AW467" i="1"/>
  <c r="A467" i="1"/>
  <c r="AZ466" i="1"/>
  <c r="AY466" i="1"/>
  <c r="AX466" i="1"/>
  <c r="AW466" i="1"/>
  <c r="A466" i="1"/>
  <c r="AZ465" i="1"/>
  <c r="AY465" i="1"/>
  <c r="AX465" i="1"/>
  <c r="AW465" i="1"/>
  <c r="A465" i="1"/>
  <c r="AZ464" i="1"/>
  <c r="AY464" i="1"/>
  <c r="AX464" i="1"/>
  <c r="AW464" i="1"/>
  <c r="A464" i="1"/>
  <c r="AZ463" i="1"/>
  <c r="AY463" i="1"/>
  <c r="AX463" i="1"/>
  <c r="AW463" i="1"/>
  <c r="A463" i="1"/>
  <c r="AZ462" i="1"/>
  <c r="AY462" i="1"/>
  <c r="AX462" i="1"/>
  <c r="AW462" i="1"/>
  <c r="A462" i="1"/>
  <c r="AZ461" i="1"/>
  <c r="AY461" i="1"/>
  <c r="AX461" i="1"/>
  <c r="AW461" i="1"/>
  <c r="A461" i="1"/>
  <c r="AZ460" i="1"/>
  <c r="AY460" i="1"/>
  <c r="AX460" i="1"/>
  <c r="AW460" i="1"/>
  <c r="A460" i="1"/>
  <c r="AZ459" i="1"/>
  <c r="AY459" i="1"/>
  <c r="AX459" i="1"/>
  <c r="AW459" i="1"/>
  <c r="A459" i="1"/>
  <c r="AZ458" i="1"/>
  <c r="AY458" i="1"/>
  <c r="AX458" i="1"/>
  <c r="AW458" i="1"/>
  <c r="A458" i="1"/>
  <c r="AZ457" i="1"/>
  <c r="AY457" i="1"/>
  <c r="AX457" i="1"/>
  <c r="AW457" i="1"/>
  <c r="A457" i="1"/>
  <c r="AZ456" i="1"/>
  <c r="AY456" i="1"/>
  <c r="AX456" i="1"/>
  <c r="AW456" i="1"/>
  <c r="A456" i="1"/>
  <c r="AZ455" i="1"/>
  <c r="AY455" i="1"/>
  <c r="AX455" i="1"/>
  <c r="AW455" i="1"/>
  <c r="A455" i="1"/>
  <c r="AZ454" i="1"/>
  <c r="AY454" i="1"/>
  <c r="AX454" i="1"/>
  <c r="AW454" i="1"/>
  <c r="A454" i="1"/>
  <c r="AZ453" i="1"/>
  <c r="AY453" i="1"/>
  <c r="AX453" i="1"/>
  <c r="AW453" i="1"/>
  <c r="A453" i="1"/>
  <c r="AZ452" i="1"/>
  <c r="AY452" i="1"/>
  <c r="AX452" i="1"/>
  <c r="AW452" i="1"/>
  <c r="A452" i="1"/>
  <c r="AZ451" i="1"/>
  <c r="AY451" i="1"/>
  <c r="AX451" i="1"/>
  <c r="AW451" i="1"/>
  <c r="A451" i="1"/>
  <c r="AZ450" i="1"/>
  <c r="AY450" i="1"/>
  <c r="AX450" i="1"/>
  <c r="AW450" i="1"/>
  <c r="A450" i="1"/>
  <c r="AZ449" i="1"/>
  <c r="AY449" i="1"/>
  <c r="AX449" i="1"/>
  <c r="AW449" i="1"/>
  <c r="A449" i="1"/>
  <c r="AZ448" i="1"/>
  <c r="AY448" i="1"/>
  <c r="AX448" i="1"/>
  <c r="AW448" i="1"/>
  <c r="A448" i="1"/>
  <c r="AZ447" i="1"/>
  <c r="AY447" i="1"/>
  <c r="AX447" i="1"/>
  <c r="AW447" i="1"/>
  <c r="A447" i="1"/>
  <c r="AZ446" i="1"/>
  <c r="AY446" i="1"/>
  <c r="AX446" i="1"/>
  <c r="AW446" i="1"/>
  <c r="A446" i="1"/>
  <c r="AZ445" i="1"/>
  <c r="AY445" i="1"/>
  <c r="AX445" i="1"/>
  <c r="AW445" i="1"/>
  <c r="A445" i="1"/>
  <c r="AZ444" i="1"/>
  <c r="AY444" i="1"/>
  <c r="AX444" i="1"/>
  <c r="AW444" i="1"/>
  <c r="A444" i="1"/>
  <c r="AZ443" i="1"/>
  <c r="AY443" i="1"/>
  <c r="AX443" i="1"/>
  <c r="AW443" i="1"/>
  <c r="A443" i="1"/>
  <c r="AZ442" i="1"/>
  <c r="AY442" i="1"/>
  <c r="AX442" i="1"/>
  <c r="AW442" i="1"/>
  <c r="A442" i="1"/>
  <c r="AZ441" i="1"/>
  <c r="AY441" i="1"/>
  <c r="AX441" i="1"/>
  <c r="AW441" i="1"/>
  <c r="A441" i="1"/>
  <c r="AZ440" i="1"/>
  <c r="AY440" i="1"/>
  <c r="AX440" i="1"/>
  <c r="AW440" i="1"/>
  <c r="A440" i="1"/>
  <c r="AZ439" i="1"/>
  <c r="AY439" i="1"/>
  <c r="AX439" i="1"/>
  <c r="AW439" i="1"/>
  <c r="A439" i="1"/>
  <c r="AZ438" i="1"/>
  <c r="AY438" i="1"/>
  <c r="AX438" i="1"/>
  <c r="AW438" i="1"/>
  <c r="A438" i="1"/>
  <c r="AZ437" i="1"/>
  <c r="AY437" i="1"/>
  <c r="AX437" i="1"/>
  <c r="AW437" i="1"/>
  <c r="A437" i="1"/>
  <c r="AZ436" i="1"/>
  <c r="AY436" i="1"/>
  <c r="AX436" i="1"/>
  <c r="AW436" i="1"/>
  <c r="A436" i="1"/>
  <c r="AZ435" i="1"/>
  <c r="AY435" i="1"/>
  <c r="AX435" i="1"/>
  <c r="AW435" i="1"/>
  <c r="A435" i="1"/>
  <c r="AZ434" i="1"/>
  <c r="AY434" i="1"/>
  <c r="AX434" i="1"/>
  <c r="AW434" i="1"/>
  <c r="A434" i="1"/>
  <c r="AZ433" i="1"/>
  <c r="AY433" i="1"/>
  <c r="AX433" i="1"/>
  <c r="AW433" i="1"/>
  <c r="A433" i="1"/>
  <c r="AZ432" i="1"/>
  <c r="AY432" i="1"/>
  <c r="AX432" i="1"/>
  <c r="AW432" i="1"/>
  <c r="A432" i="1"/>
  <c r="AZ431" i="1"/>
  <c r="AY431" i="1"/>
  <c r="AX431" i="1"/>
  <c r="AW431" i="1"/>
  <c r="A431" i="1"/>
  <c r="AZ430" i="1"/>
  <c r="AY430" i="1"/>
  <c r="AX430" i="1"/>
  <c r="AW430" i="1"/>
  <c r="A430" i="1"/>
  <c r="AZ429" i="1"/>
  <c r="AY429" i="1"/>
  <c r="AX429" i="1"/>
  <c r="AW429" i="1"/>
  <c r="A429" i="1"/>
  <c r="AZ428" i="1"/>
  <c r="AY428" i="1"/>
  <c r="AX428" i="1"/>
  <c r="AW428" i="1"/>
  <c r="A428" i="1"/>
  <c r="AZ427" i="1"/>
  <c r="AY427" i="1"/>
  <c r="AX427" i="1"/>
  <c r="AW427" i="1"/>
  <c r="A427" i="1"/>
  <c r="AZ426" i="1"/>
  <c r="AY426" i="1"/>
  <c r="AX426" i="1"/>
  <c r="AW426" i="1"/>
  <c r="A426" i="1"/>
  <c r="AZ425" i="1"/>
  <c r="AY425" i="1"/>
  <c r="AX425" i="1"/>
  <c r="AW425" i="1"/>
  <c r="A425" i="1"/>
  <c r="AZ424" i="1"/>
  <c r="AY424" i="1"/>
  <c r="AX424" i="1"/>
  <c r="AW424" i="1"/>
  <c r="A424" i="1"/>
  <c r="AZ423" i="1"/>
  <c r="AY423" i="1"/>
  <c r="AX423" i="1"/>
  <c r="AW423" i="1"/>
  <c r="A423" i="1"/>
  <c r="AZ422" i="1"/>
  <c r="AY422" i="1"/>
  <c r="AX422" i="1"/>
  <c r="AW422" i="1"/>
  <c r="A422" i="1"/>
  <c r="AZ421" i="1"/>
  <c r="AY421" i="1"/>
  <c r="AX421" i="1"/>
  <c r="AW421" i="1"/>
  <c r="A421" i="1"/>
  <c r="AZ420" i="1"/>
  <c r="AY420" i="1"/>
  <c r="AX420" i="1"/>
  <c r="AW420" i="1"/>
  <c r="A420" i="1"/>
  <c r="AZ419" i="1"/>
  <c r="AY419" i="1"/>
  <c r="AX419" i="1"/>
  <c r="AW419" i="1"/>
  <c r="A419" i="1"/>
  <c r="AZ418" i="1"/>
  <c r="AY418" i="1"/>
  <c r="AX418" i="1"/>
  <c r="AW418" i="1"/>
  <c r="A418" i="1"/>
  <c r="AZ417" i="1"/>
  <c r="AY417" i="1"/>
  <c r="AX417" i="1"/>
  <c r="AW417" i="1"/>
  <c r="A417" i="1"/>
  <c r="AZ416" i="1"/>
  <c r="AY416" i="1"/>
  <c r="AX416" i="1"/>
  <c r="AW416" i="1"/>
  <c r="A416" i="1"/>
  <c r="AZ415" i="1"/>
  <c r="AY415" i="1"/>
  <c r="AX415" i="1"/>
  <c r="AW415" i="1"/>
  <c r="A415" i="1"/>
  <c r="AZ414" i="1"/>
  <c r="AY414" i="1"/>
  <c r="AX414" i="1"/>
  <c r="AW414" i="1"/>
  <c r="A414" i="1"/>
  <c r="AZ413" i="1"/>
  <c r="AY413" i="1"/>
  <c r="AX413" i="1"/>
  <c r="AW413" i="1"/>
  <c r="A413" i="1"/>
  <c r="AZ412" i="1"/>
  <c r="AY412" i="1"/>
  <c r="AX412" i="1"/>
  <c r="AW412" i="1"/>
  <c r="A412" i="1"/>
  <c r="AZ411" i="1"/>
  <c r="AY411" i="1"/>
  <c r="AX411" i="1"/>
  <c r="AW411" i="1"/>
  <c r="A411" i="1"/>
  <c r="AZ410" i="1"/>
  <c r="AY410" i="1"/>
  <c r="AX410" i="1"/>
  <c r="AW410" i="1"/>
  <c r="A410" i="1"/>
  <c r="AZ409" i="1"/>
  <c r="AY409" i="1"/>
  <c r="AX409" i="1"/>
  <c r="AW409" i="1"/>
  <c r="A409" i="1"/>
  <c r="AZ408" i="1"/>
  <c r="AY408" i="1"/>
  <c r="AX408" i="1"/>
  <c r="AW408" i="1"/>
  <c r="A408" i="1"/>
  <c r="AZ407" i="1"/>
  <c r="AY407" i="1"/>
  <c r="AX407" i="1"/>
  <c r="AW407" i="1"/>
  <c r="A407" i="1"/>
  <c r="AZ406" i="1"/>
  <c r="AY406" i="1"/>
  <c r="AX406" i="1"/>
  <c r="AW406" i="1"/>
  <c r="A406" i="1"/>
  <c r="AZ405" i="1"/>
  <c r="AY405" i="1"/>
  <c r="AX405" i="1"/>
  <c r="AW405" i="1"/>
  <c r="A405" i="1"/>
  <c r="AZ404" i="1"/>
  <c r="AY404" i="1"/>
  <c r="AX404" i="1"/>
  <c r="AW404" i="1"/>
  <c r="A404" i="1"/>
  <c r="AZ403" i="1"/>
  <c r="AY403" i="1"/>
  <c r="AX403" i="1"/>
  <c r="AW403" i="1"/>
  <c r="A403" i="1"/>
  <c r="AZ402" i="1"/>
  <c r="AY402" i="1"/>
  <c r="AX402" i="1"/>
  <c r="AW402" i="1"/>
  <c r="A402" i="1"/>
  <c r="AZ401" i="1"/>
  <c r="AY401" i="1"/>
  <c r="AX401" i="1"/>
  <c r="AW401" i="1"/>
  <c r="A401" i="1"/>
  <c r="AZ400" i="1"/>
  <c r="AY400" i="1"/>
  <c r="AX400" i="1"/>
  <c r="AW400" i="1"/>
  <c r="A400" i="1"/>
  <c r="AZ399" i="1"/>
  <c r="AY399" i="1"/>
  <c r="AX399" i="1"/>
  <c r="AW399" i="1"/>
  <c r="A399" i="1"/>
  <c r="AZ398" i="1"/>
  <c r="AY398" i="1"/>
  <c r="AX398" i="1"/>
  <c r="AW398" i="1"/>
  <c r="A398" i="1"/>
  <c r="AZ397" i="1"/>
  <c r="AY397" i="1"/>
  <c r="AX397" i="1"/>
  <c r="AW397" i="1"/>
  <c r="A397" i="1"/>
  <c r="AZ396" i="1"/>
  <c r="AY396" i="1"/>
  <c r="AX396" i="1"/>
  <c r="AW396" i="1"/>
  <c r="A396" i="1"/>
  <c r="AZ395" i="1"/>
  <c r="AY395" i="1"/>
  <c r="AX395" i="1"/>
  <c r="AW395" i="1"/>
  <c r="A395" i="1"/>
  <c r="AZ394" i="1"/>
  <c r="AY394" i="1"/>
  <c r="AX394" i="1"/>
  <c r="AW394" i="1"/>
  <c r="A394" i="1"/>
  <c r="AZ393" i="1"/>
  <c r="AY393" i="1"/>
  <c r="AX393" i="1"/>
  <c r="AW393" i="1"/>
  <c r="A393" i="1"/>
  <c r="AZ392" i="1"/>
  <c r="AY392" i="1"/>
  <c r="AX392" i="1"/>
  <c r="AW392" i="1"/>
  <c r="A392" i="1"/>
  <c r="AZ391" i="1"/>
  <c r="AY391" i="1"/>
  <c r="AX391" i="1"/>
  <c r="AW391" i="1"/>
  <c r="A391" i="1"/>
  <c r="AZ390" i="1"/>
  <c r="AY390" i="1"/>
  <c r="AX390" i="1"/>
  <c r="AW390" i="1"/>
  <c r="A390" i="1"/>
  <c r="AZ389" i="1"/>
  <c r="AY389" i="1"/>
  <c r="AX389" i="1"/>
  <c r="AW389" i="1"/>
  <c r="A389" i="1"/>
  <c r="AZ388" i="1"/>
  <c r="AY388" i="1"/>
  <c r="AX388" i="1"/>
  <c r="AW388" i="1"/>
  <c r="A388" i="1"/>
  <c r="AZ387" i="1"/>
  <c r="AY387" i="1"/>
  <c r="AX387" i="1"/>
  <c r="AW387" i="1"/>
  <c r="A387" i="1"/>
  <c r="AZ386" i="1"/>
  <c r="AY386" i="1"/>
  <c r="AX386" i="1"/>
  <c r="AW386" i="1"/>
  <c r="A386" i="1"/>
  <c r="AZ385" i="1"/>
  <c r="AY385" i="1"/>
  <c r="AX385" i="1"/>
  <c r="AW385" i="1"/>
  <c r="A385" i="1"/>
  <c r="AZ384" i="1"/>
  <c r="AY384" i="1"/>
  <c r="AX384" i="1"/>
  <c r="AW384" i="1"/>
  <c r="A384" i="1"/>
  <c r="AZ383" i="1"/>
  <c r="AY383" i="1"/>
  <c r="AX383" i="1"/>
  <c r="AW383" i="1"/>
  <c r="A383" i="1"/>
  <c r="AZ382" i="1"/>
  <c r="AY382" i="1"/>
  <c r="AX382" i="1"/>
  <c r="AW382" i="1"/>
  <c r="A382" i="1"/>
  <c r="AZ381" i="1"/>
  <c r="AY381" i="1"/>
  <c r="AX381" i="1"/>
  <c r="AW381" i="1"/>
  <c r="A381" i="1"/>
  <c r="AZ380" i="1"/>
  <c r="AY380" i="1"/>
  <c r="AX380" i="1"/>
  <c r="AW380" i="1"/>
  <c r="A380" i="1"/>
  <c r="AZ379" i="1"/>
  <c r="AY379" i="1"/>
  <c r="AX379" i="1"/>
  <c r="AW379" i="1"/>
  <c r="A379" i="1"/>
  <c r="AZ378" i="1"/>
  <c r="AY378" i="1"/>
  <c r="AX378" i="1"/>
  <c r="AW378" i="1"/>
  <c r="A378" i="1"/>
  <c r="AZ377" i="1"/>
  <c r="AY377" i="1"/>
  <c r="AX377" i="1"/>
  <c r="AW377" i="1"/>
  <c r="A377" i="1"/>
  <c r="AZ376" i="1"/>
  <c r="AY376" i="1"/>
  <c r="AX376" i="1"/>
  <c r="AW376" i="1"/>
  <c r="A376" i="1"/>
  <c r="AZ375" i="1"/>
  <c r="AY375" i="1"/>
  <c r="AX375" i="1"/>
  <c r="AW375" i="1"/>
  <c r="A375" i="1"/>
  <c r="AZ374" i="1"/>
  <c r="AY374" i="1"/>
  <c r="AX374" i="1"/>
  <c r="AW374" i="1"/>
  <c r="A374" i="1"/>
  <c r="AZ373" i="1"/>
  <c r="AY373" i="1"/>
  <c r="AX373" i="1"/>
  <c r="AW373" i="1"/>
  <c r="A373" i="1"/>
  <c r="AZ372" i="1"/>
  <c r="AY372" i="1"/>
  <c r="AX372" i="1"/>
  <c r="AW372" i="1"/>
  <c r="A372" i="1"/>
  <c r="AZ371" i="1"/>
  <c r="AY371" i="1"/>
  <c r="AX371" i="1"/>
  <c r="AW371" i="1"/>
  <c r="A371" i="1"/>
  <c r="AZ370" i="1"/>
  <c r="AY370" i="1"/>
  <c r="AX370" i="1"/>
  <c r="AW370" i="1"/>
  <c r="A370" i="1"/>
  <c r="AZ369" i="1"/>
  <c r="AY369" i="1"/>
  <c r="AX369" i="1"/>
  <c r="AW369" i="1"/>
  <c r="A369" i="1"/>
  <c r="AZ368" i="1"/>
  <c r="AY368" i="1"/>
  <c r="AX368" i="1"/>
  <c r="AW368" i="1"/>
  <c r="A368" i="1"/>
  <c r="AZ367" i="1"/>
  <c r="AY367" i="1"/>
  <c r="AX367" i="1"/>
  <c r="AW367" i="1"/>
  <c r="A367" i="1"/>
  <c r="AZ366" i="1"/>
  <c r="AY366" i="1"/>
  <c r="AX366" i="1"/>
  <c r="AW366" i="1"/>
  <c r="A366" i="1"/>
  <c r="AZ365" i="1"/>
  <c r="AY365" i="1"/>
  <c r="AX365" i="1"/>
  <c r="AW365" i="1"/>
  <c r="A365" i="1"/>
  <c r="AZ364" i="1"/>
  <c r="AY364" i="1"/>
  <c r="AX364" i="1"/>
  <c r="AW364" i="1"/>
  <c r="A364" i="1"/>
  <c r="AZ363" i="1"/>
  <c r="AY363" i="1"/>
  <c r="AX363" i="1"/>
  <c r="AW363" i="1"/>
  <c r="A363" i="1"/>
  <c r="AZ362" i="1"/>
  <c r="AY362" i="1"/>
  <c r="AX362" i="1"/>
  <c r="AW362" i="1"/>
  <c r="A362" i="1"/>
  <c r="AZ361" i="1"/>
  <c r="AY361" i="1"/>
  <c r="AX361" i="1"/>
  <c r="AW361" i="1"/>
  <c r="A361" i="1"/>
  <c r="AZ360" i="1"/>
  <c r="AY360" i="1"/>
  <c r="AX360" i="1"/>
  <c r="AW360" i="1"/>
  <c r="A360" i="1"/>
  <c r="AZ359" i="1"/>
  <c r="AY359" i="1"/>
  <c r="AX359" i="1"/>
  <c r="AW359" i="1"/>
  <c r="A359" i="1"/>
  <c r="AZ358" i="1"/>
  <c r="AY358" i="1"/>
  <c r="AX358" i="1"/>
  <c r="AW358" i="1"/>
  <c r="A358" i="1"/>
  <c r="AZ357" i="1"/>
  <c r="AY357" i="1"/>
  <c r="AX357" i="1"/>
  <c r="AW357" i="1"/>
  <c r="A357" i="1"/>
  <c r="AZ356" i="1"/>
  <c r="AY356" i="1"/>
  <c r="AX356" i="1"/>
  <c r="AW356" i="1"/>
  <c r="A356" i="1"/>
  <c r="AZ355" i="1"/>
  <c r="AY355" i="1"/>
  <c r="AX355" i="1"/>
  <c r="AW355" i="1"/>
  <c r="A355" i="1"/>
  <c r="AZ354" i="1"/>
  <c r="AY354" i="1"/>
  <c r="AX354" i="1"/>
  <c r="AW354" i="1"/>
  <c r="A354" i="1"/>
  <c r="AZ353" i="1"/>
  <c r="AY353" i="1"/>
  <c r="AX353" i="1"/>
  <c r="AW353" i="1"/>
  <c r="A353" i="1"/>
  <c r="AZ352" i="1"/>
  <c r="AY352" i="1"/>
  <c r="AX352" i="1"/>
  <c r="AW352" i="1"/>
  <c r="A352" i="1"/>
  <c r="AZ351" i="1"/>
  <c r="AY351" i="1"/>
  <c r="AX351" i="1"/>
  <c r="AW351" i="1"/>
  <c r="A351" i="1"/>
  <c r="AZ350" i="1"/>
  <c r="AY350" i="1"/>
  <c r="AX350" i="1"/>
  <c r="AW350" i="1"/>
  <c r="A350" i="1"/>
  <c r="AZ349" i="1"/>
  <c r="AY349" i="1"/>
  <c r="AX349" i="1"/>
  <c r="AW349" i="1"/>
  <c r="A349" i="1"/>
  <c r="AZ348" i="1"/>
  <c r="AY348" i="1"/>
  <c r="AX348" i="1"/>
  <c r="AW348" i="1"/>
  <c r="A348" i="1"/>
  <c r="AZ347" i="1"/>
  <c r="AY347" i="1"/>
  <c r="AX347" i="1"/>
  <c r="AW347" i="1"/>
  <c r="A347" i="1"/>
  <c r="AZ346" i="1"/>
  <c r="AY346" i="1"/>
  <c r="AX346" i="1"/>
  <c r="AW346" i="1"/>
  <c r="A346" i="1"/>
  <c r="AZ345" i="1"/>
  <c r="AY345" i="1"/>
  <c r="AX345" i="1"/>
  <c r="AW345" i="1"/>
  <c r="A345" i="1"/>
  <c r="AZ344" i="1"/>
  <c r="AY344" i="1"/>
  <c r="AX344" i="1"/>
  <c r="AW344" i="1"/>
  <c r="A344" i="1"/>
  <c r="AZ343" i="1"/>
  <c r="AY343" i="1"/>
  <c r="AX343" i="1"/>
  <c r="AW343" i="1"/>
  <c r="A343" i="1"/>
  <c r="AZ342" i="1"/>
  <c r="AY342" i="1"/>
  <c r="AX342" i="1"/>
  <c r="AW342" i="1"/>
  <c r="A342" i="1"/>
  <c r="AZ341" i="1"/>
  <c r="AY341" i="1"/>
  <c r="AX341" i="1"/>
  <c r="AW341" i="1"/>
  <c r="A341" i="1"/>
  <c r="AZ340" i="1"/>
  <c r="AY340" i="1"/>
  <c r="AX340" i="1"/>
  <c r="AW340" i="1"/>
  <c r="A340" i="1"/>
  <c r="AZ339" i="1"/>
  <c r="AY339" i="1"/>
  <c r="AX339" i="1"/>
  <c r="AW339" i="1"/>
  <c r="A339" i="1"/>
  <c r="AZ338" i="1"/>
  <c r="AY338" i="1"/>
  <c r="AX338" i="1"/>
  <c r="AW338" i="1"/>
  <c r="A338" i="1"/>
  <c r="AZ337" i="1"/>
  <c r="AY337" i="1"/>
  <c r="AX337" i="1"/>
  <c r="AW337" i="1"/>
  <c r="A337" i="1"/>
  <c r="AZ336" i="1"/>
  <c r="AY336" i="1"/>
  <c r="AX336" i="1"/>
  <c r="AW336" i="1"/>
  <c r="A336" i="1"/>
  <c r="AZ335" i="1"/>
  <c r="AY335" i="1"/>
  <c r="AX335" i="1"/>
  <c r="AW335" i="1"/>
  <c r="A335" i="1"/>
  <c r="AZ334" i="1"/>
  <c r="AY334" i="1"/>
  <c r="AX334" i="1"/>
  <c r="AW334" i="1"/>
  <c r="A334" i="1"/>
  <c r="AZ333" i="1"/>
  <c r="AY333" i="1"/>
  <c r="AX333" i="1"/>
  <c r="AW333" i="1"/>
  <c r="A333" i="1"/>
  <c r="AZ332" i="1"/>
  <c r="AY332" i="1"/>
  <c r="AX332" i="1"/>
  <c r="AW332" i="1"/>
  <c r="A332" i="1"/>
  <c r="AZ331" i="1"/>
  <c r="AY331" i="1"/>
  <c r="AX331" i="1"/>
  <c r="AW331" i="1"/>
  <c r="A331" i="1"/>
  <c r="AZ330" i="1"/>
  <c r="AY330" i="1"/>
  <c r="AX330" i="1"/>
  <c r="AW330" i="1"/>
  <c r="A330" i="1"/>
  <c r="AZ329" i="1"/>
  <c r="AY329" i="1"/>
  <c r="AX329" i="1"/>
  <c r="AW329" i="1"/>
  <c r="A329" i="1"/>
  <c r="AZ328" i="1"/>
  <c r="AY328" i="1"/>
  <c r="AX328" i="1"/>
  <c r="AW328" i="1"/>
  <c r="A328" i="1"/>
  <c r="AZ327" i="1"/>
  <c r="AY327" i="1"/>
  <c r="AX327" i="1"/>
  <c r="AW327" i="1"/>
  <c r="A327" i="1"/>
  <c r="AZ326" i="1"/>
  <c r="AY326" i="1"/>
  <c r="AX326" i="1"/>
  <c r="AW326" i="1"/>
  <c r="A326" i="1"/>
  <c r="AZ325" i="1"/>
  <c r="AY325" i="1"/>
  <c r="AX325" i="1"/>
  <c r="AW325" i="1"/>
  <c r="A325" i="1"/>
  <c r="AZ324" i="1"/>
  <c r="AY324" i="1"/>
  <c r="AX324" i="1"/>
  <c r="AW324" i="1"/>
  <c r="A324" i="1"/>
  <c r="AZ323" i="1"/>
  <c r="AY323" i="1"/>
  <c r="AX323" i="1"/>
  <c r="AW323" i="1"/>
  <c r="A323" i="1"/>
  <c r="AZ322" i="1"/>
  <c r="AY322" i="1"/>
  <c r="AX322" i="1"/>
  <c r="AW322" i="1"/>
  <c r="A322" i="1"/>
  <c r="AZ321" i="1"/>
  <c r="AY321" i="1"/>
  <c r="AX321" i="1"/>
  <c r="AW321" i="1"/>
  <c r="A321" i="1"/>
  <c r="AZ320" i="1"/>
  <c r="AY320" i="1"/>
  <c r="AX320" i="1"/>
  <c r="AW320" i="1"/>
  <c r="A320" i="1"/>
  <c r="AZ319" i="1"/>
  <c r="AY319" i="1"/>
  <c r="AX319" i="1"/>
  <c r="AW319" i="1"/>
  <c r="A319" i="1"/>
  <c r="AZ318" i="1"/>
  <c r="AY318" i="1"/>
  <c r="AX318" i="1"/>
  <c r="AW318" i="1"/>
  <c r="A318" i="1"/>
  <c r="AZ317" i="1"/>
  <c r="AY317" i="1"/>
  <c r="AX317" i="1"/>
  <c r="AW317" i="1"/>
  <c r="A317" i="1"/>
  <c r="AZ316" i="1"/>
  <c r="AY316" i="1"/>
  <c r="AX316" i="1"/>
  <c r="AW316" i="1"/>
  <c r="A316" i="1"/>
  <c r="AZ315" i="1"/>
  <c r="AY315" i="1"/>
  <c r="AX315" i="1"/>
  <c r="AW315" i="1"/>
  <c r="A315" i="1"/>
  <c r="AZ314" i="1"/>
  <c r="AY314" i="1"/>
  <c r="AX314" i="1"/>
  <c r="AW314" i="1"/>
  <c r="A314" i="1"/>
  <c r="AZ313" i="1"/>
  <c r="AY313" i="1"/>
  <c r="AX313" i="1"/>
  <c r="AW313" i="1"/>
  <c r="A313" i="1"/>
  <c r="AZ312" i="1"/>
  <c r="AY312" i="1"/>
  <c r="AX312" i="1"/>
  <c r="AW312" i="1"/>
  <c r="A312" i="1"/>
  <c r="AZ311" i="1"/>
  <c r="AY311" i="1"/>
  <c r="AX311" i="1"/>
  <c r="AW311" i="1"/>
  <c r="A311" i="1"/>
  <c r="AZ310" i="1"/>
  <c r="AY310" i="1"/>
  <c r="AX310" i="1"/>
  <c r="AW310" i="1"/>
  <c r="A310" i="1"/>
  <c r="AZ309" i="1"/>
  <c r="AY309" i="1"/>
  <c r="AX309" i="1"/>
  <c r="AW309" i="1"/>
  <c r="A309" i="1"/>
  <c r="AZ308" i="1"/>
  <c r="AY308" i="1"/>
  <c r="AX308" i="1"/>
  <c r="AW308" i="1"/>
  <c r="A308" i="1"/>
  <c r="AZ307" i="1"/>
  <c r="AY307" i="1"/>
  <c r="AX307" i="1"/>
  <c r="AW307" i="1"/>
  <c r="A307" i="1"/>
  <c r="AZ306" i="1"/>
  <c r="AY306" i="1"/>
  <c r="AX306" i="1"/>
  <c r="AW306" i="1"/>
  <c r="A306" i="1"/>
  <c r="AZ305" i="1"/>
  <c r="AY305" i="1"/>
  <c r="AX305" i="1"/>
  <c r="AW305" i="1"/>
  <c r="A305" i="1"/>
  <c r="AZ304" i="1"/>
  <c r="AY304" i="1"/>
  <c r="AX304" i="1"/>
  <c r="AW304" i="1"/>
  <c r="A304" i="1"/>
  <c r="AZ303" i="1"/>
  <c r="AY303" i="1"/>
  <c r="AX303" i="1"/>
  <c r="AW303" i="1"/>
  <c r="A303" i="1"/>
  <c r="AZ302" i="1"/>
  <c r="AY302" i="1"/>
  <c r="AX302" i="1"/>
  <c r="AW302" i="1"/>
  <c r="A302" i="1"/>
  <c r="AZ301" i="1"/>
  <c r="AY301" i="1"/>
  <c r="AX301" i="1"/>
  <c r="AW301" i="1"/>
  <c r="A301" i="1"/>
  <c r="AZ300" i="1"/>
  <c r="AY300" i="1"/>
  <c r="AX300" i="1"/>
  <c r="AW300" i="1"/>
  <c r="A300" i="1"/>
  <c r="AZ299" i="1"/>
  <c r="AY299" i="1"/>
  <c r="AX299" i="1"/>
  <c r="AW299" i="1"/>
  <c r="A299" i="1"/>
  <c r="AZ298" i="1"/>
  <c r="AY298" i="1"/>
  <c r="AX298" i="1"/>
  <c r="AW298" i="1"/>
  <c r="A298" i="1"/>
  <c r="AZ297" i="1"/>
  <c r="AY297" i="1"/>
  <c r="AX297" i="1"/>
  <c r="AW297" i="1"/>
  <c r="A297" i="1"/>
  <c r="AZ296" i="1"/>
  <c r="AY296" i="1"/>
  <c r="AX296" i="1"/>
  <c r="AW296" i="1"/>
  <c r="A296" i="1"/>
  <c r="AZ295" i="1"/>
  <c r="AY295" i="1"/>
  <c r="AX295" i="1"/>
  <c r="AW295" i="1"/>
  <c r="A295" i="1"/>
  <c r="AZ294" i="1"/>
  <c r="AY294" i="1"/>
  <c r="AX294" i="1"/>
  <c r="AW294" i="1"/>
  <c r="A294" i="1"/>
  <c r="AZ293" i="1"/>
  <c r="AY293" i="1"/>
  <c r="AX293" i="1"/>
  <c r="AW293" i="1"/>
  <c r="A293" i="1"/>
  <c r="AZ292" i="1"/>
  <c r="AY292" i="1"/>
  <c r="AX292" i="1"/>
  <c r="AW292" i="1"/>
  <c r="A292" i="1"/>
  <c r="AZ291" i="1"/>
  <c r="AY291" i="1"/>
  <c r="AX291" i="1"/>
  <c r="AW291" i="1"/>
  <c r="A291" i="1"/>
  <c r="AZ290" i="1"/>
  <c r="AY290" i="1"/>
  <c r="AX290" i="1"/>
  <c r="AW290" i="1"/>
  <c r="A290" i="1"/>
  <c r="AZ289" i="1"/>
  <c r="AY289" i="1"/>
  <c r="AX289" i="1"/>
  <c r="AW289" i="1"/>
  <c r="A289" i="1"/>
  <c r="AZ288" i="1"/>
  <c r="AY288" i="1"/>
  <c r="AX288" i="1"/>
  <c r="AW288" i="1"/>
  <c r="A288" i="1"/>
  <c r="AZ287" i="1"/>
  <c r="AY287" i="1"/>
  <c r="AX287" i="1"/>
  <c r="AW287" i="1"/>
  <c r="A287" i="1"/>
  <c r="AZ286" i="1"/>
  <c r="AY286" i="1"/>
  <c r="AX286" i="1"/>
  <c r="AW286" i="1"/>
  <c r="A286" i="1"/>
  <c r="AZ285" i="1"/>
  <c r="AY285" i="1"/>
  <c r="AX285" i="1"/>
  <c r="AW285" i="1"/>
  <c r="A285" i="1"/>
  <c r="AZ284" i="1"/>
  <c r="AY284" i="1"/>
  <c r="AX284" i="1"/>
  <c r="AW284" i="1"/>
  <c r="A284" i="1"/>
  <c r="AZ283" i="1"/>
  <c r="AY283" i="1"/>
  <c r="AX283" i="1"/>
  <c r="AW283" i="1"/>
  <c r="A283" i="1"/>
  <c r="AZ282" i="1"/>
  <c r="AY282" i="1"/>
  <c r="AX282" i="1"/>
  <c r="AW282" i="1"/>
  <c r="A282" i="1"/>
  <c r="AZ281" i="1"/>
  <c r="AY281" i="1"/>
  <c r="AX281" i="1"/>
  <c r="AW281" i="1"/>
  <c r="A281" i="1"/>
  <c r="AZ280" i="1"/>
  <c r="AY280" i="1"/>
  <c r="AX280" i="1"/>
  <c r="AW280" i="1"/>
  <c r="A280" i="1"/>
  <c r="AZ279" i="1"/>
  <c r="AY279" i="1"/>
  <c r="AX279" i="1"/>
  <c r="AW279" i="1"/>
  <c r="A279" i="1"/>
  <c r="AZ278" i="1"/>
  <c r="AY278" i="1"/>
  <c r="AX278" i="1"/>
  <c r="AW278" i="1"/>
  <c r="A278" i="1"/>
  <c r="AZ277" i="1"/>
  <c r="AY277" i="1"/>
  <c r="AX277" i="1"/>
  <c r="AW277" i="1"/>
  <c r="A277" i="1"/>
  <c r="AZ276" i="1"/>
  <c r="AY276" i="1"/>
  <c r="AX276" i="1"/>
  <c r="AW276" i="1"/>
  <c r="A276" i="1"/>
  <c r="AZ275" i="1"/>
  <c r="AY275" i="1"/>
  <c r="AX275" i="1"/>
  <c r="AW275" i="1"/>
  <c r="A275" i="1"/>
  <c r="AZ274" i="1"/>
  <c r="AY274" i="1"/>
  <c r="AX274" i="1"/>
  <c r="AW274" i="1"/>
  <c r="A274" i="1"/>
  <c r="AZ273" i="1"/>
  <c r="AY273" i="1"/>
  <c r="AX273" i="1"/>
  <c r="AW273" i="1"/>
  <c r="A273" i="1"/>
  <c r="AZ272" i="1"/>
  <c r="AY272" i="1"/>
  <c r="AX272" i="1"/>
  <c r="AW272" i="1"/>
  <c r="A272" i="1"/>
  <c r="AZ271" i="1"/>
  <c r="AY271" i="1"/>
  <c r="AX271" i="1"/>
  <c r="AW271" i="1"/>
  <c r="A271" i="1"/>
  <c r="AZ270" i="1"/>
  <c r="AY270" i="1"/>
  <c r="AX270" i="1"/>
  <c r="AW270" i="1"/>
  <c r="A270" i="1"/>
  <c r="AZ269" i="1"/>
  <c r="AY269" i="1"/>
  <c r="AX269" i="1"/>
  <c r="AW269" i="1"/>
  <c r="A269" i="1"/>
  <c r="AZ268" i="1"/>
  <c r="AY268" i="1"/>
  <c r="AX268" i="1"/>
  <c r="AW268" i="1"/>
  <c r="A268" i="1"/>
  <c r="AZ267" i="1"/>
  <c r="AY267" i="1"/>
  <c r="AX267" i="1"/>
  <c r="AW267" i="1"/>
  <c r="A267" i="1"/>
  <c r="AZ266" i="1"/>
  <c r="AY266" i="1"/>
  <c r="AX266" i="1"/>
  <c r="AW266" i="1"/>
  <c r="A266" i="1"/>
  <c r="AZ265" i="1"/>
  <c r="AY265" i="1"/>
  <c r="AX265" i="1"/>
  <c r="AW265" i="1"/>
  <c r="A265" i="1"/>
  <c r="AZ264" i="1"/>
  <c r="AY264" i="1"/>
  <c r="AX264" i="1"/>
  <c r="AW264" i="1"/>
  <c r="A264" i="1"/>
  <c r="AZ263" i="1"/>
  <c r="AY263" i="1"/>
  <c r="AX263" i="1"/>
  <c r="AW263" i="1"/>
  <c r="A263" i="1"/>
  <c r="AZ262" i="1"/>
  <c r="AY262" i="1"/>
  <c r="AX262" i="1"/>
  <c r="AW262" i="1"/>
  <c r="A262" i="1"/>
  <c r="AZ261" i="1"/>
  <c r="AY261" i="1"/>
  <c r="AX261" i="1"/>
  <c r="AW261" i="1"/>
  <c r="A261" i="1"/>
  <c r="AZ260" i="1"/>
  <c r="AY260" i="1"/>
  <c r="AX260" i="1"/>
  <c r="AW260" i="1"/>
  <c r="A260" i="1"/>
  <c r="AZ259" i="1"/>
  <c r="AY259" i="1"/>
  <c r="AX259" i="1"/>
  <c r="AW259" i="1"/>
  <c r="A259" i="1"/>
  <c r="AZ258" i="1"/>
  <c r="AY258" i="1"/>
  <c r="AX258" i="1"/>
  <c r="AW258" i="1"/>
  <c r="A258" i="1"/>
  <c r="AZ257" i="1"/>
  <c r="AY257" i="1"/>
  <c r="AX257" i="1"/>
  <c r="AW257" i="1"/>
  <c r="A257" i="1"/>
  <c r="AZ256" i="1"/>
  <c r="AY256" i="1"/>
  <c r="AX256" i="1"/>
  <c r="AW256" i="1"/>
  <c r="A256" i="1"/>
  <c r="AZ255" i="1"/>
  <c r="AY255" i="1"/>
  <c r="AX255" i="1"/>
  <c r="AW255" i="1"/>
  <c r="A255" i="1"/>
  <c r="AZ254" i="1"/>
  <c r="AY254" i="1"/>
  <c r="AX254" i="1"/>
  <c r="AW254" i="1"/>
  <c r="A254" i="1"/>
  <c r="AZ253" i="1"/>
  <c r="AY253" i="1"/>
  <c r="AX253" i="1"/>
  <c r="AW253" i="1"/>
  <c r="A253" i="1"/>
  <c r="AZ252" i="1"/>
  <c r="AY252" i="1"/>
  <c r="AX252" i="1"/>
  <c r="AW252" i="1"/>
  <c r="A252" i="1"/>
  <c r="AZ251" i="1"/>
  <c r="AY251" i="1"/>
  <c r="AX251" i="1"/>
  <c r="AW251" i="1"/>
  <c r="A251" i="1"/>
  <c r="AZ250" i="1"/>
  <c r="AY250" i="1"/>
  <c r="AX250" i="1"/>
  <c r="AW250" i="1"/>
  <c r="A250" i="1"/>
  <c r="AZ249" i="1"/>
  <c r="AY249" i="1"/>
  <c r="AX249" i="1"/>
  <c r="AW249" i="1"/>
  <c r="A249" i="1"/>
  <c r="AZ248" i="1"/>
  <c r="AY248" i="1"/>
  <c r="AX248" i="1"/>
  <c r="AW248" i="1"/>
  <c r="A248" i="1"/>
  <c r="AZ247" i="1"/>
  <c r="AY247" i="1"/>
  <c r="AX247" i="1"/>
  <c r="AW247" i="1"/>
  <c r="A247" i="1"/>
  <c r="AZ246" i="1"/>
  <c r="AY246" i="1"/>
  <c r="AX246" i="1"/>
  <c r="AW246" i="1"/>
  <c r="A246" i="1"/>
  <c r="AZ245" i="1"/>
  <c r="AY245" i="1"/>
  <c r="AX245" i="1"/>
  <c r="AW245" i="1"/>
  <c r="A245" i="1"/>
  <c r="AZ244" i="1"/>
  <c r="AY244" i="1"/>
  <c r="AX244" i="1"/>
  <c r="AW244" i="1"/>
  <c r="A244" i="1"/>
  <c r="AZ243" i="1"/>
  <c r="AY243" i="1"/>
  <c r="AX243" i="1"/>
  <c r="AW243" i="1"/>
  <c r="A243" i="1"/>
  <c r="AZ242" i="1"/>
  <c r="AY242" i="1"/>
  <c r="AX242" i="1"/>
  <c r="AW242" i="1"/>
  <c r="A242" i="1"/>
  <c r="AZ241" i="1"/>
  <c r="AY241" i="1"/>
  <c r="AX241" i="1"/>
  <c r="AW241" i="1"/>
  <c r="A241" i="1"/>
  <c r="AZ240" i="1"/>
  <c r="AY240" i="1"/>
  <c r="AX240" i="1"/>
  <c r="AW240" i="1"/>
  <c r="A240" i="1"/>
  <c r="AZ239" i="1"/>
  <c r="AY239" i="1"/>
  <c r="AX239" i="1"/>
  <c r="AW239" i="1"/>
  <c r="A239" i="1"/>
  <c r="AZ238" i="1"/>
  <c r="AY238" i="1"/>
  <c r="AX238" i="1"/>
  <c r="AW238" i="1"/>
  <c r="A238" i="1"/>
  <c r="AZ237" i="1"/>
  <c r="AY237" i="1"/>
  <c r="AX237" i="1"/>
  <c r="AW237" i="1"/>
  <c r="A237" i="1"/>
  <c r="AZ236" i="1"/>
  <c r="AY236" i="1"/>
  <c r="AX236" i="1"/>
  <c r="AW236" i="1"/>
  <c r="A236" i="1"/>
  <c r="AZ235" i="1"/>
  <c r="AY235" i="1"/>
  <c r="AX235" i="1"/>
  <c r="AW235" i="1"/>
  <c r="A235" i="1"/>
  <c r="AZ234" i="1"/>
  <c r="AY234" i="1"/>
  <c r="AX234" i="1"/>
  <c r="AW234" i="1"/>
  <c r="A234" i="1"/>
  <c r="AZ233" i="1"/>
  <c r="AY233" i="1"/>
  <c r="AX233" i="1"/>
  <c r="AW233" i="1"/>
  <c r="A233" i="1"/>
  <c r="AZ232" i="1"/>
  <c r="AY232" i="1"/>
  <c r="AX232" i="1"/>
  <c r="AW232" i="1"/>
  <c r="A232" i="1"/>
  <c r="AZ231" i="1"/>
  <c r="AY231" i="1"/>
  <c r="AX231" i="1"/>
  <c r="AW231" i="1"/>
  <c r="A231" i="1"/>
  <c r="AZ230" i="1"/>
  <c r="AY230" i="1"/>
  <c r="AX230" i="1"/>
  <c r="AW230" i="1"/>
  <c r="A230" i="1"/>
  <c r="AZ229" i="1"/>
  <c r="AY229" i="1"/>
  <c r="AX229" i="1"/>
  <c r="AW229" i="1"/>
  <c r="A229" i="1"/>
  <c r="AZ228" i="1"/>
  <c r="AY228" i="1"/>
  <c r="AX228" i="1"/>
  <c r="AW228" i="1"/>
  <c r="A228" i="1"/>
  <c r="AZ227" i="1"/>
  <c r="AY227" i="1"/>
  <c r="AX227" i="1"/>
  <c r="AW227" i="1"/>
  <c r="A227" i="1"/>
  <c r="AZ226" i="1"/>
  <c r="AY226" i="1"/>
  <c r="AX226" i="1"/>
  <c r="AW226" i="1"/>
  <c r="A226" i="1"/>
  <c r="AZ225" i="1"/>
  <c r="AY225" i="1"/>
  <c r="AX225" i="1"/>
  <c r="AW225" i="1"/>
  <c r="A225" i="1"/>
  <c r="AZ224" i="1"/>
  <c r="AY224" i="1"/>
  <c r="AX224" i="1"/>
  <c r="AW224" i="1"/>
  <c r="A224" i="1"/>
  <c r="AZ223" i="1"/>
  <c r="AY223" i="1"/>
  <c r="AX223" i="1"/>
  <c r="AW223" i="1"/>
  <c r="A223" i="1"/>
  <c r="AZ222" i="1"/>
  <c r="AY222" i="1"/>
  <c r="AX222" i="1"/>
  <c r="AW222" i="1"/>
  <c r="A222" i="1"/>
  <c r="AZ221" i="1"/>
  <c r="AY221" i="1"/>
  <c r="AX221" i="1"/>
  <c r="AW221" i="1"/>
  <c r="A221" i="1"/>
  <c r="AZ220" i="1"/>
  <c r="AY220" i="1"/>
  <c r="AX220" i="1"/>
  <c r="AW220" i="1"/>
  <c r="A220" i="1"/>
  <c r="AZ219" i="1"/>
  <c r="AY219" i="1"/>
  <c r="AX219" i="1"/>
  <c r="AW219" i="1"/>
  <c r="A219" i="1"/>
  <c r="AZ218" i="1"/>
  <c r="AY218" i="1"/>
  <c r="AX218" i="1"/>
  <c r="AW218" i="1"/>
  <c r="A218" i="1"/>
  <c r="AZ217" i="1"/>
  <c r="AY217" i="1"/>
  <c r="AX217" i="1"/>
  <c r="AW217" i="1"/>
  <c r="A217" i="1"/>
  <c r="AZ216" i="1"/>
  <c r="AY216" i="1"/>
  <c r="AX216" i="1"/>
  <c r="AW216" i="1"/>
  <c r="A216" i="1"/>
  <c r="AZ215" i="1"/>
  <c r="AY215" i="1"/>
  <c r="AX215" i="1"/>
  <c r="AW215" i="1"/>
  <c r="A215" i="1"/>
  <c r="AZ214" i="1"/>
  <c r="AY214" i="1"/>
  <c r="AX214" i="1"/>
  <c r="AW214" i="1"/>
  <c r="A214" i="1"/>
  <c r="AZ213" i="1"/>
  <c r="AY213" i="1"/>
  <c r="AX213" i="1"/>
  <c r="AW213" i="1"/>
  <c r="A213" i="1"/>
  <c r="AZ212" i="1"/>
  <c r="AY212" i="1"/>
  <c r="AX212" i="1"/>
  <c r="AW212" i="1"/>
  <c r="A212" i="1"/>
  <c r="AZ211" i="1"/>
  <c r="AY211" i="1"/>
  <c r="AX211" i="1"/>
  <c r="AW211" i="1"/>
  <c r="A211" i="1"/>
  <c r="AZ210" i="1"/>
  <c r="AY210" i="1"/>
  <c r="AX210" i="1"/>
  <c r="AW210" i="1"/>
  <c r="A210" i="1"/>
  <c r="AZ209" i="1"/>
  <c r="AY209" i="1"/>
  <c r="AX209" i="1"/>
  <c r="AW209" i="1"/>
  <c r="A209" i="1"/>
  <c r="AZ208" i="1"/>
  <c r="AY208" i="1"/>
  <c r="AX208" i="1"/>
  <c r="AW208" i="1"/>
  <c r="A208" i="1"/>
  <c r="AZ207" i="1"/>
  <c r="AY207" i="1"/>
  <c r="AX207" i="1"/>
  <c r="AW207" i="1"/>
  <c r="A207" i="1"/>
  <c r="AZ206" i="1"/>
  <c r="AY206" i="1"/>
  <c r="AX206" i="1"/>
  <c r="AW206" i="1"/>
  <c r="A206" i="1"/>
  <c r="AZ205" i="1"/>
  <c r="AY205" i="1"/>
  <c r="AX205" i="1"/>
  <c r="AW205" i="1"/>
  <c r="A205" i="1"/>
  <c r="AZ204" i="1"/>
  <c r="AY204" i="1"/>
  <c r="AX204" i="1"/>
  <c r="AW204" i="1"/>
  <c r="A204" i="1"/>
  <c r="AZ203" i="1"/>
  <c r="AY203" i="1"/>
  <c r="AX203" i="1"/>
  <c r="AW203" i="1"/>
  <c r="A203" i="1"/>
  <c r="AZ202" i="1"/>
  <c r="AY202" i="1"/>
  <c r="AX202" i="1"/>
  <c r="AW202" i="1"/>
  <c r="A202" i="1"/>
  <c r="AZ201" i="1"/>
  <c r="AY201" i="1"/>
  <c r="AX201" i="1"/>
  <c r="AW201" i="1"/>
  <c r="A201" i="1"/>
  <c r="AZ200" i="1"/>
  <c r="AY200" i="1"/>
  <c r="AX200" i="1"/>
  <c r="AW200" i="1"/>
  <c r="A200" i="1"/>
  <c r="AZ199" i="1"/>
  <c r="AY199" i="1"/>
  <c r="AX199" i="1"/>
  <c r="AW199" i="1"/>
  <c r="C199" i="1" s="1"/>
  <c r="B199" i="1" s="1"/>
  <c r="A199" i="1"/>
  <c r="AZ198" i="1"/>
  <c r="AY198" i="1"/>
  <c r="AX198" i="1"/>
  <c r="AW198" i="1"/>
  <c r="A198" i="1"/>
  <c r="AZ197" i="1"/>
  <c r="AY197" i="1"/>
  <c r="AX197" i="1"/>
  <c r="AW197" i="1"/>
  <c r="A197" i="1"/>
  <c r="AZ196" i="1"/>
  <c r="AY196" i="1"/>
  <c r="AX196" i="1"/>
  <c r="AW196" i="1"/>
  <c r="A196" i="1"/>
  <c r="AZ195" i="1"/>
  <c r="AY195" i="1"/>
  <c r="AX195" i="1"/>
  <c r="AW195" i="1"/>
  <c r="A195" i="1"/>
  <c r="AZ194" i="1"/>
  <c r="AY194" i="1"/>
  <c r="AX194" i="1"/>
  <c r="AW194" i="1"/>
  <c r="A194" i="1"/>
  <c r="AZ193" i="1"/>
  <c r="I193" i="1" s="1"/>
  <c r="H193" i="1" s="1"/>
  <c r="AY193" i="1"/>
  <c r="AX193" i="1"/>
  <c r="AW193" i="1"/>
  <c r="C193" i="1" s="1"/>
  <c r="B193" i="1" s="1"/>
  <c r="A193" i="1"/>
  <c r="AZ192" i="1"/>
  <c r="AY192" i="1"/>
  <c r="AX192" i="1"/>
  <c r="AW192" i="1"/>
  <c r="A192" i="1"/>
  <c r="AZ191" i="1"/>
  <c r="AY191" i="1"/>
  <c r="AX191" i="1"/>
  <c r="AW191" i="1"/>
  <c r="A191" i="1"/>
  <c r="AZ190" i="1"/>
  <c r="AY190" i="1"/>
  <c r="AX190" i="1"/>
  <c r="AW190" i="1"/>
  <c r="A190" i="1"/>
  <c r="AZ189" i="1"/>
  <c r="I189" i="1" s="1"/>
  <c r="H189" i="1" s="1"/>
  <c r="AY189" i="1"/>
  <c r="AX189" i="1"/>
  <c r="AW189" i="1"/>
  <c r="C189" i="1" s="1"/>
  <c r="B189" i="1" s="1"/>
  <c r="A189" i="1"/>
  <c r="AZ188" i="1"/>
  <c r="AY188" i="1"/>
  <c r="AX188" i="1"/>
  <c r="AW188" i="1"/>
  <c r="A188" i="1"/>
  <c r="AZ187" i="1"/>
  <c r="I187" i="1" s="1"/>
  <c r="H187" i="1" s="1"/>
  <c r="AY187" i="1"/>
  <c r="AX187" i="1"/>
  <c r="AW187" i="1"/>
  <c r="A187" i="1"/>
  <c r="AZ186" i="1"/>
  <c r="AY186" i="1"/>
  <c r="AX186" i="1"/>
  <c r="AW186" i="1"/>
  <c r="A186" i="1"/>
  <c r="AZ185" i="1"/>
  <c r="AY185" i="1"/>
  <c r="AX185" i="1"/>
  <c r="AW185" i="1"/>
  <c r="A185" i="1"/>
  <c r="AZ184" i="1"/>
  <c r="AY184" i="1"/>
  <c r="G184" i="1" s="1"/>
  <c r="F184" i="1" s="1"/>
  <c r="AX184" i="1"/>
  <c r="AW184" i="1"/>
  <c r="A184" i="1"/>
  <c r="AZ183" i="1"/>
  <c r="AY183" i="1"/>
  <c r="AX183" i="1"/>
  <c r="AW183" i="1"/>
  <c r="A183" i="1"/>
  <c r="AZ182" i="1"/>
  <c r="I182" i="1" s="1"/>
  <c r="H182" i="1" s="1"/>
  <c r="AY182" i="1"/>
  <c r="AX182" i="1"/>
  <c r="AW182" i="1"/>
  <c r="A182" i="1"/>
  <c r="AZ181" i="1"/>
  <c r="AY181" i="1"/>
  <c r="G181" i="1" s="1"/>
  <c r="F181" i="1" s="1"/>
  <c r="AX181" i="1"/>
  <c r="AW181" i="1"/>
  <c r="A181" i="1"/>
  <c r="AZ180" i="1"/>
  <c r="AY180" i="1"/>
  <c r="AX180" i="1"/>
  <c r="AW180" i="1"/>
  <c r="A180" i="1"/>
  <c r="AZ179" i="1"/>
  <c r="AY179" i="1"/>
  <c r="AX179" i="1"/>
  <c r="AW179" i="1"/>
  <c r="A179" i="1"/>
  <c r="AZ178" i="1"/>
  <c r="I178" i="1" s="1"/>
  <c r="H178" i="1" s="1"/>
  <c r="AY178" i="1"/>
  <c r="AX178" i="1"/>
  <c r="AW178" i="1"/>
  <c r="A178" i="1"/>
  <c r="AZ177" i="1"/>
  <c r="I177" i="1" s="1"/>
  <c r="H177" i="1" s="1"/>
  <c r="AY177" i="1"/>
  <c r="AX177" i="1"/>
  <c r="AW177" i="1"/>
  <c r="C177" i="1" s="1"/>
  <c r="B177" i="1" s="1"/>
  <c r="A177" i="1"/>
  <c r="AZ176" i="1"/>
  <c r="AY176" i="1"/>
  <c r="AX176" i="1"/>
  <c r="AW176" i="1"/>
  <c r="A176" i="1"/>
  <c r="AZ175" i="1"/>
  <c r="I175" i="1" s="1"/>
  <c r="H175" i="1" s="1"/>
  <c r="AY175" i="1"/>
  <c r="AX175" i="1"/>
  <c r="AW175" i="1"/>
  <c r="C175" i="1" s="1"/>
  <c r="B175" i="1" s="1"/>
  <c r="A175" i="1"/>
  <c r="AZ174" i="1"/>
  <c r="AY174" i="1"/>
  <c r="AX174" i="1"/>
  <c r="AW174" i="1"/>
  <c r="A174" i="1"/>
  <c r="AZ173" i="1"/>
  <c r="I173" i="1" s="1"/>
  <c r="H173" i="1" s="1"/>
  <c r="AY173" i="1"/>
  <c r="AX173" i="1"/>
  <c r="AW173" i="1"/>
  <c r="C173" i="1" s="1"/>
  <c r="B173" i="1" s="1"/>
  <c r="A173" i="1"/>
  <c r="AZ172" i="1"/>
  <c r="AY172" i="1"/>
  <c r="AX172" i="1"/>
  <c r="AW172" i="1"/>
  <c r="A172" i="1"/>
  <c r="AZ171" i="1"/>
  <c r="I171" i="1" s="1"/>
  <c r="H171" i="1" s="1"/>
  <c r="AY171" i="1"/>
  <c r="AX171" i="1"/>
  <c r="AW171" i="1"/>
  <c r="A171" i="1"/>
  <c r="AZ170" i="1"/>
  <c r="AY170" i="1"/>
  <c r="AX170" i="1"/>
  <c r="AW170" i="1"/>
  <c r="A170" i="1"/>
  <c r="AZ169" i="1"/>
  <c r="AY169" i="1"/>
  <c r="AX169" i="1"/>
  <c r="AW169" i="1"/>
  <c r="A169" i="1"/>
  <c r="AZ168" i="1"/>
  <c r="AY168" i="1"/>
  <c r="G168" i="1" s="1"/>
  <c r="F168" i="1" s="1"/>
  <c r="AX168" i="1"/>
  <c r="AW168" i="1"/>
  <c r="A168" i="1"/>
  <c r="AZ167" i="1"/>
  <c r="AY167" i="1"/>
  <c r="AX167" i="1"/>
  <c r="AW167" i="1"/>
  <c r="A167" i="1"/>
  <c r="AZ166" i="1"/>
  <c r="I166" i="1" s="1"/>
  <c r="H166" i="1" s="1"/>
  <c r="AY166" i="1"/>
  <c r="AX166" i="1"/>
  <c r="AW166" i="1"/>
  <c r="A166" i="1"/>
  <c r="AZ165" i="1"/>
  <c r="AY165" i="1"/>
  <c r="G165" i="1" s="1"/>
  <c r="F165" i="1" s="1"/>
  <c r="AX165" i="1"/>
  <c r="AW165" i="1"/>
  <c r="A165" i="1"/>
  <c r="AZ164" i="1"/>
  <c r="AY164" i="1"/>
  <c r="AX164" i="1"/>
  <c r="AW164" i="1"/>
  <c r="A164" i="1"/>
  <c r="AZ163" i="1"/>
  <c r="AY163" i="1"/>
  <c r="AX163" i="1"/>
  <c r="AW163" i="1"/>
  <c r="A163" i="1"/>
  <c r="AZ162" i="1"/>
  <c r="I162" i="1" s="1"/>
  <c r="H162" i="1" s="1"/>
  <c r="AY162" i="1"/>
  <c r="AX162" i="1"/>
  <c r="AW162" i="1"/>
  <c r="A162" i="1"/>
  <c r="AZ161" i="1"/>
  <c r="I161" i="1" s="1"/>
  <c r="H161" i="1" s="1"/>
  <c r="AY161" i="1"/>
  <c r="AX161" i="1"/>
  <c r="AW161" i="1"/>
  <c r="C161" i="1" s="1"/>
  <c r="B161" i="1" s="1"/>
  <c r="A161" i="1"/>
  <c r="AZ160" i="1"/>
  <c r="AY160" i="1"/>
  <c r="AX160" i="1"/>
  <c r="AW160" i="1"/>
  <c r="A160" i="1"/>
  <c r="AZ159" i="1"/>
  <c r="I159" i="1" s="1"/>
  <c r="H159" i="1" s="1"/>
  <c r="AY159" i="1"/>
  <c r="AX159" i="1"/>
  <c r="AW159" i="1"/>
  <c r="C159" i="1" s="1"/>
  <c r="B159" i="1" s="1"/>
  <c r="A159" i="1"/>
  <c r="AZ158" i="1"/>
  <c r="AY158" i="1"/>
  <c r="AX158" i="1"/>
  <c r="AW158" i="1"/>
  <c r="A158" i="1"/>
  <c r="AZ157" i="1"/>
  <c r="I157" i="1" s="1"/>
  <c r="H157" i="1" s="1"/>
  <c r="AY157" i="1"/>
  <c r="AX157" i="1"/>
  <c r="AW157" i="1"/>
  <c r="C157" i="1" s="1"/>
  <c r="B157" i="1" s="1"/>
  <c r="A157" i="1"/>
  <c r="AZ156" i="1"/>
  <c r="AY156" i="1"/>
  <c r="AX156" i="1"/>
  <c r="AW156" i="1"/>
  <c r="A156" i="1"/>
  <c r="AZ155" i="1"/>
  <c r="I155" i="1" s="1"/>
  <c r="H155" i="1" s="1"/>
  <c r="AY155" i="1"/>
  <c r="AX155" i="1"/>
  <c r="AW155" i="1"/>
  <c r="A155" i="1"/>
  <c r="AZ154" i="1"/>
  <c r="AY154" i="1"/>
  <c r="AX154" i="1"/>
  <c r="AW154" i="1"/>
  <c r="A154" i="1"/>
  <c r="AZ153" i="1"/>
  <c r="AY153" i="1"/>
  <c r="AX153" i="1"/>
  <c r="AW153" i="1"/>
  <c r="A153" i="1"/>
  <c r="AZ152" i="1"/>
  <c r="AY152" i="1"/>
  <c r="G152" i="1" s="1"/>
  <c r="F152" i="1" s="1"/>
  <c r="AX152" i="1"/>
  <c r="AW152" i="1"/>
  <c r="A152" i="1"/>
  <c r="AZ151" i="1"/>
  <c r="AY151" i="1"/>
  <c r="AX151" i="1"/>
  <c r="AW151" i="1"/>
  <c r="A151" i="1"/>
  <c r="AZ150" i="1"/>
  <c r="I150" i="1" s="1"/>
  <c r="H150" i="1" s="1"/>
  <c r="AY150" i="1"/>
  <c r="AX150" i="1"/>
  <c r="AW150" i="1"/>
  <c r="A150" i="1"/>
  <c r="AZ149" i="1"/>
  <c r="AY149" i="1"/>
  <c r="G149" i="1" s="1"/>
  <c r="F149" i="1" s="1"/>
  <c r="AX149" i="1"/>
  <c r="AW149" i="1"/>
  <c r="A149" i="1"/>
  <c r="AZ148" i="1"/>
  <c r="AY148" i="1"/>
  <c r="AX148" i="1"/>
  <c r="AW148" i="1"/>
  <c r="A148" i="1"/>
  <c r="AZ147" i="1"/>
  <c r="AY147" i="1"/>
  <c r="AX147" i="1"/>
  <c r="AW147" i="1"/>
  <c r="A147" i="1"/>
  <c r="AZ146" i="1"/>
  <c r="I146" i="1" s="1"/>
  <c r="H146" i="1" s="1"/>
  <c r="AY146" i="1"/>
  <c r="AX146" i="1"/>
  <c r="AW146" i="1"/>
  <c r="A146" i="1"/>
  <c r="AZ145" i="1"/>
  <c r="I145" i="1" s="1"/>
  <c r="H145" i="1" s="1"/>
  <c r="AY145" i="1"/>
  <c r="AX145" i="1"/>
  <c r="AW145" i="1"/>
  <c r="C145" i="1" s="1"/>
  <c r="B145" i="1" s="1"/>
  <c r="A145" i="1"/>
  <c r="AZ144" i="1"/>
  <c r="AY144" i="1"/>
  <c r="AX144" i="1"/>
  <c r="AW144" i="1"/>
  <c r="A144" i="1"/>
  <c r="AZ143" i="1"/>
  <c r="I143" i="1" s="1"/>
  <c r="H143" i="1" s="1"/>
  <c r="AY143" i="1"/>
  <c r="AX143" i="1"/>
  <c r="AW143" i="1"/>
  <c r="C143" i="1" s="1"/>
  <c r="B143" i="1" s="1"/>
  <c r="A143" i="1"/>
  <c r="AZ142" i="1"/>
  <c r="AY142" i="1"/>
  <c r="AX142" i="1"/>
  <c r="AW142" i="1"/>
  <c r="A142" i="1"/>
  <c r="AZ141" i="1"/>
  <c r="I141" i="1" s="1"/>
  <c r="H141" i="1" s="1"/>
  <c r="AY141" i="1"/>
  <c r="AX141" i="1"/>
  <c r="AW141" i="1"/>
  <c r="C141" i="1" s="1"/>
  <c r="B141" i="1" s="1"/>
  <c r="A141" i="1"/>
  <c r="AZ140" i="1"/>
  <c r="AY140" i="1"/>
  <c r="AX140" i="1"/>
  <c r="AW140" i="1"/>
  <c r="A140" i="1"/>
  <c r="AZ139" i="1"/>
  <c r="I139" i="1" s="1"/>
  <c r="H139" i="1" s="1"/>
  <c r="AY139" i="1"/>
  <c r="AX139" i="1"/>
  <c r="AW139" i="1"/>
  <c r="A139" i="1"/>
  <c r="AZ138" i="1"/>
  <c r="AY138" i="1"/>
  <c r="AX138" i="1"/>
  <c r="AW138" i="1"/>
  <c r="A138" i="1"/>
  <c r="AZ137" i="1"/>
  <c r="AY137" i="1"/>
  <c r="AX137" i="1"/>
  <c r="AW137" i="1"/>
  <c r="A137" i="1"/>
  <c r="AZ136" i="1"/>
  <c r="AY136" i="1"/>
  <c r="G136" i="1" s="1"/>
  <c r="F136" i="1" s="1"/>
  <c r="AX136" i="1"/>
  <c r="AW136" i="1"/>
  <c r="A136" i="1"/>
  <c r="AZ135" i="1"/>
  <c r="AY135" i="1"/>
  <c r="AX135" i="1"/>
  <c r="AW135" i="1"/>
  <c r="A135" i="1"/>
  <c r="AZ134" i="1"/>
  <c r="I134" i="1" s="1"/>
  <c r="H134" i="1" s="1"/>
  <c r="AY134" i="1"/>
  <c r="AX134" i="1"/>
  <c r="AW134" i="1"/>
  <c r="A134" i="1"/>
  <c r="AZ133" i="1"/>
  <c r="AY133" i="1"/>
  <c r="G133" i="1" s="1"/>
  <c r="F133" i="1" s="1"/>
  <c r="AX133" i="1"/>
  <c r="AW133" i="1"/>
  <c r="A133" i="1"/>
  <c r="AZ132" i="1"/>
  <c r="AY132" i="1"/>
  <c r="AX132" i="1"/>
  <c r="AW132" i="1"/>
  <c r="A132" i="1"/>
  <c r="AZ131" i="1"/>
  <c r="I131" i="1" s="1"/>
  <c r="H131" i="1" s="1"/>
  <c r="AY131" i="1"/>
  <c r="G131" i="1" s="1"/>
  <c r="F131" i="1" s="1"/>
  <c r="AX131" i="1"/>
  <c r="AW131" i="1"/>
  <c r="A131" i="1"/>
  <c r="AZ130" i="1"/>
  <c r="I130" i="1" s="1"/>
  <c r="H130" i="1" s="1"/>
  <c r="AY130" i="1"/>
  <c r="AX130" i="1"/>
  <c r="AW130" i="1"/>
  <c r="A130" i="1"/>
  <c r="AZ129" i="1"/>
  <c r="I129" i="1" s="1"/>
  <c r="H129" i="1" s="1"/>
  <c r="AY129" i="1"/>
  <c r="AX129" i="1"/>
  <c r="AW129" i="1"/>
  <c r="A129" i="1"/>
  <c r="AZ128" i="1"/>
  <c r="AY128" i="1"/>
  <c r="G128" i="1" s="1"/>
  <c r="F128" i="1" s="1"/>
  <c r="AX128" i="1"/>
  <c r="AW128" i="1"/>
  <c r="A128" i="1"/>
  <c r="AZ127" i="1"/>
  <c r="I127" i="1" s="1"/>
  <c r="H127" i="1" s="1"/>
  <c r="AY127" i="1"/>
  <c r="G127" i="1" s="1"/>
  <c r="F127" i="1" s="1"/>
  <c r="AX127" i="1"/>
  <c r="AW127" i="1"/>
  <c r="C127" i="1" s="1"/>
  <c r="B127" i="1" s="1"/>
  <c r="A127" i="1"/>
  <c r="AZ126" i="1"/>
  <c r="AY126" i="1"/>
  <c r="AX126" i="1"/>
  <c r="AW126" i="1"/>
  <c r="A126" i="1"/>
  <c r="AZ125" i="1"/>
  <c r="AY125" i="1"/>
  <c r="G125" i="1" s="1"/>
  <c r="F125" i="1" s="1"/>
  <c r="AX125" i="1"/>
  <c r="AW125" i="1"/>
  <c r="C125" i="1" s="1"/>
  <c r="B125" i="1" s="1"/>
  <c r="A125" i="1"/>
  <c r="AZ124" i="1"/>
  <c r="AY124" i="1"/>
  <c r="AX124" i="1"/>
  <c r="AW124" i="1"/>
  <c r="A124" i="1"/>
  <c r="AZ123" i="1"/>
  <c r="AY123" i="1"/>
  <c r="G123" i="1" s="1"/>
  <c r="F123" i="1" s="1"/>
  <c r="AX123" i="1"/>
  <c r="AW123" i="1"/>
  <c r="A123" i="1"/>
  <c r="AZ122" i="1"/>
  <c r="AY122" i="1"/>
  <c r="AX122" i="1"/>
  <c r="E122" i="1" s="1"/>
  <c r="D122" i="1" s="1"/>
  <c r="AW122" i="1"/>
  <c r="A122" i="1"/>
  <c r="AZ121" i="1"/>
  <c r="AY121" i="1"/>
  <c r="AX121" i="1"/>
  <c r="AW121" i="1"/>
  <c r="A121" i="1"/>
  <c r="AZ120" i="1"/>
  <c r="AY120" i="1"/>
  <c r="AX120" i="1"/>
  <c r="E120" i="1" s="1"/>
  <c r="D120" i="1" s="1"/>
  <c r="AW120" i="1"/>
  <c r="A120" i="1"/>
  <c r="AZ119" i="1"/>
  <c r="AY119" i="1"/>
  <c r="G119" i="1" s="1"/>
  <c r="F119" i="1" s="1"/>
  <c r="AX119" i="1"/>
  <c r="AW119" i="1"/>
  <c r="C119" i="1" s="1"/>
  <c r="B119" i="1" s="1"/>
  <c r="A119" i="1"/>
  <c r="AZ118" i="1"/>
  <c r="AY118" i="1"/>
  <c r="G118" i="1" s="1"/>
  <c r="F118" i="1" s="1"/>
  <c r="AX118" i="1"/>
  <c r="AW118" i="1"/>
  <c r="A118" i="1"/>
  <c r="AZ117" i="1"/>
  <c r="I117" i="1" s="1"/>
  <c r="H117" i="1" s="1"/>
  <c r="AY117" i="1"/>
  <c r="AX117" i="1"/>
  <c r="AW117" i="1"/>
  <c r="A117" i="1"/>
  <c r="AZ116" i="1"/>
  <c r="AY116" i="1"/>
  <c r="G116" i="1" s="1"/>
  <c r="F116" i="1" s="1"/>
  <c r="AX116" i="1"/>
  <c r="AW116" i="1"/>
  <c r="A116" i="1"/>
  <c r="AZ115" i="1"/>
  <c r="AY115" i="1"/>
  <c r="G115" i="1" s="1"/>
  <c r="F115" i="1" s="1"/>
  <c r="AX115" i="1"/>
  <c r="AW115" i="1"/>
  <c r="A115" i="1"/>
  <c r="AZ114" i="1"/>
  <c r="AY114" i="1"/>
  <c r="AX114" i="1"/>
  <c r="E114" i="1" s="1"/>
  <c r="D114" i="1" s="1"/>
  <c r="AW114" i="1"/>
  <c r="A114" i="1"/>
  <c r="AZ113" i="1"/>
  <c r="I113" i="1" s="1"/>
  <c r="H113" i="1" s="1"/>
  <c r="AY113" i="1"/>
  <c r="AX113" i="1"/>
  <c r="E113" i="1" s="1"/>
  <c r="D113" i="1" s="1"/>
  <c r="AW113" i="1"/>
  <c r="A113" i="1"/>
  <c r="AZ112" i="1"/>
  <c r="AY112" i="1"/>
  <c r="AX112" i="1"/>
  <c r="AW112" i="1"/>
  <c r="A112" i="1"/>
  <c r="AZ111" i="1"/>
  <c r="I111" i="1" s="1"/>
  <c r="H111" i="1" s="1"/>
  <c r="AY111" i="1"/>
  <c r="G111" i="1" s="1"/>
  <c r="F111" i="1" s="1"/>
  <c r="AX111" i="1"/>
  <c r="AW111" i="1"/>
  <c r="C111" i="1" s="1"/>
  <c r="B111" i="1" s="1"/>
  <c r="A111" i="1"/>
  <c r="AZ110" i="1"/>
  <c r="I110" i="1" s="1"/>
  <c r="H110" i="1" s="1"/>
  <c r="AY110" i="1"/>
  <c r="AX110" i="1"/>
  <c r="AW110" i="1"/>
  <c r="A110" i="1"/>
  <c r="AZ109" i="1"/>
  <c r="AY109" i="1"/>
  <c r="G109" i="1" s="1"/>
  <c r="F109" i="1" s="1"/>
  <c r="AX109" i="1"/>
  <c r="AW109" i="1"/>
  <c r="A109" i="1"/>
  <c r="AZ108" i="1"/>
  <c r="AY108" i="1"/>
  <c r="G108" i="1" s="1"/>
  <c r="F108" i="1" s="1"/>
  <c r="AX108" i="1"/>
  <c r="AW108" i="1"/>
  <c r="A108" i="1"/>
  <c r="AZ107" i="1"/>
  <c r="I107" i="1" s="1"/>
  <c r="H107" i="1" s="1"/>
  <c r="AY107" i="1"/>
  <c r="G107" i="1" s="1"/>
  <c r="F107" i="1" s="1"/>
  <c r="AX107" i="1"/>
  <c r="E107" i="1" s="1"/>
  <c r="D107" i="1" s="1"/>
  <c r="AW107" i="1"/>
  <c r="A107" i="1"/>
  <c r="AZ106" i="1"/>
  <c r="I106" i="1" s="1"/>
  <c r="H106" i="1" s="1"/>
  <c r="AY106" i="1"/>
  <c r="AX106" i="1"/>
  <c r="E106" i="1" s="1"/>
  <c r="D106" i="1" s="1"/>
  <c r="AW106" i="1"/>
  <c r="A106" i="1"/>
  <c r="AZ105" i="1"/>
  <c r="AY105" i="1"/>
  <c r="AX105" i="1"/>
  <c r="E105" i="1" s="1"/>
  <c r="D105" i="1" s="1"/>
  <c r="AW105" i="1"/>
  <c r="C105" i="1" s="1"/>
  <c r="B105" i="1" s="1"/>
  <c r="A105" i="1"/>
  <c r="AZ104" i="1"/>
  <c r="AY104" i="1"/>
  <c r="G104" i="1" s="1"/>
  <c r="F104" i="1" s="1"/>
  <c r="AX104" i="1"/>
  <c r="AW104" i="1"/>
  <c r="A104" i="1"/>
  <c r="AZ103" i="1"/>
  <c r="AY103" i="1"/>
  <c r="G103" i="1" s="1"/>
  <c r="F103" i="1" s="1"/>
  <c r="AX103" i="1"/>
  <c r="AW103" i="1"/>
  <c r="C103" i="1" s="1"/>
  <c r="B103" i="1" s="1"/>
  <c r="A103" i="1"/>
  <c r="AZ102" i="1"/>
  <c r="AY102" i="1"/>
  <c r="G102" i="1" s="1"/>
  <c r="F102" i="1" s="1"/>
  <c r="AX102" i="1"/>
  <c r="AW102" i="1"/>
  <c r="A102" i="1"/>
  <c r="AZ101" i="1"/>
  <c r="I101" i="1" s="1"/>
  <c r="H101" i="1" s="1"/>
  <c r="AY101" i="1"/>
  <c r="AX101" i="1"/>
  <c r="AW101" i="1"/>
  <c r="A101" i="1"/>
  <c r="AZ100" i="1"/>
  <c r="AY100" i="1"/>
  <c r="G100" i="1" s="1"/>
  <c r="F100" i="1" s="1"/>
  <c r="AX100" i="1"/>
  <c r="AW100" i="1"/>
  <c r="A100" i="1"/>
  <c r="AZ99" i="1"/>
  <c r="AY99" i="1"/>
  <c r="G99" i="1" s="1"/>
  <c r="F99" i="1" s="1"/>
  <c r="AX99" i="1"/>
  <c r="AW99" i="1"/>
  <c r="A99" i="1"/>
  <c r="AZ98" i="1"/>
  <c r="AY98" i="1"/>
  <c r="AX98" i="1"/>
  <c r="E98" i="1" s="1"/>
  <c r="D98" i="1" s="1"/>
  <c r="AW98" i="1"/>
  <c r="A98" i="1"/>
  <c r="AZ97" i="1"/>
  <c r="I97" i="1" s="1"/>
  <c r="H97" i="1" s="1"/>
  <c r="AY97" i="1"/>
  <c r="AX97" i="1"/>
  <c r="E97" i="1" s="1"/>
  <c r="D97" i="1" s="1"/>
  <c r="AW97" i="1"/>
  <c r="A97" i="1"/>
  <c r="AZ96" i="1"/>
  <c r="AY96" i="1"/>
  <c r="AX96" i="1"/>
  <c r="AW96" i="1"/>
  <c r="A96" i="1"/>
  <c r="AZ95" i="1"/>
  <c r="I95" i="1" s="1"/>
  <c r="H95" i="1" s="1"/>
  <c r="AY95" i="1"/>
  <c r="G95" i="1" s="1"/>
  <c r="F95" i="1" s="1"/>
  <c r="AX95" i="1"/>
  <c r="AW95" i="1"/>
  <c r="C95" i="1" s="1"/>
  <c r="B95" i="1" s="1"/>
  <c r="A95" i="1"/>
  <c r="AZ94" i="1"/>
  <c r="I94" i="1" s="1"/>
  <c r="H94" i="1" s="1"/>
  <c r="AY94" i="1"/>
  <c r="AX94" i="1"/>
  <c r="AW94" i="1"/>
  <c r="A94" i="1"/>
  <c r="AZ93" i="1"/>
  <c r="AY93" i="1"/>
  <c r="G93" i="1" s="1"/>
  <c r="F93" i="1" s="1"/>
  <c r="AX93" i="1"/>
  <c r="AW93" i="1"/>
  <c r="A93" i="1"/>
  <c r="AZ92" i="1"/>
  <c r="AY92" i="1"/>
  <c r="G92" i="1" s="1"/>
  <c r="F92" i="1" s="1"/>
  <c r="AX92" i="1"/>
  <c r="AW92" i="1"/>
  <c r="A92" i="1"/>
  <c r="AZ91" i="1"/>
  <c r="I91" i="1" s="1"/>
  <c r="H91" i="1" s="1"/>
  <c r="AY91" i="1"/>
  <c r="G91" i="1" s="1"/>
  <c r="F91" i="1" s="1"/>
  <c r="AX91" i="1"/>
  <c r="E91" i="1" s="1"/>
  <c r="D91" i="1" s="1"/>
  <c r="AW91" i="1"/>
  <c r="A91" i="1"/>
  <c r="AZ90" i="1"/>
  <c r="I90" i="1" s="1"/>
  <c r="H90" i="1" s="1"/>
  <c r="AY90" i="1"/>
  <c r="AX90" i="1"/>
  <c r="E90" i="1" s="1"/>
  <c r="D90" i="1" s="1"/>
  <c r="AW90" i="1"/>
  <c r="A90" i="1"/>
  <c r="AZ89" i="1"/>
  <c r="AY89" i="1"/>
  <c r="AX89" i="1"/>
  <c r="E89" i="1" s="1"/>
  <c r="D89" i="1" s="1"/>
  <c r="AW89" i="1"/>
  <c r="C89" i="1" s="1"/>
  <c r="B89" i="1" s="1"/>
  <c r="A89" i="1"/>
  <c r="AZ88" i="1"/>
  <c r="AY88" i="1"/>
  <c r="G88" i="1" s="1"/>
  <c r="F88" i="1" s="1"/>
  <c r="AX88" i="1"/>
  <c r="AW88" i="1"/>
  <c r="A88" i="1"/>
  <c r="AZ87" i="1"/>
  <c r="AY87" i="1"/>
  <c r="G87" i="1" s="1"/>
  <c r="F87" i="1" s="1"/>
  <c r="AX87" i="1"/>
  <c r="AW87" i="1"/>
  <c r="C87" i="1" s="1"/>
  <c r="B87" i="1" s="1"/>
  <c r="A87" i="1"/>
  <c r="AZ86" i="1"/>
  <c r="AY86" i="1"/>
  <c r="G86" i="1" s="1"/>
  <c r="F86" i="1" s="1"/>
  <c r="AX86" i="1"/>
  <c r="AW86" i="1"/>
  <c r="A86" i="1"/>
  <c r="AZ85" i="1"/>
  <c r="I85" i="1" s="1"/>
  <c r="H85" i="1" s="1"/>
  <c r="AY85" i="1"/>
  <c r="AX85" i="1"/>
  <c r="AW85" i="1"/>
  <c r="A85" i="1"/>
  <c r="AZ84" i="1"/>
  <c r="AY84" i="1"/>
  <c r="G84" i="1" s="1"/>
  <c r="F84" i="1" s="1"/>
  <c r="AX84" i="1"/>
  <c r="AW84" i="1"/>
  <c r="A84" i="1"/>
  <c r="AZ83" i="1"/>
  <c r="AY83" i="1"/>
  <c r="G83" i="1" s="1"/>
  <c r="F83" i="1" s="1"/>
  <c r="AX83" i="1"/>
  <c r="AW83" i="1"/>
  <c r="A83" i="1"/>
  <c r="AZ82" i="1"/>
  <c r="AY82" i="1"/>
  <c r="AX82" i="1"/>
  <c r="E82" i="1" s="1"/>
  <c r="D82" i="1" s="1"/>
  <c r="AW82" i="1"/>
  <c r="A82" i="1"/>
  <c r="AZ81" i="1"/>
  <c r="I81" i="1" s="1"/>
  <c r="H81" i="1" s="1"/>
  <c r="AY81" i="1"/>
  <c r="AX81" i="1"/>
  <c r="E81" i="1" s="1"/>
  <c r="D81" i="1" s="1"/>
  <c r="AW81" i="1"/>
  <c r="A81" i="1"/>
  <c r="AZ80" i="1"/>
  <c r="AY80" i="1"/>
  <c r="AX80" i="1"/>
  <c r="AW80" i="1"/>
  <c r="A80" i="1"/>
  <c r="AZ79" i="1"/>
  <c r="I79" i="1" s="1"/>
  <c r="H79" i="1" s="1"/>
  <c r="AY79" i="1"/>
  <c r="G79" i="1" s="1"/>
  <c r="F79" i="1" s="1"/>
  <c r="AX79" i="1"/>
  <c r="AW79" i="1"/>
  <c r="C79" i="1" s="1"/>
  <c r="B79" i="1" s="1"/>
  <c r="A79" i="1"/>
  <c r="AZ78" i="1"/>
  <c r="I78" i="1" s="1"/>
  <c r="H78" i="1" s="1"/>
  <c r="AY78" i="1"/>
  <c r="AX78" i="1"/>
  <c r="AW78" i="1"/>
  <c r="A78" i="1"/>
  <c r="AZ77" i="1"/>
  <c r="AY77" i="1"/>
  <c r="G77" i="1" s="1"/>
  <c r="F77" i="1" s="1"/>
  <c r="AX77" i="1"/>
  <c r="AW77" i="1"/>
  <c r="A77" i="1"/>
  <c r="AZ76" i="1"/>
  <c r="AY76" i="1"/>
  <c r="G76" i="1" s="1"/>
  <c r="F76" i="1" s="1"/>
  <c r="AX76" i="1"/>
  <c r="AW76" i="1"/>
  <c r="A76" i="1"/>
  <c r="AZ75" i="1"/>
  <c r="I75" i="1" s="1"/>
  <c r="H75" i="1" s="1"/>
  <c r="AY75" i="1"/>
  <c r="G75" i="1" s="1"/>
  <c r="F75" i="1" s="1"/>
  <c r="AX75" i="1"/>
  <c r="E75" i="1" s="1"/>
  <c r="D75" i="1" s="1"/>
  <c r="AW75" i="1"/>
  <c r="A75" i="1"/>
  <c r="AZ74" i="1"/>
  <c r="I74" i="1" s="1"/>
  <c r="H74" i="1" s="1"/>
  <c r="AY74" i="1"/>
  <c r="AX74" i="1"/>
  <c r="E74" i="1" s="1"/>
  <c r="D74" i="1" s="1"/>
  <c r="AW74" i="1"/>
  <c r="A74" i="1"/>
  <c r="AZ73" i="1"/>
  <c r="AY73" i="1"/>
  <c r="AX73" i="1"/>
  <c r="E73" i="1" s="1"/>
  <c r="D73" i="1" s="1"/>
  <c r="AW73" i="1"/>
  <c r="C73" i="1" s="1"/>
  <c r="B73" i="1" s="1"/>
  <c r="A73" i="1"/>
  <c r="AZ72" i="1"/>
  <c r="AY72" i="1"/>
  <c r="G72" i="1" s="1"/>
  <c r="F72" i="1" s="1"/>
  <c r="AX72" i="1"/>
  <c r="AW72" i="1"/>
  <c r="A72" i="1"/>
  <c r="AZ71" i="1"/>
  <c r="AY71" i="1"/>
  <c r="G71" i="1" s="1"/>
  <c r="F71" i="1" s="1"/>
  <c r="AX71" i="1"/>
  <c r="AW71" i="1"/>
  <c r="C71" i="1" s="1"/>
  <c r="B71" i="1" s="1"/>
  <c r="A71" i="1"/>
  <c r="AZ70" i="1"/>
  <c r="AY70" i="1"/>
  <c r="G70" i="1" s="1"/>
  <c r="F70" i="1" s="1"/>
  <c r="AX70" i="1"/>
  <c r="AW70" i="1"/>
  <c r="A70" i="1"/>
  <c r="AZ69" i="1"/>
  <c r="I69" i="1" s="1"/>
  <c r="H69" i="1" s="1"/>
  <c r="AY69" i="1"/>
  <c r="AX69" i="1"/>
  <c r="AW69" i="1"/>
  <c r="A69" i="1"/>
  <c r="AZ68" i="1"/>
  <c r="AY68" i="1"/>
  <c r="G68" i="1" s="1"/>
  <c r="F68" i="1" s="1"/>
  <c r="AX68" i="1"/>
  <c r="AW68" i="1"/>
  <c r="A68" i="1"/>
  <c r="AZ67" i="1"/>
  <c r="AY67" i="1"/>
  <c r="G67" i="1" s="1"/>
  <c r="F67" i="1" s="1"/>
  <c r="AX67" i="1"/>
  <c r="AW67" i="1"/>
  <c r="A67" i="1"/>
  <c r="AZ66" i="1"/>
  <c r="AY66" i="1"/>
  <c r="AX66" i="1"/>
  <c r="E66" i="1" s="1"/>
  <c r="D66" i="1" s="1"/>
  <c r="AW66" i="1"/>
  <c r="A66" i="1"/>
  <c r="AZ65" i="1"/>
  <c r="I65" i="1" s="1"/>
  <c r="H65" i="1" s="1"/>
  <c r="AY65" i="1"/>
  <c r="AX65" i="1"/>
  <c r="E65" i="1" s="1"/>
  <c r="D65" i="1" s="1"/>
  <c r="AW65" i="1"/>
  <c r="A65" i="1"/>
  <c r="AZ64" i="1"/>
  <c r="AY64" i="1"/>
  <c r="AX64" i="1"/>
  <c r="AW64" i="1"/>
  <c r="A64" i="1"/>
  <c r="AZ63" i="1"/>
  <c r="I63" i="1" s="1"/>
  <c r="H63" i="1" s="1"/>
  <c r="AY63" i="1"/>
  <c r="G63" i="1" s="1"/>
  <c r="F63" i="1" s="1"/>
  <c r="AX63" i="1"/>
  <c r="AW63" i="1"/>
  <c r="C63" i="1" s="1"/>
  <c r="B63" i="1" s="1"/>
  <c r="A63" i="1"/>
  <c r="AZ62" i="1"/>
  <c r="I62" i="1" s="1"/>
  <c r="H62" i="1" s="1"/>
  <c r="AY62" i="1"/>
  <c r="AX62" i="1"/>
  <c r="AW62" i="1"/>
  <c r="A62" i="1"/>
  <c r="AZ61" i="1"/>
  <c r="AY61" i="1"/>
  <c r="G61" i="1" s="1"/>
  <c r="F61" i="1" s="1"/>
  <c r="AX61" i="1"/>
  <c r="E61" i="1" s="1"/>
  <c r="D61" i="1" s="1"/>
  <c r="AW61" i="1"/>
  <c r="A61" i="1"/>
  <c r="AZ60" i="1"/>
  <c r="AY60" i="1"/>
  <c r="AX60" i="1"/>
  <c r="AW60" i="1"/>
  <c r="C60" i="1" s="1"/>
  <c r="B60" i="1" s="1"/>
  <c r="A60" i="1"/>
  <c r="AZ59" i="1"/>
  <c r="AY59" i="1"/>
  <c r="G59" i="1" s="1"/>
  <c r="F59" i="1" s="1"/>
  <c r="AX59" i="1"/>
  <c r="E59" i="1" s="1"/>
  <c r="D59" i="1" s="1"/>
  <c r="AW59" i="1"/>
  <c r="A59" i="1"/>
  <c r="AZ58" i="1"/>
  <c r="I58" i="1" s="1"/>
  <c r="H58" i="1" s="1"/>
  <c r="AY58" i="1"/>
  <c r="AX58" i="1"/>
  <c r="E58" i="1" s="1"/>
  <c r="D58" i="1" s="1"/>
  <c r="AW58" i="1"/>
  <c r="C58" i="1" s="1"/>
  <c r="B58" i="1" s="1"/>
  <c r="A58" i="1"/>
  <c r="AZ57" i="1"/>
  <c r="AY57" i="1"/>
  <c r="AX57" i="1"/>
  <c r="E57" i="1" s="1"/>
  <c r="D57" i="1" s="1"/>
  <c r="AW57" i="1"/>
  <c r="A57" i="1"/>
  <c r="AZ56" i="1"/>
  <c r="AY56" i="1"/>
  <c r="AX56" i="1"/>
  <c r="E56" i="1" s="1"/>
  <c r="D56" i="1" s="1"/>
  <c r="AW56" i="1"/>
  <c r="C56" i="1" s="1"/>
  <c r="B56" i="1" s="1"/>
  <c r="A56" i="1"/>
  <c r="AZ55" i="1"/>
  <c r="AY55" i="1"/>
  <c r="G55" i="1" s="1"/>
  <c r="F55" i="1" s="1"/>
  <c r="AX55" i="1"/>
  <c r="E55" i="1" s="1"/>
  <c r="D55" i="1" s="1"/>
  <c r="AW55" i="1"/>
  <c r="A55" i="1"/>
  <c r="AZ54" i="1"/>
  <c r="I54" i="1" s="1"/>
  <c r="H54" i="1" s="1"/>
  <c r="AY54" i="1"/>
  <c r="AX54" i="1"/>
  <c r="AW54" i="1"/>
  <c r="A54" i="1"/>
  <c r="AZ53" i="1"/>
  <c r="AY53" i="1"/>
  <c r="G53" i="1" s="1"/>
  <c r="F53" i="1" s="1"/>
  <c r="AX53" i="1"/>
  <c r="E53" i="1" s="1"/>
  <c r="D53" i="1" s="1"/>
  <c r="AW53" i="1"/>
  <c r="A53" i="1"/>
  <c r="AZ52" i="1"/>
  <c r="AY52" i="1"/>
  <c r="AX52" i="1"/>
  <c r="AW52" i="1"/>
  <c r="C52" i="1" s="1"/>
  <c r="B52" i="1" s="1"/>
  <c r="A52" i="1"/>
  <c r="AZ51" i="1"/>
  <c r="AY51" i="1"/>
  <c r="G51" i="1" s="1"/>
  <c r="F51" i="1" s="1"/>
  <c r="AX51" i="1"/>
  <c r="E51" i="1" s="1"/>
  <c r="D51" i="1" s="1"/>
  <c r="AW51" i="1"/>
  <c r="A51" i="1"/>
  <c r="AZ50" i="1"/>
  <c r="I50" i="1" s="1"/>
  <c r="H50" i="1" s="1"/>
  <c r="AY50" i="1"/>
  <c r="AX50" i="1"/>
  <c r="E50" i="1" s="1"/>
  <c r="D50" i="1" s="1"/>
  <c r="AW50" i="1"/>
  <c r="C50" i="1" s="1"/>
  <c r="B50" i="1" s="1"/>
  <c r="A50" i="1"/>
  <c r="AZ49" i="1"/>
  <c r="AY49" i="1"/>
  <c r="AX49" i="1"/>
  <c r="E49" i="1" s="1"/>
  <c r="D49" i="1" s="1"/>
  <c r="AW49" i="1"/>
  <c r="A49" i="1"/>
  <c r="AZ48" i="1"/>
  <c r="AY48" i="1"/>
  <c r="AX48" i="1"/>
  <c r="E48" i="1" s="1"/>
  <c r="D48" i="1" s="1"/>
  <c r="AW48" i="1"/>
  <c r="C48" i="1" s="1"/>
  <c r="B48" i="1" s="1"/>
  <c r="A48" i="1"/>
  <c r="AZ47" i="1"/>
  <c r="AY47" i="1"/>
  <c r="G47" i="1" s="1"/>
  <c r="F47" i="1" s="1"/>
  <c r="AX47" i="1"/>
  <c r="E47" i="1" s="1"/>
  <c r="D47" i="1" s="1"/>
  <c r="AW47" i="1"/>
  <c r="A47" i="1"/>
  <c r="AZ46" i="1"/>
  <c r="I46" i="1" s="1"/>
  <c r="H46" i="1" s="1"/>
  <c r="AY46" i="1"/>
  <c r="AX46" i="1"/>
  <c r="AW46" i="1"/>
  <c r="A46" i="1"/>
  <c r="AZ45" i="1"/>
  <c r="AY45" i="1"/>
  <c r="G45" i="1" s="1"/>
  <c r="F45" i="1" s="1"/>
  <c r="AX45" i="1"/>
  <c r="E45" i="1" s="1"/>
  <c r="D45" i="1" s="1"/>
  <c r="AW45" i="1"/>
  <c r="AV45" i="1"/>
  <c r="A45" i="1"/>
  <c r="AZ44" i="1"/>
  <c r="AY44" i="1"/>
  <c r="G44" i="1" s="1"/>
  <c r="F44" i="1" s="1"/>
  <c r="AX44" i="1"/>
  <c r="AW44" i="1"/>
  <c r="C44" i="1" s="1"/>
  <c r="B44" i="1" s="1"/>
  <c r="A44" i="1"/>
  <c r="AZ43" i="1"/>
  <c r="I43" i="1" s="1"/>
  <c r="H43" i="1" s="1"/>
  <c r="AY43" i="1"/>
  <c r="G43" i="1" s="1"/>
  <c r="F43" i="1" s="1"/>
  <c r="AX43" i="1"/>
  <c r="AW43" i="1"/>
  <c r="A43" i="1"/>
  <c r="AZ42" i="1"/>
  <c r="AY42" i="1"/>
  <c r="AX42" i="1"/>
  <c r="AW42" i="1"/>
  <c r="C42" i="1" s="1"/>
  <c r="B42" i="1" s="1"/>
  <c r="A42" i="1"/>
  <c r="AZ41" i="1"/>
  <c r="AY41" i="1"/>
  <c r="G41" i="1" s="1"/>
  <c r="F41" i="1" s="1"/>
  <c r="AX41" i="1"/>
  <c r="AW41" i="1"/>
  <c r="C41" i="1" s="1"/>
  <c r="B41" i="1" s="1"/>
  <c r="A41" i="1"/>
  <c r="AZ40" i="1"/>
  <c r="AY40" i="1"/>
  <c r="G40" i="1" s="1"/>
  <c r="F40" i="1" s="1"/>
  <c r="AX40" i="1"/>
  <c r="E40" i="1" s="1"/>
  <c r="D40" i="1" s="1"/>
  <c r="AW40" i="1"/>
  <c r="A40" i="1"/>
  <c r="AZ39" i="1"/>
  <c r="I39" i="1" s="1"/>
  <c r="H39" i="1" s="1"/>
  <c r="AY39" i="1"/>
  <c r="AX39" i="1"/>
  <c r="AW39" i="1"/>
  <c r="C39" i="1" s="1"/>
  <c r="B39" i="1" s="1"/>
  <c r="A39" i="1"/>
  <c r="AZ38" i="1"/>
  <c r="AY38" i="1"/>
  <c r="AX38" i="1"/>
  <c r="E38" i="1" s="1"/>
  <c r="D38" i="1" s="1"/>
  <c r="AW38" i="1"/>
  <c r="C38" i="1" s="1"/>
  <c r="B38" i="1" s="1"/>
  <c r="A38" i="1"/>
  <c r="AZ37" i="1"/>
  <c r="AY37" i="1"/>
  <c r="G37" i="1" s="1"/>
  <c r="F37" i="1" s="1"/>
  <c r="AX37" i="1"/>
  <c r="AW37" i="1"/>
  <c r="C37" i="1" s="1"/>
  <c r="B37" i="1" s="1"/>
  <c r="A37" i="1"/>
  <c r="AZ36" i="1"/>
  <c r="AY36" i="1"/>
  <c r="G36" i="1" s="1"/>
  <c r="F36" i="1" s="1"/>
  <c r="AX36" i="1"/>
  <c r="AW36" i="1"/>
  <c r="C36" i="1" s="1"/>
  <c r="B36" i="1" s="1"/>
  <c r="A36" i="1"/>
  <c r="AZ35" i="1"/>
  <c r="I35" i="1" s="1"/>
  <c r="H35" i="1" s="1"/>
  <c r="AY35" i="1"/>
  <c r="G35" i="1" s="1"/>
  <c r="F35" i="1" s="1"/>
  <c r="AX35" i="1"/>
  <c r="AW35" i="1"/>
  <c r="A35" i="1"/>
  <c r="AZ34" i="1"/>
  <c r="AY34" i="1"/>
  <c r="AX34" i="1"/>
  <c r="AW34" i="1"/>
  <c r="C34" i="1" s="1"/>
  <c r="B34" i="1" s="1"/>
  <c r="A34" i="1"/>
  <c r="AZ33" i="1"/>
  <c r="AY33" i="1"/>
  <c r="G33" i="1" s="1"/>
  <c r="F33" i="1" s="1"/>
  <c r="AX33" i="1"/>
  <c r="AW33" i="1"/>
  <c r="C33" i="1" s="1"/>
  <c r="B33" i="1" s="1"/>
  <c r="A33" i="1"/>
  <c r="AZ32" i="1"/>
  <c r="AY32" i="1"/>
  <c r="G32" i="1" s="1"/>
  <c r="F32" i="1" s="1"/>
  <c r="AX32" i="1"/>
  <c r="E32" i="1" s="1"/>
  <c r="D32" i="1" s="1"/>
  <c r="AW32" i="1"/>
  <c r="A32" i="1"/>
  <c r="AZ31" i="1"/>
  <c r="I31" i="1" s="1"/>
  <c r="H31" i="1" s="1"/>
  <c r="AY31" i="1"/>
  <c r="AX31" i="1"/>
  <c r="AW31" i="1"/>
  <c r="C31" i="1" s="1"/>
  <c r="B31" i="1" s="1"/>
  <c r="A31" i="1"/>
  <c r="AZ30" i="1"/>
  <c r="AY30" i="1"/>
  <c r="AX30" i="1"/>
  <c r="E30" i="1" s="1"/>
  <c r="D30" i="1" s="1"/>
  <c r="AW30" i="1"/>
  <c r="C30" i="1" s="1"/>
  <c r="B30" i="1" s="1"/>
  <c r="A30" i="1"/>
  <c r="AZ29" i="1"/>
  <c r="AY29" i="1"/>
  <c r="G29" i="1" s="1"/>
  <c r="F29" i="1" s="1"/>
  <c r="AX29" i="1"/>
  <c r="AW29" i="1"/>
  <c r="C29" i="1" s="1"/>
  <c r="B29" i="1" s="1"/>
  <c r="A29" i="1"/>
  <c r="AZ28" i="1"/>
  <c r="AY28" i="1"/>
  <c r="G28" i="1" s="1"/>
  <c r="F28" i="1" s="1"/>
  <c r="AX28" i="1"/>
  <c r="AW28" i="1"/>
  <c r="C28" i="1" s="1"/>
  <c r="B28" i="1" s="1"/>
  <c r="A28" i="1"/>
  <c r="AZ27" i="1"/>
  <c r="I27" i="1" s="1"/>
  <c r="H27" i="1" s="1"/>
  <c r="AY27" i="1"/>
  <c r="G27" i="1" s="1"/>
  <c r="F27" i="1" s="1"/>
  <c r="AX27" i="1"/>
  <c r="AW27" i="1"/>
  <c r="A27" i="1"/>
  <c r="AZ26" i="1"/>
  <c r="AY26" i="1"/>
  <c r="AX26" i="1"/>
  <c r="AW26" i="1"/>
  <c r="C26" i="1" s="1"/>
  <c r="B26" i="1" s="1"/>
  <c r="A26" i="1"/>
  <c r="AZ25" i="1"/>
  <c r="AY25" i="1"/>
  <c r="G25" i="1" s="1"/>
  <c r="F25" i="1" s="1"/>
  <c r="AX25" i="1"/>
  <c r="AW25" i="1"/>
  <c r="C25" i="1" s="1"/>
  <c r="B25" i="1" s="1"/>
  <c r="A25" i="1"/>
  <c r="AZ24" i="1"/>
  <c r="AY24" i="1"/>
  <c r="G24" i="1" s="1"/>
  <c r="F24" i="1" s="1"/>
  <c r="AX24" i="1"/>
  <c r="E24" i="1" s="1"/>
  <c r="D24" i="1" s="1"/>
  <c r="AW24" i="1"/>
  <c r="A24" i="1"/>
  <c r="AZ23" i="1"/>
  <c r="I23" i="1" s="1"/>
  <c r="H23" i="1" s="1"/>
  <c r="AY23" i="1"/>
  <c r="AX23" i="1"/>
  <c r="AW23" i="1"/>
  <c r="C23" i="1" s="1"/>
  <c r="B23" i="1" s="1"/>
  <c r="A23" i="1"/>
  <c r="AZ22" i="1"/>
  <c r="AY22" i="1"/>
  <c r="G22" i="1" s="1"/>
  <c r="F22" i="1" s="1"/>
  <c r="AX22" i="1"/>
  <c r="E22" i="1" s="1"/>
  <c r="D22" i="1" s="1"/>
  <c r="AW22" i="1"/>
  <c r="C22" i="1" s="1"/>
  <c r="B22" i="1" s="1"/>
  <c r="A22" i="1"/>
  <c r="AZ21" i="1"/>
  <c r="I21" i="1" s="1"/>
  <c r="H21" i="1" s="1"/>
  <c r="AY21" i="1"/>
  <c r="AX21" i="1"/>
  <c r="E21" i="1" s="1"/>
  <c r="D21" i="1" s="1"/>
  <c r="AW21" i="1"/>
  <c r="A21" i="1"/>
  <c r="AZ20" i="1"/>
  <c r="I20" i="1" s="1"/>
  <c r="H20" i="1" s="1"/>
  <c r="AY20" i="1"/>
  <c r="G20" i="1" s="1"/>
  <c r="F20" i="1" s="1"/>
  <c r="AX20" i="1"/>
  <c r="E20" i="1" s="1"/>
  <c r="D20" i="1" s="1"/>
  <c r="AW20" i="1"/>
  <c r="C20" i="1" s="1"/>
  <c r="B20" i="1" s="1"/>
  <c r="A20" i="1"/>
  <c r="AZ19" i="1"/>
  <c r="I19" i="1" s="1"/>
  <c r="H19" i="1" s="1"/>
  <c r="AY19" i="1"/>
  <c r="AX19" i="1"/>
  <c r="AW19" i="1"/>
  <c r="C19" i="1" s="1"/>
  <c r="B19" i="1" s="1"/>
  <c r="A19" i="1"/>
  <c r="AZ18" i="1"/>
  <c r="I18" i="1" s="1"/>
  <c r="H18" i="1" s="1"/>
  <c r="AY18" i="1"/>
  <c r="G18" i="1" s="1"/>
  <c r="F18" i="1" s="1"/>
  <c r="AX18" i="1"/>
  <c r="AW18" i="1"/>
  <c r="C18" i="1" s="1"/>
  <c r="B18" i="1" s="1"/>
  <c r="A18" i="1"/>
  <c r="AZ17" i="1"/>
  <c r="AY17" i="1"/>
  <c r="AX17" i="1"/>
  <c r="E17" i="1" s="1"/>
  <c r="D17" i="1" s="1"/>
  <c r="AW17" i="1"/>
  <c r="C17" i="1" s="1"/>
  <c r="B17" i="1" s="1"/>
  <c r="A17" i="1"/>
  <c r="AZ16" i="1"/>
  <c r="AY16" i="1"/>
  <c r="G16" i="1" s="1"/>
  <c r="F16" i="1" s="1"/>
  <c r="AX16" i="1"/>
  <c r="E16" i="1" s="1"/>
  <c r="D16" i="1" s="1"/>
  <c r="AW16" i="1"/>
  <c r="C16" i="1" s="1"/>
  <c r="B16" i="1" s="1"/>
  <c r="A16" i="1"/>
  <c r="AZ15" i="1"/>
  <c r="AY15" i="1"/>
  <c r="G15" i="1" s="1"/>
  <c r="F15" i="1" s="1"/>
  <c r="AX15" i="1"/>
  <c r="E15" i="1" s="1"/>
  <c r="D15" i="1" s="1"/>
  <c r="AW15" i="1"/>
  <c r="A15" i="1"/>
  <c r="AZ14" i="1"/>
  <c r="AY14" i="1"/>
  <c r="G14" i="1" s="1"/>
  <c r="F14" i="1" s="1"/>
  <c r="AX14" i="1"/>
  <c r="E14" i="1" s="1"/>
  <c r="D14" i="1" s="1"/>
  <c r="AW14" i="1"/>
  <c r="C14" i="1" s="1"/>
  <c r="B14" i="1" s="1"/>
  <c r="A14" i="1"/>
  <c r="AZ13" i="1"/>
  <c r="I13" i="1" s="1"/>
  <c r="H13" i="1" s="1"/>
  <c r="AY13" i="1"/>
  <c r="AX13" i="1"/>
  <c r="E13" i="1" s="1"/>
  <c r="D13" i="1" s="1"/>
  <c r="AW13" i="1"/>
  <c r="A13" i="1"/>
  <c r="AZ12" i="1"/>
  <c r="I12" i="1" s="1"/>
  <c r="H12" i="1" s="1"/>
  <c r="AY12" i="1"/>
  <c r="G12" i="1" s="1"/>
  <c r="F12" i="1" s="1"/>
  <c r="AX12" i="1"/>
  <c r="E12" i="1" s="1"/>
  <c r="D12" i="1" s="1"/>
  <c r="AW12" i="1"/>
  <c r="C12" i="1" s="1"/>
  <c r="B12" i="1" s="1"/>
  <c r="A12" i="1"/>
  <c r="AZ11" i="1"/>
  <c r="I11" i="1" s="1"/>
  <c r="H11" i="1" s="1"/>
  <c r="AY11" i="1"/>
  <c r="AX11" i="1"/>
  <c r="AW11" i="1"/>
  <c r="C11" i="1" s="1"/>
  <c r="B11" i="1" s="1"/>
  <c r="A11" i="1"/>
  <c r="AZ10" i="1"/>
  <c r="I10" i="1" s="1"/>
  <c r="H10" i="1" s="1"/>
  <c r="AY10" i="1"/>
  <c r="G10" i="1" s="1"/>
  <c r="F10" i="1" s="1"/>
  <c r="AX10" i="1"/>
  <c r="AW10" i="1"/>
  <c r="C10" i="1" s="1"/>
  <c r="B10" i="1" s="1"/>
  <c r="A10" i="1"/>
  <c r="AZ9" i="1"/>
  <c r="AY9" i="1"/>
  <c r="AX9" i="1"/>
  <c r="E9" i="1" s="1"/>
  <c r="D9" i="1" s="1"/>
  <c r="AW9" i="1"/>
  <c r="C9" i="1" s="1"/>
  <c r="B9" i="1" s="1"/>
  <c r="G9" i="1"/>
  <c r="F9" i="1" s="1"/>
  <c r="A9" i="1"/>
  <c r="AZ8" i="1"/>
  <c r="AY8" i="1"/>
  <c r="G17" i="1" s="1"/>
  <c r="F17" i="1" s="1"/>
  <c r="AX8" i="1"/>
  <c r="E8" i="1" s="1"/>
  <c r="D8" i="1" s="1"/>
  <c r="AW8" i="1"/>
  <c r="C8" i="1" s="1"/>
  <c r="B8" i="1" s="1"/>
  <c r="A8" i="1"/>
  <c r="AZ7" i="1"/>
  <c r="AY7" i="1"/>
  <c r="G7" i="1" s="1"/>
  <c r="F7" i="1" s="1"/>
  <c r="AX7" i="1"/>
  <c r="E7" i="1" s="1"/>
  <c r="D7" i="1" s="1"/>
  <c r="AW7" i="1"/>
  <c r="I7" i="1"/>
  <c r="H7" i="1" s="1"/>
  <c r="A7" i="1"/>
  <c r="AZ6" i="1"/>
  <c r="AY6" i="1"/>
  <c r="G6" i="1" s="1"/>
  <c r="F6" i="1" s="1"/>
  <c r="AX6" i="1"/>
  <c r="E6" i="1" s="1"/>
  <c r="D6" i="1" s="1"/>
  <c r="AW6" i="1"/>
  <c r="C6" i="1" s="1"/>
  <c r="B6" i="1" s="1"/>
  <c r="A6" i="1"/>
  <c r="AZ5" i="1"/>
  <c r="I5" i="1" s="1"/>
  <c r="H5" i="1" s="1"/>
  <c r="AY5" i="1"/>
  <c r="AX5" i="1"/>
  <c r="E5" i="1" s="1"/>
  <c r="D5" i="1" s="1"/>
  <c r="AW5" i="1"/>
  <c r="C5" i="1"/>
  <c r="B5" i="1" s="1"/>
  <c r="A5" i="1"/>
  <c r="AZ4" i="1"/>
  <c r="I4" i="1" s="1"/>
  <c r="H4" i="1" s="1"/>
  <c r="AY4" i="1"/>
  <c r="G4" i="1" s="1"/>
  <c r="F4" i="1" s="1"/>
  <c r="AX4" i="1"/>
  <c r="E35" i="1" s="1"/>
  <c r="D35" i="1" s="1"/>
  <c r="AW4" i="1"/>
  <c r="C4" i="1" s="1"/>
  <c r="B4" i="1" s="1"/>
  <c r="A4" i="1"/>
  <c r="AZ3" i="1"/>
  <c r="I73" i="1" s="1"/>
  <c r="H73" i="1" s="1"/>
  <c r="AY3" i="1"/>
  <c r="AX3" i="1"/>
  <c r="E138" i="1" s="1"/>
  <c r="D138" i="1" s="1"/>
  <c r="AW3" i="1"/>
  <c r="C3" i="1" s="1"/>
  <c r="B3" i="1" s="1"/>
  <c r="E3" i="1"/>
  <c r="D3" i="1" s="1"/>
  <c r="A3" i="1"/>
  <c r="AZ2" i="1"/>
  <c r="I216" i="1" s="1"/>
  <c r="H216" i="1" s="1"/>
  <c r="AY2" i="1"/>
  <c r="G219" i="1" s="1"/>
  <c r="F219" i="1" s="1"/>
  <c r="AX2" i="1"/>
  <c r="E194" i="1" s="1"/>
  <c r="D194" i="1" s="1"/>
  <c r="AW2" i="1"/>
  <c r="C201" i="1" s="1"/>
  <c r="B201" i="1" s="1"/>
  <c r="A2" i="1"/>
  <c r="C13" i="1" l="1"/>
  <c r="B13" i="1" s="1"/>
  <c r="E34" i="1"/>
  <c r="D34" i="1" s="1"/>
  <c r="G3" i="1"/>
  <c r="F3" i="1" s="1"/>
  <c r="I17" i="1"/>
  <c r="H17" i="1" s="1"/>
  <c r="G39" i="1"/>
  <c r="F39" i="1" s="1"/>
  <c r="G54" i="1"/>
  <c r="F54" i="1" s="1"/>
  <c r="E67" i="1"/>
  <c r="D67" i="1" s="1"/>
  <c r="I82" i="1"/>
  <c r="H82" i="1" s="1"/>
  <c r="G8" i="1"/>
  <c r="F8" i="1" s="1"/>
  <c r="I22" i="1"/>
  <c r="H22" i="1" s="1"/>
  <c r="I29" i="1"/>
  <c r="H29" i="1" s="1"/>
  <c r="I36" i="1"/>
  <c r="H36" i="1" s="1"/>
  <c r="I42" i="1"/>
  <c r="H42" i="1" s="1"/>
  <c r="C49" i="1"/>
  <c r="B49" i="1" s="1"/>
  <c r="C57" i="1"/>
  <c r="B57" i="1" s="1"/>
  <c r="I71" i="1"/>
  <c r="H71" i="1" s="1"/>
  <c r="E31" i="1"/>
  <c r="D31" i="1" s="1"/>
  <c r="I52" i="1"/>
  <c r="H52" i="1" s="1"/>
  <c r="C68" i="1"/>
  <c r="B68" i="1" s="1"/>
  <c r="E70" i="1"/>
  <c r="D70" i="1" s="1"/>
  <c r="E72" i="1"/>
  <c r="D72" i="1" s="1"/>
  <c r="C75" i="1"/>
  <c r="B75" i="1" s="1"/>
  <c r="C77" i="1"/>
  <c r="B77" i="1" s="1"/>
  <c r="G81" i="1"/>
  <c r="F81" i="1" s="1"/>
  <c r="C84" i="1"/>
  <c r="B84" i="1" s="1"/>
  <c r="E86" i="1"/>
  <c r="D86" i="1" s="1"/>
  <c r="E88" i="1"/>
  <c r="D88" i="1" s="1"/>
  <c r="C91" i="1"/>
  <c r="B91" i="1" s="1"/>
  <c r="C93" i="1"/>
  <c r="B93" i="1" s="1"/>
  <c r="G97" i="1"/>
  <c r="F97" i="1" s="1"/>
  <c r="C100" i="1"/>
  <c r="B100" i="1" s="1"/>
  <c r="E102" i="1"/>
  <c r="D102" i="1" s="1"/>
  <c r="E104" i="1"/>
  <c r="D104" i="1" s="1"/>
  <c r="C107" i="1"/>
  <c r="B107" i="1" s="1"/>
  <c r="C109" i="1"/>
  <c r="B109" i="1" s="1"/>
  <c r="G113" i="1"/>
  <c r="F113" i="1" s="1"/>
  <c r="C116" i="1"/>
  <c r="B116" i="1" s="1"/>
  <c r="E118" i="1"/>
  <c r="D118" i="1" s="1"/>
  <c r="C121" i="1"/>
  <c r="B121" i="1" s="1"/>
  <c r="C124" i="1"/>
  <c r="B124" i="1" s="1"/>
  <c r="E125" i="1"/>
  <c r="D125" i="1" s="1"/>
  <c r="I132" i="1"/>
  <c r="H132" i="1" s="1"/>
  <c r="E134" i="1"/>
  <c r="D134" i="1" s="1"/>
  <c r="E139" i="1"/>
  <c r="D139" i="1" s="1"/>
  <c r="C140" i="1"/>
  <c r="B140" i="1" s="1"/>
  <c r="E144" i="1"/>
  <c r="D144" i="1" s="1"/>
  <c r="G146" i="1"/>
  <c r="F146" i="1" s="1"/>
  <c r="I148" i="1"/>
  <c r="H148" i="1" s="1"/>
  <c r="E150" i="1"/>
  <c r="D150" i="1" s="1"/>
  <c r="E155" i="1"/>
  <c r="D155" i="1" s="1"/>
  <c r="C156" i="1"/>
  <c r="B156" i="1" s="1"/>
  <c r="E160" i="1"/>
  <c r="D160" i="1" s="1"/>
  <c r="G162" i="1"/>
  <c r="F162" i="1" s="1"/>
  <c r="I164" i="1"/>
  <c r="H164" i="1" s="1"/>
  <c r="E166" i="1"/>
  <c r="D166" i="1" s="1"/>
  <c r="E171" i="1"/>
  <c r="D171" i="1" s="1"/>
  <c r="C172" i="1"/>
  <c r="B172" i="1" s="1"/>
  <c r="E176" i="1"/>
  <c r="D176" i="1" s="1"/>
  <c r="G178" i="1"/>
  <c r="F178" i="1" s="1"/>
  <c r="I180" i="1"/>
  <c r="H180" i="1" s="1"/>
  <c r="E182" i="1"/>
  <c r="D182" i="1" s="1"/>
  <c r="E187" i="1"/>
  <c r="D187" i="1" s="1"/>
  <c r="G195" i="1"/>
  <c r="F195" i="1" s="1"/>
  <c r="G196" i="1"/>
  <c r="F196" i="1" s="1"/>
  <c r="I198" i="1"/>
  <c r="H198" i="1" s="1"/>
  <c r="I205" i="1"/>
  <c r="H205" i="1" s="1"/>
  <c r="G214" i="1"/>
  <c r="F214" i="1" s="1"/>
  <c r="E217" i="1"/>
  <c r="D217" i="1" s="1"/>
  <c r="C227" i="1"/>
  <c r="B227" i="1" s="1"/>
  <c r="C237" i="1"/>
  <c r="B237" i="1" s="1"/>
  <c r="I238" i="1"/>
  <c r="H238" i="1" s="1"/>
  <c r="C245" i="1"/>
  <c r="B245" i="1" s="1"/>
  <c r="I246" i="1"/>
  <c r="H246" i="1" s="1"/>
  <c r="E248" i="1"/>
  <c r="D248" i="1" s="1"/>
  <c r="I254" i="1"/>
  <c r="H254" i="1" s="1"/>
  <c r="I262" i="1"/>
  <c r="H262" i="1" s="1"/>
  <c r="I270" i="1"/>
  <c r="H270" i="1" s="1"/>
  <c r="I278" i="1"/>
  <c r="H278" i="1" s="1"/>
  <c r="E19" i="1"/>
  <c r="D19" i="1" s="1"/>
  <c r="E42" i="1"/>
  <c r="D42" i="1" s="1"/>
  <c r="G11" i="1"/>
  <c r="F11" i="1" s="1"/>
  <c r="G31" i="1"/>
  <c r="F31" i="1" s="1"/>
  <c r="G52" i="1"/>
  <c r="F52" i="1" s="1"/>
  <c r="C65" i="1"/>
  <c r="B65" i="1" s="1"/>
  <c r="G78" i="1"/>
  <c r="F78" i="1" s="1"/>
  <c r="I6" i="1"/>
  <c r="H6" i="1" s="1"/>
  <c r="I24" i="1"/>
  <c r="H24" i="1" s="1"/>
  <c r="I30" i="1"/>
  <c r="H30" i="1" s="1"/>
  <c r="I37" i="1"/>
  <c r="H37" i="1" s="1"/>
  <c r="E43" i="1"/>
  <c r="D43" i="1" s="1"/>
  <c r="C53" i="1"/>
  <c r="B53" i="1" s="1"/>
  <c r="E68" i="1"/>
  <c r="D68" i="1" s="1"/>
  <c r="G13" i="1"/>
  <c r="F13" i="1" s="1"/>
  <c r="E29" i="1"/>
  <c r="D29" i="1" s="1"/>
  <c r="I45" i="1"/>
  <c r="H45" i="1" s="1"/>
  <c r="G65" i="1"/>
  <c r="F65" i="1" s="1"/>
  <c r="G2" i="1"/>
  <c r="F2" i="1" s="1"/>
  <c r="E4" i="1"/>
  <c r="D4" i="1" s="1"/>
  <c r="C32" i="1"/>
  <c r="B32" i="1" s="1"/>
  <c r="C54" i="1"/>
  <c r="B54" i="1" s="1"/>
  <c r="G66" i="1"/>
  <c r="F66" i="1" s="1"/>
  <c r="I76" i="1"/>
  <c r="H76" i="1" s="1"/>
  <c r="E87" i="1"/>
  <c r="D87" i="1" s="1"/>
  <c r="C98" i="1"/>
  <c r="B98" i="1" s="1"/>
  <c r="G98" i="1"/>
  <c r="F98" i="1" s="1"/>
  <c r="I99" i="1"/>
  <c r="H99" i="1" s="1"/>
  <c r="E103" i="1"/>
  <c r="D103" i="1" s="1"/>
  <c r="I108" i="1"/>
  <c r="H108" i="1" s="1"/>
  <c r="C114" i="1"/>
  <c r="B114" i="1" s="1"/>
  <c r="G114" i="1"/>
  <c r="F114" i="1" s="1"/>
  <c r="I115" i="1"/>
  <c r="H115" i="1" s="1"/>
  <c r="E119" i="1"/>
  <c r="D119" i="1" s="1"/>
  <c r="G120" i="1"/>
  <c r="F120" i="1" s="1"/>
  <c r="E121" i="1"/>
  <c r="D121" i="1" s="1"/>
  <c r="I123" i="1"/>
  <c r="H123" i="1" s="1"/>
  <c r="I126" i="1"/>
  <c r="H126" i="1" s="1"/>
  <c r="E130" i="1"/>
  <c r="D130" i="1" s="1"/>
  <c r="I133" i="1"/>
  <c r="H133" i="1" s="1"/>
  <c r="C135" i="1"/>
  <c r="B135" i="1" s="1"/>
  <c r="I138" i="1"/>
  <c r="H138" i="1" s="1"/>
  <c r="G144" i="1"/>
  <c r="F144" i="1" s="1"/>
  <c r="E145" i="1"/>
  <c r="D145" i="1" s="1"/>
  <c r="C146" i="1"/>
  <c r="B146" i="1" s="1"/>
  <c r="G147" i="1"/>
  <c r="F147" i="1" s="1"/>
  <c r="I149" i="1"/>
  <c r="H149" i="1" s="1"/>
  <c r="C151" i="1"/>
  <c r="B151" i="1" s="1"/>
  <c r="I154" i="1"/>
  <c r="H154" i="1" s="1"/>
  <c r="G160" i="1"/>
  <c r="F160" i="1" s="1"/>
  <c r="E161" i="1"/>
  <c r="D161" i="1" s="1"/>
  <c r="C162" i="1"/>
  <c r="B162" i="1" s="1"/>
  <c r="G163" i="1"/>
  <c r="F163" i="1" s="1"/>
  <c r="I165" i="1"/>
  <c r="H165" i="1" s="1"/>
  <c r="C167" i="1"/>
  <c r="B167" i="1" s="1"/>
  <c r="I170" i="1"/>
  <c r="H170" i="1" s="1"/>
  <c r="G176" i="1"/>
  <c r="F176" i="1" s="1"/>
  <c r="E177" i="1"/>
  <c r="D177" i="1" s="1"/>
  <c r="C178" i="1"/>
  <c r="B178" i="1" s="1"/>
  <c r="G179" i="1"/>
  <c r="F179" i="1" s="1"/>
  <c r="I181" i="1"/>
  <c r="H181" i="1" s="1"/>
  <c r="C183" i="1"/>
  <c r="B183" i="1" s="1"/>
  <c r="I186" i="1"/>
  <c r="H186" i="1" s="1"/>
  <c r="E190" i="1"/>
  <c r="D190" i="1" s="1"/>
  <c r="I192" i="1"/>
  <c r="H192" i="1" s="1"/>
  <c r="E202" i="1"/>
  <c r="D202" i="1" s="1"/>
  <c r="I203" i="1"/>
  <c r="H203" i="1" s="1"/>
  <c r="E207" i="1"/>
  <c r="D207" i="1" s="1"/>
  <c r="E210" i="1"/>
  <c r="D210" i="1" s="1"/>
  <c r="C211" i="1"/>
  <c r="B211" i="1" s="1"/>
  <c r="E212" i="1"/>
  <c r="D212" i="1" s="1"/>
  <c r="G213" i="1"/>
  <c r="F213" i="1" s="1"/>
  <c r="G217" i="1"/>
  <c r="F217" i="1" s="1"/>
  <c r="E218" i="1"/>
  <c r="D218" i="1" s="1"/>
  <c r="I220" i="1"/>
  <c r="H220" i="1" s="1"/>
  <c r="C223" i="1"/>
  <c r="B223" i="1" s="1"/>
  <c r="G226" i="1"/>
  <c r="F226" i="1" s="1"/>
  <c r="I230" i="1"/>
  <c r="H230" i="1" s="1"/>
  <c r="E301" i="1"/>
  <c r="D301" i="1" s="1"/>
  <c r="C1430" i="1"/>
  <c r="B1430" i="1" s="1"/>
  <c r="C1422" i="1"/>
  <c r="B1422" i="1" s="1"/>
  <c r="C1436" i="1"/>
  <c r="B1436" i="1" s="1"/>
  <c r="C1415" i="1"/>
  <c r="B1415" i="1" s="1"/>
  <c r="C1407" i="1"/>
  <c r="B1407" i="1" s="1"/>
  <c r="C1399" i="1"/>
  <c r="B1399" i="1" s="1"/>
  <c r="C1391" i="1"/>
  <c r="B1391" i="1" s="1"/>
  <c r="C1434" i="1"/>
  <c r="B1434" i="1" s="1"/>
  <c r="C1426" i="1"/>
  <c r="B1426" i="1" s="1"/>
  <c r="C1418" i="1"/>
  <c r="B1418" i="1" s="1"/>
  <c r="C1410" i="1"/>
  <c r="B1410" i="1" s="1"/>
  <c r="C1402" i="1"/>
  <c r="B1402" i="1" s="1"/>
  <c r="C1394" i="1"/>
  <c r="B1394" i="1" s="1"/>
  <c r="C1386" i="1"/>
  <c r="B1386" i="1" s="1"/>
  <c r="C1378" i="1"/>
  <c r="B1378" i="1" s="1"/>
  <c r="C1437" i="1"/>
  <c r="B1437" i="1" s="1"/>
  <c r="C1429" i="1"/>
  <c r="B1429" i="1" s="1"/>
  <c r="C1421" i="1"/>
  <c r="B1421" i="1" s="1"/>
  <c r="C1413" i="1"/>
  <c r="B1413" i="1" s="1"/>
  <c r="C1405" i="1"/>
  <c r="B1405" i="1" s="1"/>
  <c r="C1397" i="1"/>
  <c r="B1397" i="1" s="1"/>
  <c r="C1389" i="1"/>
  <c r="B1389" i="1" s="1"/>
  <c r="C1381" i="1"/>
  <c r="B1381" i="1" s="1"/>
  <c r="C1373" i="1"/>
  <c r="B1373" i="1" s="1"/>
  <c r="C1401" i="1"/>
  <c r="B1401" i="1" s="1"/>
  <c r="C1393" i="1"/>
  <c r="B1393" i="1" s="1"/>
  <c r="C1382" i="1"/>
  <c r="B1382" i="1" s="1"/>
  <c r="C1428" i="1"/>
  <c r="B1428" i="1" s="1"/>
  <c r="C1374" i="1"/>
  <c r="B1374" i="1" s="1"/>
  <c r="C1420" i="1"/>
  <c r="B1420" i="1" s="1"/>
  <c r="C1412" i="1"/>
  <c r="B1412" i="1" s="1"/>
  <c r="C1414" i="1"/>
  <c r="B1414" i="1" s="1"/>
  <c r="C1403" i="1"/>
  <c r="B1403" i="1" s="1"/>
  <c r="C1396" i="1"/>
  <c r="B1396" i="1" s="1"/>
  <c r="C1395" i="1"/>
  <c r="B1395" i="1" s="1"/>
  <c r="C1388" i="1"/>
  <c r="B1388" i="1" s="1"/>
  <c r="C1387" i="1"/>
  <c r="B1387" i="1" s="1"/>
  <c r="C1406" i="1"/>
  <c r="B1406" i="1" s="1"/>
  <c r="C1404" i="1"/>
  <c r="B1404" i="1" s="1"/>
  <c r="C1383" i="1"/>
  <c r="B1383" i="1" s="1"/>
  <c r="C1355" i="1"/>
  <c r="B1355" i="1" s="1"/>
  <c r="C1359" i="1"/>
  <c r="B1359" i="1" s="1"/>
  <c r="C1375" i="1"/>
  <c r="B1375" i="1" s="1"/>
  <c r="C1354" i="1"/>
  <c r="B1354" i="1" s="1"/>
  <c r="C1379" i="1"/>
  <c r="B1379" i="1" s="1"/>
  <c r="C1372" i="1"/>
  <c r="B1372" i="1" s="1"/>
  <c r="C1370" i="1"/>
  <c r="B1370" i="1" s="1"/>
  <c r="C1363" i="1"/>
  <c r="B1363" i="1" s="1"/>
  <c r="C1369" i="1"/>
  <c r="B1369" i="1" s="1"/>
  <c r="C1353" i="1"/>
  <c r="B1353" i="1" s="1"/>
  <c r="C1332" i="1"/>
  <c r="B1332" i="1" s="1"/>
  <c r="C1328" i="1"/>
  <c r="B1328" i="1" s="1"/>
  <c r="C1326" i="1"/>
  <c r="B1326" i="1" s="1"/>
  <c r="C1324" i="1"/>
  <c r="B1324" i="1" s="1"/>
  <c r="C1320" i="1"/>
  <c r="B1320" i="1" s="1"/>
  <c r="C1367" i="1"/>
  <c r="B1367" i="1" s="1"/>
  <c r="C1362" i="1"/>
  <c r="B1362" i="1" s="1"/>
  <c r="C1350" i="1"/>
  <c r="B1350" i="1" s="1"/>
  <c r="C1346" i="1"/>
  <c r="B1346" i="1" s="1"/>
  <c r="C1338" i="1"/>
  <c r="B1338" i="1" s="1"/>
  <c r="C1361" i="1"/>
  <c r="B1361" i="1" s="1"/>
  <c r="C1315" i="1"/>
  <c r="B1315" i="1" s="1"/>
  <c r="C1309" i="1"/>
  <c r="B1309" i="1" s="1"/>
  <c r="C1301" i="1"/>
  <c r="B1301" i="1" s="1"/>
  <c r="C1293" i="1"/>
  <c r="B1293" i="1" s="1"/>
  <c r="C1314" i="1"/>
  <c r="B1314" i="1" s="1"/>
  <c r="C1306" i="1"/>
  <c r="B1306" i="1" s="1"/>
  <c r="C1311" i="1"/>
  <c r="B1311" i="1" s="1"/>
  <c r="C1303" i="1"/>
  <c r="B1303" i="1" s="1"/>
  <c r="C1322" i="1"/>
  <c r="B1322" i="1" s="1"/>
  <c r="C1330" i="1"/>
  <c r="B1330" i="1" s="1"/>
  <c r="C1317" i="1"/>
  <c r="B1317" i="1" s="1"/>
  <c r="C1313" i="1"/>
  <c r="B1313" i="1" s="1"/>
  <c r="C1305" i="1"/>
  <c r="B1305" i="1" s="1"/>
  <c r="C1297" i="1"/>
  <c r="B1297" i="1" s="1"/>
  <c r="C1319" i="1"/>
  <c r="B1319" i="1" s="1"/>
  <c r="C1307" i="1"/>
  <c r="B1307" i="1" s="1"/>
  <c r="C1299" i="1"/>
  <c r="B1299" i="1" s="1"/>
  <c r="C1291" i="1"/>
  <c r="B1291" i="1" s="1"/>
  <c r="C1283" i="1"/>
  <c r="B1283" i="1" s="1"/>
  <c r="C1278" i="1"/>
  <c r="B1278" i="1" s="1"/>
  <c r="C1276" i="1"/>
  <c r="B1276" i="1" s="1"/>
  <c r="C1274" i="1"/>
  <c r="B1274" i="1" s="1"/>
  <c r="C1272" i="1"/>
  <c r="B1272" i="1" s="1"/>
  <c r="C1295" i="1"/>
  <c r="B1295" i="1" s="1"/>
  <c r="C1240" i="1"/>
  <c r="B1240" i="1" s="1"/>
  <c r="C1262" i="1"/>
  <c r="B1262" i="1" s="1"/>
  <c r="C1260" i="1"/>
  <c r="B1260" i="1" s="1"/>
  <c r="C1258" i="1"/>
  <c r="B1258" i="1" s="1"/>
  <c r="C1254" i="1"/>
  <c r="B1254" i="1" s="1"/>
  <c r="C1252" i="1"/>
  <c r="B1252" i="1" s="1"/>
  <c r="C1233" i="1"/>
  <c r="B1233" i="1" s="1"/>
  <c r="C1212" i="1"/>
  <c r="B1212" i="1" s="1"/>
  <c r="C1204" i="1"/>
  <c r="B1204" i="1" s="1"/>
  <c r="C1196" i="1"/>
  <c r="B1196" i="1" s="1"/>
  <c r="C1264" i="1"/>
  <c r="B1264" i="1" s="1"/>
  <c r="C1256" i="1"/>
  <c r="B1256" i="1" s="1"/>
  <c r="C1250" i="1"/>
  <c r="B1250" i="1" s="1"/>
  <c r="C1207" i="1"/>
  <c r="B1207" i="1" s="1"/>
  <c r="C1199" i="1"/>
  <c r="B1199" i="1" s="1"/>
  <c r="C1191" i="1"/>
  <c r="B1191" i="1" s="1"/>
  <c r="C1298" i="1"/>
  <c r="B1298" i="1" s="1"/>
  <c r="C1285" i="1"/>
  <c r="B1285" i="1" s="1"/>
  <c r="C1266" i="1"/>
  <c r="B1266" i="1" s="1"/>
  <c r="C1243" i="1"/>
  <c r="B1243" i="1" s="1"/>
  <c r="C1235" i="1"/>
  <c r="B1235" i="1" s="1"/>
  <c r="C1289" i="1"/>
  <c r="B1289" i="1" s="1"/>
  <c r="C1282" i="1"/>
  <c r="B1282" i="1" s="1"/>
  <c r="C1248" i="1"/>
  <c r="B1248" i="1" s="1"/>
  <c r="C1229" i="1"/>
  <c r="B1229" i="1" s="1"/>
  <c r="C1225" i="1"/>
  <c r="B1225" i="1" s="1"/>
  <c r="C1268" i="1"/>
  <c r="B1268" i="1" s="1"/>
  <c r="C1242" i="1"/>
  <c r="B1242" i="1" s="1"/>
  <c r="C1270" i="1"/>
  <c r="B1270" i="1" s="1"/>
  <c r="C1241" i="1"/>
  <c r="B1241" i="1" s="1"/>
  <c r="C1226" i="1"/>
  <c r="B1226" i="1" s="1"/>
  <c r="C1224" i="1"/>
  <c r="B1224" i="1" s="1"/>
  <c r="C1222" i="1"/>
  <c r="B1222" i="1" s="1"/>
  <c r="C1218" i="1"/>
  <c r="B1218" i="1" s="1"/>
  <c r="C1213" i="1"/>
  <c r="B1213" i="1" s="1"/>
  <c r="C1203" i="1"/>
  <c r="B1203" i="1" s="1"/>
  <c r="C1190" i="1"/>
  <c r="B1190" i="1" s="1"/>
  <c r="C1183" i="1"/>
  <c r="B1183" i="1" s="1"/>
  <c r="C1175" i="1"/>
  <c r="B1175" i="1" s="1"/>
  <c r="C1167" i="1"/>
  <c r="B1167" i="1" s="1"/>
  <c r="C1159" i="1"/>
  <c r="B1159" i="1" s="1"/>
  <c r="C1192" i="1"/>
  <c r="B1192" i="1" s="1"/>
  <c r="C1184" i="1"/>
  <c r="B1184" i="1" s="1"/>
  <c r="C1182" i="1"/>
  <c r="B1182" i="1" s="1"/>
  <c r="C1180" i="1"/>
  <c r="B1180" i="1" s="1"/>
  <c r="C1176" i="1"/>
  <c r="B1176" i="1" s="1"/>
  <c r="C1174" i="1"/>
  <c r="B1174" i="1" s="1"/>
  <c r="C1172" i="1"/>
  <c r="B1172" i="1" s="1"/>
  <c r="C1168" i="1"/>
  <c r="B1168" i="1" s="1"/>
  <c r="C1166" i="1"/>
  <c r="B1166" i="1" s="1"/>
  <c r="C1217" i="1"/>
  <c r="B1217" i="1" s="1"/>
  <c r="C1216" i="1"/>
  <c r="B1216" i="1" s="1"/>
  <c r="C1151" i="1"/>
  <c r="B1151" i="1" s="1"/>
  <c r="C1143" i="1"/>
  <c r="B1143" i="1" s="1"/>
  <c r="C1209" i="1"/>
  <c r="B1209" i="1" s="1"/>
  <c r="C1201" i="1"/>
  <c r="B1201" i="1" s="1"/>
  <c r="C1214" i="1"/>
  <c r="B1214" i="1" s="1"/>
  <c r="C1208" i="1"/>
  <c r="B1208" i="1" s="1"/>
  <c r="C1200" i="1"/>
  <c r="B1200" i="1" s="1"/>
  <c r="C1231" i="1"/>
  <c r="B1231" i="1" s="1"/>
  <c r="C1193" i="1"/>
  <c r="B1193" i="1" s="1"/>
  <c r="C1188" i="1"/>
  <c r="B1188" i="1" s="1"/>
  <c r="C1179" i="1"/>
  <c r="B1179" i="1" s="1"/>
  <c r="C1161" i="1"/>
  <c r="B1161" i="1" s="1"/>
  <c r="C1156" i="1"/>
  <c r="B1156" i="1" s="1"/>
  <c r="C1152" i="1"/>
  <c r="B1152" i="1" s="1"/>
  <c r="C1187" i="1"/>
  <c r="B1187" i="1" s="1"/>
  <c r="C1181" i="1"/>
  <c r="B1181" i="1" s="1"/>
  <c r="C1148" i="1"/>
  <c r="B1148" i="1" s="1"/>
  <c r="C1145" i="1"/>
  <c r="B1145" i="1" s="1"/>
  <c r="C1140" i="1"/>
  <c r="B1140" i="1" s="1"/>
  <c r="C1165" i="1"/>
  <c r="B1165" i="1" s="1"/>
  <c r="C1160" i="1"/>
  <c r="B1160" i="1" s="1"/>
  <c r="C1195" i="1"/>
  <c r="B1195" i="1" s="1"/>
  <c r="C1150" i="1"/>
  <c r="B1150" i="1" s="1"/>
  <c r="C1147" i="1"/>
  <c r="B1147" i="1" s="1"/>
  <c r="C1139" i="1"/>
  <c r="B1139" i="1" s="1"/>
  <c r="C1164" i="1"/>
  <c r="B1164" i="1" s="1"/>
  <c r="C1144" i="1"/>
  <c r="B1144" i="1" s="1"/>
  <c r="C1135" i="1"/>
  <c r="B1135" i="1" s="1"/>
  <c r="C1127" i="1"/>
  <c r="B1127" i="1" s="1"/>
  <c r="C1119" i="1"/>
  <c r="B1119" i="1" s="1"/>
  <c r="C1185" i="1"/>
  <c r="B1185" i="1" s="1"/>
  <c r="C1173" i="1"/>
  <c r="B1173" i="1" s="1"/>
  <c r="C1163" i="1"/>
  <c r="B1163" i="1" s="1"/>
  <c r="C1158" i="1"/>
  <c r="B1158" i="1" s="1"/>
  <c r="C1171" i="1"/>
  <c r="B1171" i="1" s="1"/>
  <c r="C1090" i="1"/>
  <c r="B1090" i="1" s="1"/>
  <c r="C1082" i="1"/>
  <c r="B1082" i="1" s="1"/>
  <c r="C1109" i="1"/>
  <c r="B1109" i="1" s="1"/>
  <c r="C1105" i="1"/>
  <c r="B1105" i="1" s="1"/>
  <c r="C1103" i="1"/>
  <c r="B1103" i="1" s="1"/>
  <c r="C1101" i="1"/>
  <c r="B1101" i="1" s="1"/>
  <c r="C1097" i="1"/>
  <c r="B1097" i="1" s="1"/>
  <c r="C1095" i="1"/>
  <c r="B1095" i="1" s="1"/>
  <c r="C1093" i="1"/>
  <c r="B1093" i="1" s="1"/>
  <c r="C1088" i="1"/>
  <c r="B1088" i="1" s="1"/>
  <c r="C1080" i="1"/>
  <c r="B1080" i="1" s="1"/>
  <c r="C1149" i="1"/>
  <c r="B1149" i="1" s="1"/>
  <c r="C1107" i="1"/>
  <c r="B1107" i="1" s="1"/>
  <c r="C1099" i="1"/>
  <c r="B1099" i="1" s="1"/>
  <c r="C1091" i="1"/>
  <c r="B1091" i="1" s="1"/>
  <c r="C1083" i="1"/>
  <c r="B1083" i="1" s="1"/>
  <c r="C1075" i="1"/>
  <c r="B1075" i="1" s="1"/>
  <c r="C1067" i="1"/>
  <c r="B1067" i="1" s="1"/>
  <c r="C1059" i="1"/>
  <c r="B1059" i="1" s="1"/>
  <c r="C1051" i="1"/>
  <c r="B1051" i="1" s="1"/>
  <c r="C1111" i="1"/>
  <c r="B1111" i="1" s="1"/>
  <c r="C1153" i="1"/>
  <c r="B1153" i="1" s="1"/>
  <c r="C1121" i="1"/>
  <c r="B1121" i="1" s="1"/>
  <c r="C1076" i="1"/>
  <c r="B1076" i="1" s="1"/>
  <c r="C1068" i="1"/>
  <c r="B1068" i="1" s="1"/>
  <c r="C1060" i="1"/>
  <c r="B1060" i="1" s="1"/>
  <c r="C1052" i="1"/>
  <c r="B1052" i="1" s="1"/>
  <c r="C1010" i="1"/>
  <c r="B1010" i="1" s="1"/>
  <c r="C1002" i="1"/>
  <c r="B1002" i="1" s="1"/>
  <c r="C1108" i="1"/>
  <c r="B1108" i="1" s="1"/>
  <c r="C1104" i="1"/>
  <c r="B1104" i="1" s="1"/>
  <c r="C1100" i="1"/>
  <c r="B1100" i="1" s="1"/>
  <c r="C1096" i="1"/>
  <c r="B1096" i="1" s="1"/>
  <c r="C1072" i="1"/>
  <c r="B1072" i="1" s="1"/>
  <c r="C1064" i="1"/>
  <c r="B1064" i="1" s="1"/>
  <c r="C1056" i="1"/>
  <c r="B1056" i="1" s="1"/>
  <c r="C1081" i="1"/>
  <c r="B1081" i="1" s="1"/>
  <c r="C1092" i="1"/>
  <c r="B1092" i="1" s="1"/>
  <c r="C1084" i="1"/>
  <c r="B1084" i="1" s="1"/>
  <c r="C1043" i="1"/>
  <c r="B1043" i="1" s="1"/>
  <c r="C1079" i="1"/>
  <c r="B1079" i="1" s="1"/>
  <c r="C1106" i="1"/>
  <c r="B1106" i="1" s="1"/>
  <c r="C1098" i="1"/>
  <c r="B1098" i="1" s="1"/>
  <c r="C1074" i="1"/>
  <c r="B1074" i="1" s="1"/>
  <c r="C1066" i="1"/>
  <c r="B1066" i="1" s="1"/>
  <c r="C1058" i="1"/>
  <c r="B1058" i="1" s="1"/>
  <c r="C1087" i="1"/>
  <c r="B1087" i="1" s="1"/>
  <c r="C1036" i="1"/>
  <c r="B1036" i="1" s="1"/>
  <c r="C1028" i="1"/>
  <c r="B1028" i="1" s="1"/>
  <c r="C1020" i="1"/>
  <c r="B1020" i="1" s="1"/>
  <c r="C1012" i="1"/>
  <c r="B1012" i="1" s="1"/>
  <c r="C991" i="1"/>
  <c r="B991" i="1" s="1"/>
  <c r="C975" i="1"/>
  <c r="B975" i="1" s="1"/>
  <c r="C970" i="1"/>
  <c r="B970" i="1" s="1"/>
  <c r="C1050" i="1"/>
  <c r="B1050" i="1" s="1"/>
  <c r="C1042" i="1"/>
  <c r="B1042" i="1" s="1"/>
  <c r="C1035" i="1"/>
  <c r="B1035" i="1" s="1"/>
  <c r="C1034" i="1"/>
  <c r="B1034" i="1" s="1"/>
  <c r="C969" i="1"/>
  <c r="B969" i="1" s="1"/>
  <c r="C956" i="1"/>
  <c r="B956" i="1" s="1"/>
  <c r="C1073" i="1"/>
  <c r="B1073" i="1" s="1"/>
  <c r="C1057" i="1"/>
  <c r="B1057" i="1" s="1"/>
  <c r="C1047" i="1"/>
  <c r="B1047" i="1" s="1"/>
  <c r="C987" i="1"/>
  <c r="B987" i="1" s="1"/>
  <c r="C986" i="1"/>
  <c r="B986" i="1" s="1"/>
  <c r="C979" i="1"/>
  <c r="B979" i="1" s="1"/>
  <c r="C963" i="1"/>
  <c r="B963" i="1" s="1"/>
  <c r="C949" i="1"/>
  <c r="B949" i="1" s="1"/>
  <c r="C1027" i="1"/>
  <c r="B1027" i="1" s="1"/>
  <c r="C1026" i="1"/>
  <c r="B1026" i="1" s="1"/>
  <c r="C1016" i="1"/>
  <c r="B1016" i="1" s="1"/>
  <c r="C1003" i="1"/>
  <c r="B1003" i="1" s="1"/>
  <c r="C1001" i="1"/>
  <c r="B1001" i="1" s="1"/>
  <c r="C985" i="1"/>
  <c r="B985" i="1" s="1"/>
  <c r="C1039" i="1"/>
  <c r="B1039" i="1" s="1"/>
  <c r="C999" i="1"/>
  <c r="B999" i="1" s="1"/>
  <c r="C983" i="1"/>
  <c r="B983" i="1" s="1"/>
  <c r="C978" i="1"/>
  <c r="B978" i="1" s="1"/>
  <c r="C967" i="1"/>
  <c r="B967" i="1" s="1"/>
  <c r="C962" i="1"/>
  <c r="B962" i="1" s="1"/>
  <c r="C954" i="1"/>
  <c r="B954" i="1" s="1"/>
  <c r="C948" i="1"/>
  <c r="B948" i="1" s="1"/>
  <c r="C1019" i="1"/>
  <c r="B1019" i="1" s="1"/>
  <c r="C1018" i="1"/>
  <c r="B1018" i="1" s="1"/>
  <c r="C1007" i="1"/>
  <c r="B1007" i="1" s="1"/>
  <c r="C977" i="1"/>
  <c r="B977" i="1" s="1"/>
  <c r="C958" i="1"/>
  <c r="B958" i="1" s="1"/>
  <c r="C1065" i="1"/>
  <c r="B1065" i="1" s="1"/>
  <c r="C1031" i="1"/>
  <c r="B1031" i="1" s="1"/>
  <c r="C1009" i="1"/>
  <c r="B1009" i="1" s="1"/>
  <c r="C995" i="1"/>
  <c r="B995" i="1" s="1"/>
  <c r="C994" i="1"/>
  <c r="B994" i="1" s="1"/>
  <c r="C971" i="1"/>
  <c r="B971" i="1" s="1"/>
  <c r="C1011" i="1"/>
  <c r="B1011" i="1" s="1"/>
  <c r="C993" i="1"/>
  <c r="B993" i="1" s="1"/>
  <c r="C957" i="1"/>
  <c r="B957" i="1" s="1"/>
  <c r="C950" i="1"/>
  <c r="B950" i="1" s="1"/>
  <c r="C946" i="1"/>
  <c r="B946" i="1" s="1"/>
  <c r="C926" i="1"/>
  <c r="B926" i="1" s="1"/>
  <c r="C917" i="1"/>
  <c r="B917" i="1" s="1"/>
  <c r="C909" i="1"/>
  <c r="B909" i="1" s="1"/>
  <c r="C901" i="1"/>
  <c r="B901" i="1" s="1"/>
  <c r="C947" i="1"/>
  <c r="B947" i="1" s="1"/>
  <c r="C935" i="1"/>
  <c r="B935" i="1" s="1"/>
  <c r="C864" i="1"/>
  <c r="B864" i="1" s="1"/>
  <c r="C862" i="1"/>
  <c r="B862" i="1" s="1"/>
  <c r="C858" i="1"/>
  <c r="B858" i="1" s="1"/>
  <c r="C856" i="1"/>
  <c r="B856" i="1" s="1"/>
  <c r="C854" i="1"/>
  <c r="B854" i="1" s="1"/>
  <c r="C850" i="1"/>
  <c r="B850" i="1" s="1"/>
  <c r="C848" i="1"/>
  <c r="B848" i="1" s="1"/>
  <c r="C846" i="1"/>
  <c r="B846" i="1" s="1"/>
  <c r="C842" i="1"/>
  <c r="B842" i="1" s="1"/>
  <c r="C837" i="1"/>
  <c r="B837" i="1" s="1"/>
  <c r="C829" i="1"/>
  <c r="B829" i="1" s="1"/>
  <c r="C821" i="1"/>
  <c r="B821" i="1" s="1"/>
  <c r="C934" i="1"/>
  <c r="B934" i="1" s="1"/>
  <c r="C892" i="1"/>
  <c r="B892" i="1" s="1"/>
  <c r="C884" i="1"/>
  <c r="B884" i="1" s="1"/>
  <c r="C876" i="1"/>
  <c r="B876" i="1" s="1"/>
  <c r="C868" i="1"/>
  <c r="B868" i="1" s="1"/>
  <c r="C860" i="1"/>
  <c r="B860" i="1" s="1"/>
  <c r="C852" i="1"/>
  <c r="B852" i="1" s="1"/>
  <c r="C844" i="1"/>
  <c r="B844" i="1" s="1"/>
  <c r="C824" i="1"/>
  <c r="B824" i="1" s="1"/>
  <c r="C816" i="1"/>
  <c r="B816" i="1" s="1"/>
  <c r="C808" i="1"/>
  <c r="B808" i="1" s="1"/>
  <c r="C800" i="1"/>
  <c r="B800" i="1" s="1"/>
  <c r="C792" i="1"/>
  <c r="B792" i="1" s="1"/>
  <c r="C784" i="1"/>
  <c r="B784" i="1" s="1"/>
  <c r="C776" i="1"/>
  <c r="B776" i="1" s="1"/>
  <c r="C943" i="1"/>
  <c r="B943" i="1" s="1"/>
  <c r="C942" i="1"/>
  <c r="B942" i="1" s="1"/>
  <c r="C940" i="1"/>
  <c r="B940" i="1" s="1"/>
  <c r="C941" i="1"/>
  <c r="B941" i="1" s="1"/>
  <c r="C938" i="1"/>
  <c r="B938" i="1" s="1"/>
  <c r="C933" i="1"/>
  <c r="B933" i="1" s="1"/>
  <c r="C932" i="1"/>
  <c r="B932" i="1" s="1"/>
  <c r="C939" i="1"/>
  <c r="B939" i="1" s="1"/>
  <c r="C927" i="1"/>
  <c r="B927" i="1" s="1"/>
  <c r="C923" i="1"/>
  <c r="B923" i="1" s="1"/>
  <c r="C918" i="1"/>
  <c r="B918" i="1" s="1"/>
  <c r="C915" i="1"/>
  <c r="B915" i="1" s="1"/>
  <c r="C910" i="1"/>
  <c r="B910" i="1" s="1"/>
  <c r="C907" i="1"/>
  <c r="B907" i="1" s="1"/>
  <c r="C902" i="1"/>
  <c r="B902" i="1" s="1"/>
  <c r="C899" i="1"/>
  <c r="B899" i="1" s="1"/>
  <c r="C834" i="1"/>
  <c r="B834" i="1" s="1"/>
  <c r="C826" i="1"/>
  <c r="B826" i="1" s="1"/>
  <c r="C931" i="1"/>
  <c r="B931" i="1" s="1"/>
  <c r="C857" i="1"/>
  <c r="B857" i="1" s="1"/>
  <c r="C841" i="1"/>
  <c r="B841" i="1" s="1"/>
  <c r="C833" i="1"/>
  <c r="B833" i="1" s="1"/>
  <c r="C825" i="1"/>
  <c r="B825" i="1" s="1"/>
  <c r="C818" i="1"/>
  <c r="B818" i="1" s="1"/>
  <c r="C813" i="1"/>
  <c r="B813" i="1" s="1"/>
  <c r="C904" i="1"/>
  <c r="B904" i="1" s="1"/>
  <c r="C861" i="1"/>
  <c r="B861" i="1" s="1"/>
  <c r="C845" i="1"/>
  <c r="B845" i="1" s="1"/>
  <c r="C815" i="1"/>
  <c r="B815" i="1" s="1"/>
  <c r="C807" i="1"/>
  <c r="B807" i="1" s="1"/>
  <c r="C799" i="1"/>
  <c r="B799" i="1" s="1"/>
  <c r="C791" i="1"/>
  <c r="B791" i="1" s="1"/>
  <c r="C912" i="1"/>
  <c r="B912" i="1" s="1"/>
  <c r="C849" i="1"/>
  <c r="B849" i="1" s="1"/>
  <c r="C817" i="1"/>
  <c r="B817" i="1" s="1"/>
  <c r="C809" i="1"/>
  <c r="B809" i="1" s="1"/>
  <c r="C801" i="1"/>
  <c r="B801" i="1" s="1"/>
  <c r="C930" i="1"/>
  <c r="B930" i="1" s="1"/>
  <c r="C805" i="1"/>
  <c r="B805" i="1" s="1"/>
  <c r="C797" i="1"/>
  <c r="B797" i="1" s="1"/>
  <c r="C752" i="1"/>
  <c r="B752" i="1" s="1"/>
  <c r="C744" i="1"/>
  <c r="B744" i="1" s="1"/>
  <c r="C736" i="1"/>
  <c r="B736" i="1" s="1"/>
  <c r="C728" i="1"/>
  <c r="B728" i="1" s="1"/>
  <c r="C830" i="1"/>
  <c r="B830" i="1" s="1"/>
  <c r="C810" i="1"/>
  <c r="B810" i="1" s="1"/>
  <c r="C777" i="1"/>
  <c r="B777" i="1" s="1"/>
  <c r="C767" i="1"/>
  <c r="B767" i="1" s="1"/>
  <c r="C759" i="1"/>
  <c r="B759" i="1" s="1"/>
  <c r="C749" i="1"/>
  <c r="B749" i="1" s="1"/>
  <c r="C746" i="1"/>
  <c r="B746" i="1" s="1"/>
  <c r="C741" i="1"/>
  <c r="B741" i="1" s="1"/>
  <c r="C738" i="1"/>
  <c r="B738" i="1" s="1"/>
  <c r="C853" i="1"/>
  <c r="B853" i="1" s="1"/>
  <c r="C793" i="1"/>
  <c r="B793" i="1" s="1"/>
  <c r="C920" i="1"/>
  <c r="B920" i="1" s="1"/>
  <c r="C781" i="1"/>
  <c r="B781" i="1" s="1"/>
  <c r="C775" i="1"/>
  <c r="B775" i="1" s="1"/>
  <c r="C703" i="1"/>
  <c r="B703" i="1" s="1"/>
  <c r="C694" i="1"/>
  <c r="B694" i="1" s="1"/>
  <c r="C780" i="1"/>
  <c r="B780" i="1" s="1"/>
  <c r="C838" i="1"/>
  <c r="B838" i="1" s="1"/>
  <c r="C822" i="1"/>
  <c r="B822" i="1" s="1"/>
  <c r="C785" i="1"/>
  <c r="B785" i="1" s="1"/>
  <c r="C769" i="1"/>
  <c r="B769" i="1" s="1"/>
  <c r="C765" i="1"/>
  <c r="B765" i="1" s="1"/>
  <c r="C761" i="1"/>
  <c r="B761" i="1" s="1"/>
  <c r="C757" i="1"/>
  <c r="B757" i="1" s="1"/>
  <c r="C753" i="1"/>
  <c r="B753" i="1" s="1"/>
  <c r="C750" i="1"/>
  <c r="B750" i="1" s="1"/>
  <c r="C745" i="1"/>
  <c r="B745" i="1" s="1"/>
  <c r="C742" i="1"/>
  <c r="B742" i="1" s="1"/>
  <c r="C778" i="1"/>
  <c r="B778" i="1" s="1"/>
  <c r="C802" i="1"/>
  <c r="B802" i="1" s="1"/>
  <c r="C789" i="1"/>
  <c r="B789" i="1" s="1"/>
  <c r="C783" i="1"/>
  <c r="B783" i="1" s="1"/>
  <c r="C773" i="1"/>
  <c r="B773" i="1" s="1"/>
  <c r="C768" i="1"/>
  <c r="B768" i="1" s="1"/>
  <c r="C760" i="1"/>
  <c r="B760" i="1" s="1"/>
  <c r="C770" i="1"/>
  <c r="B770" i="1" s="1"/>
  <c r="C754" i="1"/>
  <c r="B754" i="1" s="1"/>
  <c r="C714" i="1"/>
  <c r="B714" i="1" s="1"/>
  <c r="C726" i="1"/>
  <c r="B726" i="1" s="1"/>
  <c r="C692" i="1"/>
  <c r="B692" i="1" s="1"/>
  <c r="C690" i="1"/>
  <c r="B690" i="1" s="1"/>
  <c r="C688" i="1"/>
  <c r="B688" i="1" s="1"/>
  <c r="C684" i="1"/>
  <c r="B684" i="1" s="1"/>
  <c r="C682" i="1"/>
  <c r="B682" i="1" s="1"/>
  <c r="C680" i="1"/>
  <c r="B680" i="1" s="1"/>
  <c r="C676" i="1"/>
  <c r="B676" i="1" s="1"/>
  <c r="C674" i="1"/>
  <c r="B674" i="1" s="1"/>
  <c r="C672" i="1"/>
  <c r="B672" i="1" s="1"/>
  <c r="C668" i="1"/>
  <c r="B668" i="1" s="1"/>
  <c r="C666" i="1"/>
  <c r="B666" i="1" s="1"/>
  <c r="C664" i="1"/>
  <c r="B664" i="1" s="1"/>
  <c r="C660" i="1"/>
  <c r="B660" i="1" s="1"/>
  <c r="C658" i="1"/>
  <c r="B658" i="1" s="1"/>
  <c r="C656" i="1"/>
  <c r="B656" i="1" s="1"/>
  <c r="C652" i="1"/>
  <c r="B652" i="1" s="1"/>
  <c r="C758" i="1"/>
  <c r="B758" i="1" s="1"/>
  <c r="C737" i="1"/>
  <c r="B737" i="1" s="1"/>
  <c r="C713" i="1"/>
  <c r="B713" i="1" s="1"/>
  <c r="C709" i="1"/>
  <c r="B709" i="1" s="1"/>
  <c r="C702" i="1"/>
  <c r="B702" i="1" s="1"/>
  <c r="C686" i="1"/>
  <c r="B686" i="1" s="1"/>
  <c r="C678" i="1"/>
  <c r="B678" i="1" s="1"/>
  <c r="C670" i="1"/>
  <c r="B670" i="1" s="1"/>
  <c r="C662" i="1"/>
  <c r="B662" i="1" s="1"/>
  <c r="C654" i="1"/>
  <c r="B654" i="1" s="1"/>
  <c r="C646" i="1"/>
  <c r="B646" i="1" s="1"/>
  <c r="C734" i="1"/>
  <c r="B734" i="1" s="1"/>
  <c r="C725" i="1"/>
  <c r="B725" i="1" s="1"/>
  <c r="C712" i="1"/>
  <c r="B712" i="1" s="1"/>
  <c r="C699" i="1"/>
  <c r="B699" i="1" s="1"/>
  <c r="C762" i="1"/>
  <c r="B762" i="1" s="1"/>
  <c r="C717" i="1"/>
  <c r="B717" i="1" s="1"/>
  <c r="C705" i="1"/>
  <c r="B705" i="1" s="1"/>
  <c r="C733" i="1"/>
  <c r="B733" i="1" s="1"/>
  <c r="C722" i="1"/>
  <c r="B722" i="1" s="1"/>
  <c r="C659" i="1"/>
  <c r="B659" i="1" s="1"/>
  <c r="C653" i="1"/>
  <c r="B653" i="1" s="1"/>
  <c r="C651" i="1"/>
  <c r="B651" i="1" s="1"/>
  <c r="C647" i="1"/>
  <c r="B647" i="1" s="1"/>
  <c r="C645" i="1"/>
  <c r="B645" i="1" s="1"/>
  <c r="C643" i="1"/>
  <c r="B643" i="1" s="1"/>
  <c r="C639" i="1"/>
  <c r="B639" i="1" s="1"/>
  <c r="C637" i="1"/>
  <c r="B637" i="1" s="1"/>
  <c r="C635" i="1"/>
  <c r="B635" i="1" s="1"/>
  <c r="C631" i="1"/>
  <c r="B631" i="1" s="1"/>
  <c r="C629" i="1"/>
  <c r="B629" i="1" s="1"/>
  <c r="C627" i="1"/>
  <c r="B627" i="1" s="1"/>
  <c r="C623" i="1"/>
  <c r="B623" i="1" s="1"/>
  <c r="C766" i="1"/>
  <c r="B766" i="1" s="1"/>
  <c r="C721" i="1"/>
  <c r="B721" i="1" s="1"/>
  <c r="C701" i="1"/>
  <c r="B701" i="1" s="1"/>
  <c r="C730" i="1"/>
  <c r="B730" i="1" s="1"/>
  <c r="C720" i="1"/>
  <c r="B720" i="1" s="1"/>
  <c r="C707" i="1"/>
  <c r="B707" i="1" s="1"/>
  <c r="C700" i="1"/>
  <c r="B700" i="1" s="1"/>
  <c r="C562" i="1"/>
  <c r="B562" i="1" s="1"/>
  <c r="C554" i="1"/>
  <c r="B554" i="1" s="1"/>
  <c r="C546" i="1"/>
  <c r="B546" i="1" s="1"/>
  <c r="C538" i="1"/>
  <c r="B538" i="1" s="1"/>
  <c r="C530" i="1"/>
  <c r="B530" i="1" s="1"/>
  <c r="C522" i="1"/>
  <c r="B522" i="1" s="1"/>
  <c r="C514" i="1"/>
  <c r="B514" i="1" s="1"/>
  <c r="C506" i="1"/>
  <c r="B506" i="1" s="1"/>
  <c r="C498" i="1"/>
  <c r="B498" i="1" s="1"/>
  <c r="C490" i="1"/>
  <c r="B490" i="1" s="1"/>
  <c r="C482" i="1"/>
  <c r="B482" i="1" s="1"/>
  <c r="C474" i="1"/>
  <c r="B474" i="1" s="1"/>
  <c r="C466" i="1"/>
  <c r="B466" i="1" s="1"/>
  <c r="C458" i="1"/>
  <c r="B458" i="1" s="1"/>
  <c r="C618" i="1"/>
  <c r="B618" i="1" s="1"/>
  <c r="C614" i="1"/>
  <c r="B614" i="1" s="1"/>
  <c r="C610" i="1"/>
  <c r="B610" i="1" s="1"/>
  <c r="C606" i="1"/>
  <c r="B606" i="1" s="1"/>
  <c r="C644" i="1"/>
  <c r="B644" i="1" s="1"/>
  <c r="C642" i="1"/>
  <c r="B642" i="1" s="1"/>
  <c r="C640" i="1"/>
  <c r="B640" i="1" s="1"/>
  <c r="C636" i="1"/>
  <c r="B636" i="1" s="1"/>
  <c r="C634" i="1"/>
  <c r="B634" i="1" s="1"/>
  <c r="C632" i="1"/>
  <c r="B632" i="1" s="1"/>
  <c r="C628" i="1"/>
  <c r="B628" i="1" s="1"/>
  <c r="C626" i="1"/>
  <c r="B626" i="1" s="1"/>
  <c r="C624" i="1"/>
  <c r="B624" i="1" s="1"/>
  <c r="C638" i="1"/>
  <c r="B638" i="1" s="1"/>
  <c r="C630" i="1"/>
  <c r="B630" i="1" s="1"/>
  <c r="C622" i="1"/>
  <c r="B622" i="1" s="1"/>
  <c r="C598" i="1"/>
  <c r="B598" i="1" s="1"/>
  <c r="C590" i="1"/>
  <c r="B590" i="1" s="1"/>
  <c r="C582" i="1"/>
  <c r="B582" i="1" s="1"/>
  <c r="C574" i="1"/>
  <c r="B574" i="1" s="1"/>
  <c r="C566" i="1"/>
  <c r="B566" i="1" s="1"/>
  <c r="C621" i="1"/>
  <c r="B621" i="1" s="1"/>
  <c r="C620" i="1"/>
  <c r="B620" i="1" s="1"/>
  <c r="C616" i="1"/>
  <c r="B616" i="1" s="1"/>
  <c r="C608" i="1"/>
  <c r="B608" i="1" s="1"/>
  <c r="C600" i="1"/>
  <c r="B600" i="1" s="1"/>
  <c r="C648" i="1"/>
  <c r="B648" i="1" s="1"/>
  <c r="C650" i="1"/>
  <c r="B650" i="1" s="1"/>
  <c r="C615" i="1"/>
  <c r="B615" i="1" s="1"/>
  <c r="C594" i="1"/>
  <c r="B594" i="1" s="1"/>
  <c r="C558" i="1"/>
  <c r="B558" i="1" s="1"/>
  <c r="C451" i="1"/>
  <c r="B451" i="1" s="1"/>
  <c r="C449" i="1"/>
  <c r="B449" i="1" s="1"/>
  <c r="C447" i="1"/>
  <c r="B447" i="1" s="1"/>
  <c r="C443" i="1"/>
  <c r="B443" i="1" s="1"/>
  <c r="C441" i="1"/>
  <c r="B441" i="1" s="1"/>
  <c r="C439" i="1"/>
  <c r="B439" i="1" s="1"/>
  <c r="C435" i="1"/>
  <c r="B435" i="1" s="1"/>
  <c r="C575" i="1"/>
  <c r="B575" i="1" s="1"/>
  <c r="C488" i="1"/>
  <c r="B488" i="1" s="1"/>
  <c r="C480" i="1"/>
  <c r="B480" i="1" s="1"/>
  <c r="C472" i="1"/>
  <c r="B472" i="1" s="1"/>
  <c r="C464" i="1"/>
  <c r="B464" i="1" s="1"/>
  <c r="C456" i="1"/>
  <c r="B456" i="1" s="1"/>
  <c r="C619" i="1"/>
  <c r="B619" i="1" s="1"/>
  <c r="C586" i="1"/>
  <c r="B586" i="1" s="1"/>
  <c r="C599" i="1"/>
  <c r="B599" i="1" s="1"/>
  <c r="C567" i="1"/>
  <c r="B567" i="1" s="1"/>
  <c r="C578" i="1"/>
  <c r="B578" i="1" s="1"/>
  <c r="C550" i="1"/>
  <c r="B550" i="1" s="1"/>
  <c r="C542" i="1"/>
  <c r="B542" i="1" s="1"/>
  <c r="C534" i="1"/>
  <c r="B534" i="1" s="1"/>
  <c r="C356" i="1"/>
  <c r="B356" i="1" s="1"/>
  <c r="C352" i="1"/>
  <c r="B352" i="1" s="1"/>
  <c r="C350" i="1"/>
  <c r="B350" i="1" s="1"/>
  <c r="C342" i="1"/>
  <c r="B342" i="1" s="1"/>
  <c r="C607" i="1"/>
  <c r="B607" i="1" s="1"/>
  <c r="C591" i="1"/>
  <c r="B591" i="1" s="1"/>
  <c r="C450" i="1"/>
  <c r="B450" i="1" s="1"/>
  <c r="C442" i="1"/>
  <c r="B442" i="1" s="1"/>
  <c r="C434" i="1"/>
  <c r="B434" i="1" s="1"/>
  <c r="C426" i="1"/>
  <c r="B426" i="1" s="1"/>
  <c r="C418" i="1"/>
  <c r="B418" i="1" s="1"/>
  <c r="C410" i="1"/>
  <c r="B410" i="1" s="1"/>
  <c r="C402" i="1"/>
  <c r="B402" i="1" s="1"/>
  <c r="C394" i="1"/>
  <c r="B394" i="1" s="1"/>
  <c r="C386" i="1"/>
  <c r="B386" i="1" s="1"/>
  <c r="C378" i="1"/>
  <c r="B378" i="1" s="1"/>
  <c r="C370" i="1"/>
  <c r="B370" i="1" s="1"/>
  <c r="C362" i="1"/>
  <c r="B362" i="1" s="1"/>
  <c r="C354" i="1"/>
  <c r="B354" i="1" s="1"/>
  <c r="C611" i="1"/>
  <c r="B611" i="1" s="1"/>
  <c r="C603" i="1"/>
  <c r="B603" i="1" s="1"/>
  <c r="C570" i="1"/>
  <c r="B570" i="1" s="1"/>
  <c r="C548" i="1"/>
  <c r="B548" i="1" s="1"/>
  <c r="C540" i="1"/>
  <c r="B540" i="1" s="1"/>
  <c r="C602" i="1"/>
  <c r="B602" i="1" s="1"/>
  <c r="C583" i="1"/>
  <c r="B583" i="1" s="1"/>
  <c r="C532" i="1"/>
  <c r="B532" i="1" s="1"/>
  <c r="C528" i="1"/>
  <c r="B528" i="1" s="1"/>
  <c r="C524" i="1"/>
  <c r="B524" i="1" s="1"/>
  <c r="C520" i="1"/>
  <c r="B520" i="1" s="1"/>
  <c r="C516" i="1"/>
  <c r="B516" i="1" s="1"/>
  <c r="C512" i="1"/>
  <c r="B512" i="1" s="1"/>
  <c r="C508" i="1"/>
  <c r="B508" i="1" s="1"/>
  <c r="C504" i="1"/>
  <c r="B504" i="1" s="1"/>
  <c r="C500" i="1"/>
  <c r="B500" i="1" s="1"/>
  <c r="C496" i="1"/>
  <c r="B496" i="1" s="1"/>
  <c r="C492" i="1"/>
  <c r="B492" i="1" s="1"/>
  <c r="C486" i="1"/>
  <c r="B486" i="1" s="1"/>
  <c r="C483" i="1"/>
  <c r="B483" i="1" s="1"/>
  <c r="C478" i="1"/>
  <c r="B478" i="1" s="1"/>
  <c r="C475" i="1"/>
  <c r="B475" i="1" s="1"/>
  <c r="C467" i="1"/>
  <c r="B467" i="1" s="1"/>
  <c r="C459" i="1"/>
  <c r="B459" i="1" s="1"/>
  <c r="C377" i="1"/>
  <c r="B377" i="1" s="1"/>
  <c r="C361" i="1"/>
  <c r="B361" i="1" s="1"/>
  <c r="C347" i="1"/>
  <c r="B347" i="1" s="1"/>
  <c r="C395" i="1"/>
  <c r="B395" i="1" s="1"/>
  <c r="C346" i="1"/>
  <c r="B346" i="1" s="1"/>
  <c r="C433" i="1"/>
  <c r="B433" i="1" s="1"/>
  <c r="C431" i="1"/>
  <c r="B431" i="1" s="1"/>
  <c r="C427" i="1"/>
  <c r="B427" i="1" s="1"/>
  <c r="C425" i="1"/>
  <c r="B425" i="1" s="1"/>
  <c r="C423" i="1"/>
  <c r="B423" i="1" s="1"/>
  <c r="C419" i="1"/>
  <c r="B419" i="1" s="1"/>
  <c r="C417" i="1"/>
  <c r="B417" i="1" s="1"/>
  <c r="C415" i="1"/>
  <c r="B415" i="1" s="1"/>
  <c r="C411" i="1"/>
  <c r="B411" i="1" s="1"/>
  <c r="C409" i="1"/>
  <c r="B409" i="1" s="1"/>
  <c r="C407" i="1"/>
  <c r="B407" i="1" s="1"/>
  <c r="C403" i="1"/>
  <c r="B403" i="1" s="1"/>
  <c r="C333" i="1"/>
  <c r="B333" i="1" s="1"/>
  <c r="C325" i="1"/>
  <c r="B325" i="1" s="1"/>
  <c r="C317" i="1"/>
  <c r="B317" i="1" s="1"/>
  <c r="C309" i="1"/>
  <c r="B309" i="1" s="1"/>
  <c r="C301" i="1"/>
  <c r="B301" i="1" s="1"/>
  <c r="C293" i="1"/>
  <c r="B293" i="1" s="1"/>
  <c r="C401" i="1"/>
  <c r="B401" i="1" s="1"/>
  <c r="C393" i="1"/>
  <c r="B393" i="1" s="1"/>
  <c r="C349" i="1"/>
  <c r="B349" i="1" s="1"/>
  <c r="C341" i="1"/>
  <c r="B341" i="1" s="1"/>
  <c r="C385" i="1"/>
  <c r="B385" i="1" s="1"/>
  <c r="C369" i="1"/>
  <c r="B369" i="1" s="1"/>
  <c r="C353" i="1"/>
  <c r="B353" i="1" s="1"/>
  <c r="C335" i="1"/>
  <c r="B335" i="1" s="1"/>
  <c r="C399" i="1"/>
  <c r="B399" i="1" s="1"/>
  <c r="C391" i="1"/>
  <c r="B391" i="1" s="1"/>
  <c r="C282" i="1"/>
  <c r="B282" i="1" s="1"/>
  <c r="C280" i="1"/>
  <c r="B280" i="1" s="1"/>
  <c r="C276" i="1"/>
  <c r="B276" i="1" s="1"/>
  <c r="C274" i="1"/>
  <c r="B274" i="1" s="1"/>
  <c r="C272" i="1"/>
  <c r="B272" i="1" s="1"/>
  <c r="C268" i="1"/>
  <c r="B268" i="1" s="1"/>
  <c r="C266" i="1"/>
  <c r="B266" i="1" s="1"/>
  <c r="C264" i="1"/>
  <c r="B264" i="1" s="1"/>
  <c r="C260" i="1"/>
  <c r="B260" i="1" s="1"/>
  <c r="C258" i="1"/>
  <c r="B258" i="1" s="1"/>
  <c r="C256" i="1"/>
  <c r="B256" i="1" s="1"/>
  <c r="C252" i="1"/>
  <c r="B252" i="1" s="1"/>
  <c r="C250" i="1"/>
  <c r="B250" i="1" s="1"/>
  <c r="C248" i="1"/>
  <c r="B248" i="1" s="1"/>
  <c r="C244" i="1"/>
  <c r="B244" i="1" s="1"/>
  <c r="C242" i="1"/>
  <c r="B242" i="1" s="1"/>
  <c r="C327" i="1"/>
  <c r="B327" i="1" s="1"/>
  <c r="C319" i="1"/>
  <c r="B319" i="1" s="1"/>
  <c r="C318" i="1"/>
  <c r="B318" i="1" s="1"/>
  <c r="C307" i="1"/>
  <c r="B307" i="1" s="1"/>
  <c r="C278" i="1"/>
  <c r="B278" i="1" s="1"/>
  <c r="C270" i="1"/>
  <c r="B270" i="1" s="1"/>
  <c r="C262" i="1"/>
  <c r="B262" i="1" s="1"/>
  <c r="C254" i="1"/>
  <c r="B254" i="1" s="1"/>
  <c r="C243" i="1"/>
  <c r="B243" i="1" s="1"/>
  <c r="C236" i="1"/>
  <c r="B236" i="1" s="1"/>
  <c r="C277" i="1"/>
  <c r="B277" i="1" s="1"/>
  <c r="C269" i="1"/>
  <c r="B269" i="1" s="1"/>
  <c r="C261" i="1"/>
  <c r="B261" i="1" s="1"/>
  <c r="C253" i="1"/>
  <c r="B253" i="1" s="1"/>
  <c r="C231" i="1"/>
  <c r="B231" i="1" s="1"/>
  <c r="C311" i="1"/>
  <c r="B311" i="1" s="1"/>
  <c r="C310" i="1"/>
  <c r="B310" i="1" s="1"/>
  <c r="C299" i="1"/>
  <c r="B299" i="1" s="1"/>
  <c r="C288" i="1"/>
  <c r="B288" i="1" s="1"/>
  <c r="C287" i="1"/>
  <c r="B287" i="1" s="1"/>
  <c r="C286" i="1"/>
  <c r="B286" i="1" s="1"/>
  <c r="C246" i="1"/>
  <c r="B246" i="1" s="1"/>
  <c r="C240" i="1"/>
  <c r="B240" i="1" s="1"/>
  <c r="C238" i="1"/>
  <c r="B238" i="1" s="1"/>
  <c r="C224" i="1"/>
  <c r="B224" i="1" s="1"/>
  <c r="C222" i="1"/>
  <c r="B222" i="1" s="1"/>
  <c r="C208" i="1"/>
  <c r="B208" i="1" s="1"/>
  <c r="C204" i="1"/>
  <c r="B204" i="1" s="1"/>
  <c r="C202" i="1"/>
  <c r="B202" i="1" s="1"/>
  <c r="C200" i="1"/>
  <c r="B200" i="1" s="1"/>
  <c r="C196" i="1"/>
  <c r="B196" i="1" s="1"/>
  <c r="C194" i="1"/>
  <c r="B194" i="1" s="1"/>
  <c r="C192" i="1"/>
  <c r="B192" i="1" s="1"/>
  <c r="C188" i="1"/>
  <c r="B188" i="1" s="1"/>
  <c r="C334" i="1"/>
  <c r="B334" i="1" s="1"/>
  <c r="C285" i="1"/>
  <c r="B285" i="1" s="1"/>
  <c r="C226" i="1"/>
  <c r="B226" i="1" s="1"/>
  <c r="C210" i="1"/>
  <c r="B210" i="1" s="1"/>
  <c r="C323" i="1"/>
  <c r="B323" i="1" s="1"/>
  <c r="C303" i="1"/>
  <c r="B303" i="1" s="1"/>
  <c r="C302" i="1"/>
  <c r="B302" i="1" s="1"/>
  <c r="C291" i="1"/>
  <c r="B291" i="1" s="1"/>
  <c r="C228" i="1"/>
  <c r="B228" i="1" s="1"/>
  <c r="C212" i="1"/>
  <c r="B212" i="1" s="1"/>
  <c r="C339" i="1"/>
  <c r="B339" i="1" s="1"/>
  <c r="C283" i="1"/>
  <c r="B283" i="1" s="1"/>
  <c r="C279" i="1"/>
  <c r="B279" i="1" s="1"/>
  <c r="C275" i="1"/>
  <c r="B275" i="1" s="1"/>
  <c r="C271" i="1"/>
  <c r="B271" i="1" s="1"/>
  <c r="C267" i="1"/>
  <c r="B267" i="1" s="1"/>
  <c r="C263" i="1"/>
  <c r="B263" i="1" s="1"/>
  <c r="C259" i="1"/>
  <c r="B259" i="1" s="1"/>
  <c r="C255" i="1"/>
  <c r="B255" i="1" s="1"/>
  <c r="C251" i="1"/>
  <c r="B251" i="1" s="1"/>
  <c r="C331" i="1"/>
  <c r="B331" i="1" s="1"/>
  <c r="C315" i="1"/>
  <c r="B315" i="1" s="1"/>
  <c r="C295" i="1"/>
  <c r="B295" i="1" s="1"/>
  <c r="C294" i="1"/>
  <c r="B294" i="1" s="1"/>
  <c r="C247" i="1"/>
  <c r="B247" i="1" s="1"/>
  <c r="C232" i="1"/>
  <c r="B232" i="1" s="1"/>
  <c r="C230" i="1"/>
  <c r="B230" i="1" s="1"/>
  <c r="C216" i="1"/>
  <c r="B216" i="1" s="1"/>
  <c r="C214" i="1"/>
  <c r="B214" i="1" s="1"/>
  <c r="C326" i="1"/>
  <c r="B326" i="1" s="1"/>
  <c r="C234" i="1"/>
  <c r="B234" i="1" s="1"/>
  <c r="C218" i="1"/>
  <c r="B218" i="1" s="1"/>
  <c r="C203" i="1"/>
  <c r="B203" i="1" s="1"/>
  <c r="C195" i="1"/>
  <c r="B195" i="1" s="1"/>
  <c r="C187" i="1"/>
  <c r="B187" i="1" s="1"/>
  <c r="C179" i="1"/>
  <c r="B179" i="1" s="1"/>
  <c r="C171" i="1"/>
  <c r="B171" i="1" s="1"/>
  <c r="C163" i="1"/>
  <c r="B163" i="1" s="1"/>
  <c r="C155" i="1"/>
  <c r="B155" i="1" s="1"/>
  <c r="C147" i="1"/>
  <c r="B147" i="1" s="1"/>
  <c r="C139" i="1"/>
  <c r="B139" i="1" s="1"/>
  <c r="C131" i="1"/>
  <c r="B131" i="1" s="1"/>
  <c r="C123" i="1"/>
  <c r="B123" i="1" s="1"/>
  <c r="E36" i="1"/>
  <c r="D36" i="1" s="1"/>
  <c r="I9" i="1"/>
  <c r="H9" i="1" s="1"/>
  <c r="G23" i="1"/>
  <c r="F23" i="1" s="1"/>
  <c r="G42" i="1"/>
  <c r="F42" i="1" s="1"/>
  <c r="C59" i="1"/>
  <c r="B59" i="1" s="1"/>
  <c r="I66" i="1"/>
  <c r="H66" i="1" s="1"/>
  <c r="G80" i="1"/>
  <c r="F80" i="1" s="1"/>
  <c r="E10" i="1"/>
  <c r="D10" i="1" s="1"/>
  <c r="I28" i="1"/>
  <c r="H28" i="1" s="1"/>
  <c r="I32" i="1"/>
  <c r="H32" i="1" s="1"/>
  <c r="I40" i="1"/>
  <c r="H40" i="1" s="1"/>
  <c r="G48" i="1"/>
  <c r="F48" i="1" s="1"/>
  <c r="C61" i="1"/>
  <c r="B61" i="1" s="1"/>
  <c r="I72" i="1"/>
  <c r="H72" i="1" s="1"/>
  <c r="I3" i="1"/>
  <c r="H3" i="1" s="1"/>
  <c r="E23" i="1"/>
  <c r="D23" i="1" s="1"/>
  <c r="E39" i="1"/>
  <c r="D39" i="1" s="1"/>
  <c r="I8" i="1"/>
  <c r="H8" i="1" s="1"/>
  <c r="C24" i="1"/>
  <c r="B24" i="1" s="1"/>
  <c r="C46" i="1"/>
  <c r="B46" i="1" s="1"/>
  <c r="I67" i="1"/>
  <c r="H67" i="1" s="1"/>
  <c r="C82" i="1"/>
  <c r="B82" i="1" s="1"/>
  <c r="I92" i="1"/>
  <c r="H92" i="1" s="1"/>
  <c r="G49" i="1"/>
  <c r="F49" i="1" s="1"/>
  <c r="E52" i="1"/>
  <c r="D52" i="1" s="1"/>
  <c r="G57" i="1"/>
  <c r="F57" i="1" s="1"/>
  <c r="E60" i="1"/>
  <c r="D60" i="1" s="1"/>
  <c r="C64" i="1"/>
  <c r="B64" i="1" s="1"/>
  <c r="E69" i="1"/>
  <c r="D69" i="1" s="1"/>
  <c r="C80" i="1"/>
  <c r="B80" i="1" s="1"/>
  <c r="E85" i="1"/>
  <c r="D85" i="1" s="1"/>
  <c r="C96" i="1"/>
  <c r="B96" i="1" s="1"/>
  <c r="E101" i="1"/>
  <c r="D101" i="1" s="1"/>
  <c r="C112" i="1"/>
  <c r="B112" i="1" s="1"/>
  <c r="E117" i="1"/>
  <c r="D117" i="1" s="1"/>
  <c r="G121" i="1"/>
  <c r="F121" i="1" s="1"/>
  <c r="G122" i="1"/>
  <c r="F122" i="1" s="1"/>
  <c r="C128" i="1"/>
  <c r="B128" i="1" s="1"/>
  <c r="I128" i="1"/>
  <c r="H128" i="1" s="1"/>
  <c r="E131" i="1"/>
  <c r="D131" i="1" s="1"/>
  <c r="C136" i="1"/>
  <c r="B136" i="1" s="1"/>
  <c r="I136" i="1"/>
  <c r="H136" i="1" s="1"/>
  <c r="G142" i="1"/>
  <c r="F142" i="1" s="1"/>
  <c r="E143" i="1"/>
  <c r="D143" i="1" s="1"/>
  <c r="C152" i="1"/>
  <c r="B152" i="1" s="1"/>
  <c r="I152" i="1"/>
  <c r="H152" i="1" s="1"/>
  <c r="G158" i="1"/>
  <c r="F158" i="1" s="1"/>
  <c r="E159" i="1"/>
  <c r="D159" i="1" s="1"/>
  <c r="C168" i="1"/>
  <c r="B168" i="1" s="1"/>
  <c r="I168" i="1"/>
  <c r="H168" i="1" s="1"/>
  <c r="G174" i="1"/>
  <c r="F174" i="1" s="1"/>
  <c r="E175" i="1"/>
  <c r="D175" i="1" s="1"/>
  <c r="C184" i="1"/>
  <c r="B184" i="1" s="1"/>
  <c r="I184" i="1"/>
  <c r="H184" i="1" s="1"/>
  <c r="C191" i="1"/>
  <c r="B191" i="1" s="1"/>
  <c r="E198" i="1"/>
  <c r="D198" i="1" s="1"/>
  <c r="E200" i="1"/>
  <c r="D200" i="1" s="1"/>
  <c r="I201" i="1"/>
  <c r="H201" i="1" s="1"/>
  <c r="E205" i="1"/>
  <c r="D205" i="1" s="1"/>
  <c r="G207" i="1"/>
  <c r="F207" i="1" s="1"/>
  <c r="I208" i="1"/>
  <c r="H208" i="1" s="1"/>
  <c r="G210" i="1"/>
  <c r="F210" i="1" s="1"/>
  <c r="E211" i="1"/>
  <c r="D211" i="1" s="1"/>
  <c r="I213" i="1"/>
  <c r="H213" i="1" s="1"/>
  <c r="G218" i="1"/>
  <c r="F218" i="1" s="1"/>
  <c r="I224" i="1"/>
  <c r="H224" i="1" s="1"/>
  <c r="G227" i="1"/>
  <c r="F227" i="1" s="1"/>
  <c r="G231" i="1"/>
  <c r="F231" i="1" s="1"/>
  <c r="G233" i="1"/>
  <c r="F233" i="1" s="1"/>
  <c r="E234" i="1"/>
  <c r="D234" i="1" s="1"/>
  <c r="C239" i="1"/>
  <c r="B239" i="1" s="1"/>
  <c r="I240" i="1"/>
  <c r="H240" i="1" s="1"/>
  <c r="I15" i="1"/>
  <c r="H15" i="1" s="1"/>
  <c r="C35" i="1"/>
  <c r="B35" i="1" s="1"/>
  <c r="C7" i="1"/>
  <c r="B7" i="1" s="1"/>
  <c r="G26" i="1"/>
  <c r="F26" i="1" s="1"/>
  <c r="C51" i="1"/>
  <c r="B51" i="1" s="1"/>
  <c r="G60" i="1"/>
  <c r="F60" i="1" s="1"/>
  <c r="C72" i="1"/>
  <c r="B72" i="1" s="1"/>
  <c r="E2" i="1"/>
  <c r="D2" i="1" s="1"/>
  <c r="I1437" i="1"/>
  <c r="H1437" i="1" s="1"/>
  <c r="I1429" i="1"/>
  <c r="H1429" i="1" s="1"/>
  <c r="I1421" i="1"/>
  <c r="H1421" i="1" s="1"/>
  <c r="I1413" i="1"/>
  <c r="H1413" i="1" s="1"/>
  <c r="I1432" i="1"/>
  <c r="H1432" i="1" s="1"/>
  <c r="I1424" i="1"/>
  <c r="H1424" i="1" s="1"/>
  <c r="I1435" i="1"/>
  <c r="H1435" i="1" s="1"/>
  <c r="I1427" i="1"/>
  <c r="H1427" i="1" s="1"/>
  <c r="I1419" i="1"/>
  <c r="H1419" i="1" s="1"/>
  <c r="I1411" i="1"/>
  <c r="H1411" i="1" s="1"/>
  <c r="I1403" i="1"/>
  <c r="H1403" i="1" s="1"/>
  <c r="I1434" i="1"/>
  <c r="H1434" i="1" s="1"/>
  <c r="I1398" i="1"/>
  <c r="H1398" i="1" s="1"/>
  <c r="I1390" i="1"/>
  <c r="H1390" i="1" s="1"/>
  <c r="I1384" i="1"/>
  <c r="H1384" i="1" s="1"/>
  <c r="I1376" i="1"/>
  <c r="H1376" i="1" s="1"/>
  <c r="I1397" i="1"/>
  <c r="H1397" i="1" s="1"/>
  <c r="I1389" i="1"/>
  <c r="H1389" i="1" s="1"/>
  <c r="I1379" i="1"/>
  <c r="H1379" i="1" s="1"/>
  <c r="I1395" i="1"/>
  <c r="H1395" i="1" s="1"/>
  <c r="I1387" i="1"/>
  <c r="H1387" i="1" s="1"/>
  <c r="I1363" i="1"/>
  <c r="H1363" i="1" s="1"/>
  <c r="I1355" i="1"/>
  <c r="H1355" i="1" s="1"/>
  <c r="I1414" i="1"/>
  <c r="H1414" i="1" s="1"/>
  <c r="I1406" i="1"/>
  <c r="H1406" i="1" s="1"/>
  <c r="I1405" i="1"/>
  <c r="H1405" i="1" s="1"/>
  <c r="I1382" i="1"/>
  <c r="H1382" i="1" s="1"/>
  <c r="I1430" i="1"/>
  <c r="H1430" i="1" s="1"/>
  <c r="I1422" i="1"/>
  <c r="H1422" i="1" s="1"/>
  <c r="I1416" i="1"/>
  <c r="H1416" i="1" s="1"/>
  <c r="I1408" i="1"/>
  <c r="H1408" i="1" s="1"/>
  <c r="I1400" i="1"/>
  <c r="H1400" i="1" s="1"/>
  <c r="I1392" i="1"/>
  <c r="H1392" i="1" s="1"/>
  <c r="I1385" i="1"/>
  <c r="H1385" i="1" s="1"/>
  <c r="I1381" i="1"/>
  <c r="H1381" i="1" s="1"/>
  <c r="I1377" i="1"/>
  <c r="H1377" i="1" s="1"/>
  <c r="I1364" i="1"/>
  <c r="H1364" i="1" s="1"/>
  <c r="I1358" i="1"/>
  <c r="H1358" i="1" s="1"/>
  <c r="I1374" i="1"/>
  <c r="H1374" i="1" s="1"/>
  <c r="I1373" i="1"/>
  <c r="H1373" i="1" s="1"/>
  <c r="I1371" i="1"/>
  <c r="H1371" i="1" s="1"/>
  <c r="I1368" i="1"/>
  <c r="H1368" i="1" s="1"/>
  <c r="I1362" i="1"/>
  <c r="H1362" i="1" s="1"/>
  <c r="I1356" i="1"/>
  <c r="H1356" i="1" s="1"/>
  <c r="I1352" i="1"/>
  <c r="H1352" i="1" s="1"/>
  <c r="I1347" i="1"/>
  <c r="H1347" i="1" s="1"/>
  <c r="I1345" i="1"/>
  <c r="H1345" i="1" s="1"/>
  <c r="I1341" i="1"/>
  <c r="H1341" i="1" s="1"/>
  <c r="I1366" i="1"/>
  <c r="H1366" i="1" s="1"/>
  <c r="I1349" i="1"/>
  <c r="H1349" i="1" s="1"/>
  <c r="I1314" i="1"/>
  <c r="H1314" i="1" s="1"/>
  <c r="I1360" i="1"/>
  <c r="H1360" i="1" s="1"/>
  <c r="I1331" i="1"/>
  <c r="H1331" i="1" s="1"/>
  <c r="I1321" i="1"/>
  <c r="H1321" i="1" s="1"/>
  <c r="I1333" i="1"/>
  <c r="H1333" i="1" s="1"/>
  <c r="I1329" i="1"/>
  <c r="H1329" i="1" s="1"/>
  <c r="I1316" i="1"/>
  <c r="H1316" i="1" s="1"/>
  <c r="I1337" i="1"/>
  <c r="H1337" i="1" s="1"/>
  <c r="I1325" i="1"/>
  <c r="H1325" i="1" s="1"/>
  <c r="I1324" i="1"/>
  <c r="H1324" i="1" s="1"/>
  <c r="I1319" i="1"/>
  <c r="H1319" i="1" s="1"/>
  <c r="I1315" i="1"/>
  <c r="H1315" i="1" s="1"/>
  <c r="I1309" i="1"/>
  <c r="H1309" i="1" s="1"/>
  <c r="I1301" i="1"/>
  <c r="H1301" i="1" s="1"/>
  <c r="I1293" i="1"/>
  <c r="H1293" i="1" s="1"/>
  <c r="I1306" i="1"/>
  <c r="H1306" i="1" s="1"/>
  <c r="I1298" i="1"/>
  <c r="H1298" i="1" s="1"/>
  <c r="I1339" i="1"/>
  <c r="H1339" i="1" s="1"/>
  <c r="I1322" i="1"/>
  <c r="H1322" i="1" s="1"/>
  <c r="I1308" i="1"/>
  <c r="H1308" i="1" s="1"/>
  <c r="I1300" i="1"/>
  <c r="H1300" i="1" s="1"/>
  <c r="I1303" i="1"/>
  <c r="H1303" i="1" s="1"/>
  <c r="I1282" i="1"/>
  <c r="H1282" i="1" s="1"/>
  <c r="I1311" i="1"/>
  <c r="H1311" i="1" s="1"/>
  <c r="I1273" i="1"/>
  <c r="H1273" i="1" s="1"/>
  <c r="I1265" i="1"/>
  <c r="H1265" i="1" s="1"/>
  <c r="I1257" i="1"/>
  <c r="H1257" i="1" s="1"/>
  <c r="I1249" i="1"/>
  <c r="H1249" i="1" s="1"/>
  <c r="I1292" i="1"/>
  <c r="H1292" i="1" s="1"/>
  <c r="I1281" i="1"/>
  <c r="H1281" i="1" s="1"/>
  <c r="I1284" i="1"/>
  <c r="H1284" i="1" s="1"/>
  <c r="I1290" i="1"/>
  <c r="H1290" i="1" s="1"/>
  <c r="I1287" i="1"/>
  <c r="H1287" i="1" s="1"/>
  <c r="I1272" i="1"/>
  <c r="H1272" i="1" s="1"/>
  <c r="I1264" i="1"/>
  <c r="H1264" i="1" s="1"/>
  <c r="I1262" i="1"/>
  <c r="H1262" i="1" s="1"/>
  <c r="I1260" i="1"/>
  <c r="H1260" i="1" s="1"/>
  <c r="I1258" i="1"/>
  <c r="H1258" i="1" s="1"/>
  <c r="I1256" i="1"/>
  <c r="H1256" i="1" s="1"/>
  <c r="I1254" i="1"/>
  <c r="H1254" i="1" s="1"/>
  <c r="I1252" i="1"/>
  <c r="H1252" i="1" s="1"/>
  <c r="I1250" i="1"/>
  <c r="H1250" i="1" s="1"/>
  <c r="I1248" i="1"/>
  <c r="H1248" i="1" s="1"/>
  <c r="I1242" i="1"/>
  <c r="H1242" i="1" s="1"/>
  <c r="I1234" i="1"/>
  <c r="H1234" i="1" s="1"/>
  <c r="I1323" i="1"/>
  <c r="H1323" i="1" s="1"/>
  <c r="I1266" i="1"/>
  <c r="H1266" i="1" s="1"/>
  <c r="I1226" i="1"/>
  <c r="H1226" i="1" s="1"/>
  <c r="I1218" i="1"/>
  <c r="H1218" i="1" s="1"/>
  <c r="I1278" i="1"/>
  <c r="H1278" i="1" s="1"/>
  <c r="I1274" i="1"/>
  <c r="H1274" i="1" s="1"/>
  <c r="I1228" i="1"/>
  <c r="H1228" i="1" s="1"/>
  <c r="I1268" i="1"/>
  <c r="H1268" i="1" s="1"/>
  <c r="I1245" i="1"/>
  <c r="H1245" i="1" s="1"/>
  <c r="I1244" i="1"/>
  <c r="H1244" i="1" s="1"/>
  <c r="I1236" i="1"/>
  <c r="H1236" i="1" s="1"/>
  <c r="I1210" i="1"/>
  <c r="H1210" i="1" s="1"/>
  <c r="I1276" i="1"/>
  <c r="H1276" i="1" s="1"/>
  <c r="I1243" i="1"/>
  <c r="H1243" i="1" s="1"/>
  <c r="I1235" i="1"/>
  <c r="H1235" i="1" s="1"/>
  <c r="I1194" i="1"/>
  <c r="H1194" i="1" s="1"/>
  <c r="I1186" i="1"/>
  <c r="H1186" i="1" s="1"/>
  <c r="I1149" i="1"/>
  <c r="H1149" i="1" s="1"/>
  <c r="I1227" i="1"/>
  <c r="H1227" i="1" s="1"/>
  <c r="I1219" i="1"/>
  <c r="H1219" i="1" s="1"/>
  <c r="I1217" i="1"/>
  <c r="H1217" i="1" s="1"/>
  <c r="I1205" i="1"/>
  <c r="H1205" i="1" s="1"/>
  <c r="I1221" i="1"/>
  <c r="H1221" i="1" s="1"/>
  <c r="I1215" i="1"/>
  <c r="H1215" i="1" s="1"/>
  <c r="I1208" i="1"/>
  <c r="H1208" i="1" s="1"/>
  <c r="I1200" i="1"/>
  <c r="H1200" i="1" s="1"/>
  <c r="I1270" i="1"/>
  <c r="H1270" i="1" s="1"/>
  <c r="I1229" i="1"/>
  <c r="H1229" i="1" s="1"/>
  <c r="I1223" i="1"/>
  <c r="H1223" i="1" s="1"/>
  <c r="I1213" i="1"/>
  <c r="H1213" i="1" s="1"/>
  <c r="I1192" i="1"/>
  <c r="H1192" i="1" s="1"/>
  <c r="I1184" i="1"/>
  <c r="H1184" i="1" s="1"/>
  <c r="I1225" i="1"/>
  <c r="H1225" i="1" s="1"/>
  <c r="I1211" i="1"/>
  <c r="H1211" i="1" s="1"/>
  <c r="I1202" i="1"/>
  <c r="H1202" i="1" s="1"/>
  <c r="I1189" i="1"/>
  <c r="H1189" i="1" s="1"/>
  <c r="I1165" i="1"/>
  <c r="H1165" i="1" s="1"/>
  <c r="I1197" i="1"/>
  <c r="H1197" i="1" s="1"/>
  <c r="I1182" i="1"/>
  <c r="H1182" i="1" s="1"/>
  <c r="I1159" i="1"/>
  <c r="H1159" i="1" s="1"/>
  <c r="I1154" i="1"/>
  <c r="H1154" i="1" s="1"/>
  <c r="I1150" i="1"/>
  <c r="H1150" i="1" s="1"/>
  <c r="I1144" i="1"/>
  <c r="H1144" i="1" s="1"/>
  <c r="I1141" i="1"/>
  <c r="H1141" i="1" s="1"/>
  <c r="I1191" i="1"/>
  <c r="H1191" i="1" s="1"/>
  <c r="I1163" i="1"/>
  <c r="H1163" i="1" s="1"/>
  <c r="I1146" i="1"/>
  <c r="H1146" i="1" s="1"/>
  <c r="I1138" i="1"/>
  <c r="H1138" i="1" s="1"/>
  <c r="I1136" i="1"/>
  <c r="H1136" i="1" s="1"/>
  <c r="I1134" i="1"/>
  <c r="H1134" i="1" s="1"/>
  <c r="I1130" i="1"/>
  <c r="H1130" i="1" s="1"/>
  <c r="I1128" i="1"/>
  <c r="H1128" i="1" s="1"/>
  <c r="I1157" i="1"/>
  <c r="H1157" i="1" s="1"/>
  <c r="I1143" i="1"/>
  <c r="H1143" i="1" s="1"/>
  <c r="I1174" i="1"/>
  <c r="H1174" i="1" s="1"/>
  <c r="I1152" i="1"/>
  <c r="H1152" i="1" s="1"/>
  <c r="I1176" i="1"/>
  <c r="H1176" i="1" s="1"/>
  <c r="I1169" i="1"/>
  <c r="H1169" i="1" s="1"/>
  <c r="I1168" i="1"/>
  <c r="H1168" i="1" s="1"/>
  <c r="I1161" i="1"/>
  <c r="H1161" i="1" s="1"/>
  <c r="I1178" i="1"/>
  <c r="H1178" i="1" s="1"/>
  <c r="I1160" i="1"/>
  <c r="H1160" i="1" s="1"/>
  <c r="I1126" i="1"/>
  <c r="H1126" i="1" s="1"/>
  <c r="I1084" i="1"/>
  <c r="H1084" i="1" s="1"/>
  <c r="I1122" i="1"/>
  <c r="H1122" i="1" s="1"/>
  <c r="I1108" i="1"/>
  <c r="H1108" i="1" s="1"/>
  <c r="I1100" i="1"/>
  <c r="H1100" i="1" s="1"/>
  <c r="I1092" i="1"/>
  <c r="H1092" i="1" s="1"/>
  <c r="I1120" i="1"/>
  <c r="H1120" i="1" s="1"/>
  <c r="I1112" i="1"/>
  <c r="H1112" i="1" s="1"/>
  <c r="I1119" i="1"/>
  <c r="H1119" i="1" s="1"/>
  <c r="I1115" i="1"/>
  <c r="H1115" i="1" s="1"/>
  <c r="I1109" i="1"/>
  <c r="H1109" i="1" s="1"/>
  <c r="I1107" i="1"/>
  <c r="H1107" i="1" s="1"/>
  <c r="I1105" i="1"/>
  <c r="H1105" i="1" s="1"/>
  <c r="I1103" i="1"/>
  <c r="H1103" i="1" s="1"/>
  <c r="I1101" i="1"/>
  <c r="H1101" i="1" s="1"/>
  <c r="I1099" i="1"/>
  <c r="H1099" i="1" s="1"/>
  <c r="I1097" i="1"/>
  <c r="H1097" i="1" s="1"/>
  <c r="I1095" i="1"/>
  <c r="H1095" i="1" s="1"/>
  <c r="I1093" i="1"/>
  <c r="H1093" i="1" s="1"/>
  <c r="I1091" i="1"/>
  <c r="H1091" i="1" s="1"/>
  <c r="I1083" i="1"/>
  <c r="H1083" i="1" s="1"/>
  <c r="I1118" i="1"/>
  <c r="H1118" i="1" s="1"/>
  <c r="I1114" i="1"/>
  <c r="H1114" i="1" s="1"/>
  <c r="I1111" i="1"/>
  <c r="H1111" i="1" s="1"/>
  <c r="I1089" i="1"/>
  <c r="H1089" i="1" s="1"/>
  <c r="I1045" i="1"/>
  <c r="H1045" i="1" s="1"/>
  <c r="I1037" i="1"/>
  <c r="H1037" i="1" s="1"/>
  <c r="I1029" i="1"/>
  <c r="H1029" i="1" s="1"/>
  <c r="I1021" i="1"/>
  <c r="H1021" i="1" s="1"/>
  <c r="I1013" i="1"/>
  <c r="H1013" i="1" s="1"/>
  <c r="I1081" i="1"/>
  <c r="H1081" i="1" s="1"/>
  <c r="I1074" i="1"/>
  <c r="H1074" i="1" s="1"/>
  <c r="I1070" i="1"/>
  <c r="H1070" i="1" s="1"/>
  <c r="I1066" i="1"/>
  <c r="H1066" i="1" s="1"/>
  <c r="I1062" i="1"/>
  <c r="H1062" i="1" s="1"/>
  <c r="I1058" i="1"/>
  <c r="H1058" i="1" s="1"/>
  <c r="I1054" i="1"/>
  <c r="H1054" i="1" s="1"/>
  <c r="I1050" i="1"/>
  <c r="H1050" i="1" s="1"/>
  <c r="I1073" i="1"/>
  <c r="H1073" i="1" s="1"/>
  <c r="I1065" i="1"/>
  <c r="H1065" i="1" s="1"/>
  <c r="I1057" i="1"/>
  <c r="H1057" i="1" s="1"/>
  <c r="I1044" i="1"/>
  <c r="H1044" i="1" s="1"/>
  <c r="I1086" i="1"/>
  <c r="H1086" i="1" s="1"/>
  <c r="I1076" i="1"/>
  <c r="H1076" i="1" s="1"/>
  <c r="I1068" i="1"/>
  <c r="H1068" i="1" s="1"/>
  <c r="I1060" i="1"/>
  <c r="H1060" i="1" s="1"/>
  <c r="I1052" i="1"/>
  <c r="H1052" i="1" s="1"/>
  <c r="I1075" i="1"/>
  <c r="H1075" i="1" s="1"/>
  <c r="I1067" i="1"/>
  <c r="H1067" i="1" s="1"/>
  <c r="I1059" i="1"/>
  <c r="H1059" i="1" s="1"/>
  <c r="I1051" i="1"/>
  <c r="H1051" i="1" s="1"/>
  <c r="I1042" i="1"/>
  <c r="H1042" i="1" s="1"/>
  <c r="I1036" i="1"/>
  <c r="H1036" i="1" s="1"/>
  <c r="I1001" i="1"/>
  <c r="H1001" i="1" s="1"/>
  <c r="I985" i="1"/>
  <c r="H985" i="1" s="1"/>
  <c r="I973" i="1"/>
  <c r="H973" i="1" s="1"/>
  <c r="I1043" i="1"/>
  <c r="H1043" i="1" s="1"/>
  <c r="I1027" i="1"/>
  <c r="H1027" i="1" s="1"/>
  <c r="I1026" i="1"/>
  <c r="H1026" i="1" s="1"/>
  <c r="I1003" i="1"/>
  <c r="H1003" i="1" s="1"/>
  <c r="I958" i="1"/>
  <c r="H958" i="1" s="1"/>
  <c r="I1028" i="1"/>
  <c r="H1028" i="1" s="1"/>
  <c r="I1005" i="1"/>
  <c r="H1005" i="1" s="1"/>
  <c r="I997" i="1"/>
  <c r="H997" i="1" s="1"/>
  <c r="I977" i="1"/>
  <c r="H977" i="1" s="1"/>
  <c r="I950" i="1"/>
  <c r="H950" i="1" s="1"/>
  <c r="I1019" i="1"/>
  <c r="H1019" i="1" s="1"/>
  <c r="I1018" i="1"/>
  <c r="H1018" i="1" s="1"/>
  <c r="I995" i="1"/>
  <c r="H995" i="1" s="1"/>
  <c r="I971" i="1"/>
  <c r="H971" i="1" s="1"/>
  <c r="I957" i="1"/>
  <c r="H957" i="1" s="1"/>
  <c r="I943" i="1"/>
  <c r="H943" i="1" s="1"/>
  <c r="I935" i="1"/>
  <c r="H935" i="1" s="1"/>
  <c r="I927" i="1"/>
  <c r="H927" i="1" s="1"/>
  <c r="I919" i="1"/>
  <c r="H919" i="1" s="1"/>
  <c r="I911" i="1"/>
  <c r="H911" i="1" s="1"/>
  <c r="I903" i="1"/>
  <c r="H903" i="1" s="1"/>
  <c r="I1020" i="1"/>
  <c r="H1020" i="1" s="1"/>
  <c r="I1009" i="1"/>
  <c r="H1009" i="1" s="1"/>
  <c r="I993" i="1"/>
  <c r="H993" i="1" s="1"/>
  <c r="I981" i="1"/>
  <c r="H981" i="1" s="1"/>
  <c r="I965" i="1"/>
  <c r="H965" i="1" s="1"/>
  <c r="I1011" i="1"/>
  <c r="H1011" i="1" s="1"/>
  <c r="I960" i="1"/>
  <c r="H960" i="1" s="1"/>
  <c r="I956" i="1"/>
  <c r="H956" i="1" s="1"/>
  <c r="I952" i="1"/>
  <c r="H952" i="1" s="1"/>
  <c r="I949" i="1"/>
  <c r="H949" i="1" s="1"/>
  <c r="I1012" i="1"/>
  <c r="H1012" i="1" s="1"/>
  <c r="I989" i="1"/>
  <c r="H989" i="1" s="1"/>
  <c r="I969" i="1"/>
  <c r="H969" i="1" s="1"/>
  <c r="I1035" i="1"/>
  <c r="H1035" i="1" s="1"/>
  <c r="I1034" i="1"/>
  <c r="H1034" i="1" s="1"/>
  <c r="I987" i="1"/>
  <c r="H987" i="1" s="1"/>
  <c r="I979" i="1"/>
  <c r="H979" i="1" s="1"/>
  <c r="I963" i="1"/>
  <c r="H963" i="1" s="1"/>
  <c r="I959" i="1"/>
  <c r="H959" i="1" s="1"/>
  <c r="I951" i="1"/>
  <c r="H951" i="1" s="1"/>
  <c r="I946" i="1"/>
  <c r="H946" i="1" s="1"/>
  <c r="I944" i="1"/>
  <c r="H944" i="1" s="1"/>
  <c r="I942" i="1"/>
  <c r="H942" i="1" s="1"/>
  <c r="I940" i="1"/>
  <c r="H940" i="1" s="1"/>
  <c r="I938" i="1"/>
  <c r="H938" i="1" s="1"/>
  <c r="I928" i="1"/>
  <c r="H928" i="1" s="1"/>
  <c r="I924" i="1"/>
  <c r="H924" i="1" s="1"/>
  <c r="I893" i="1"/>
  <c r="H893" i="1" s="1"/>
  <c r="I885" i="1"/>
  <c r="H885" i="1" s="1"/>
  <c r="I877" i="1"/>
  <c r="H877" i="1" s="1"/>
  <c r="I869" i="1"/>
  <c r="H869" i="1" s="1"/>
  <c r="I918" i="1"/>
  <c r="H918" i="1" s="1"/>
  <c r="I910" i="1"/>
  <c r="H910" i="1" s="1"/>
  <c r="I902" i="1"/>
  <c r="H902" i="1" s="1"/>
  <c r="I932" i="1"/>
  <c r="H932" i="1" s="1"/>
  <c r="I920" i="1"/>
  <c r="H920" i="1" s="1"/>
  <c r="I912" i="1"/>
  <c r="H912" i="1" s="1"/>
  <c r="I904" i="1"/>
  <c r="H904" i="1" s="1"/>
  <c r="I936" i="1"/>
  <c r="H936" i="1" s="1"/>
  <c r="I926" i="1"/>
  <c r="H926" i="1" s="1"/>
  <c r="I896" i="1"/>
  <c r="H896" i="1" s="1"/>
  <c r="I894" i="1"/>
  <c r="H894" i="1" s="1"/>
  <c r="I892" i="1"/>
  <c r="H892" i="1" s="1"/>
  <c r="I890" i="1"/>
  <c r="H890" i="1" s="1"/>
  <c r="I930" i="1"/>
  <c r="H930" i="1" s="1"/>
  <c r="I922" i="1"/>
  <c r="H922" i="1" s="1"/>
  <c r="I914" i="1"/>
  <c r="H914" i="1" s="1"/>
  <c r="I906" i="1"/>
  <c r="H906" i="1" s="1"/>
  <c r="I898" i="1"/>
  <c r="H898" i="1" s="1"/>
  <c r="I884" i="1"/>
  <c r="H884" i="1" s="1"/>
  <c r="I874" i="1"/>
  <c r="H874" i="1" s="1"/>
  <c r="I761" i="1"/>
  <c r="H761" i="1" s="1"/>
  <c r="I753" i="1"/>
  <c r="H753" i="1" s="1"/>
  <c r="I934" i="1"/>
  <c r="H934" i="1" s="1"/>
  <c r="I876" i="1"/>
  <c r="H876" i="1" s="1"/>
  <c r="I861" i="1"/>
  <c r="H861" i="1" s="1"/>
  <c r="I850" i="1"/>
  <c r="H850" i="1" s="1"/>
  <c r="I845" i="1"/>
  <c r="H845" i="1" s="1"/>
  <c r="I817" i="1"/>
  <c r="H817" i="1" s="1"/>
  <c r="I900" i="1"/>
  <c r="H900" i="1" s="1"/>
  <c r="I878" i="1"/>
  <c r="H878" i="1" s="1"/>
  <c r="I860" i="1"/>
  <c r="H860" i="1" s="1"/>
  <c r="I855" i="1"/>
  <c r="H855" i="1" s="1"/>
  <c r="I844" i="1"/>
  <c r="H844" i="1" s="1"/>
  <c r="I835" i="1"/>
  <c r="H835" i="1" s="1"/>
  <c r="I827" i="1"/>
  <c r="H827" i="1" s="1"/>
  <c r="I814" i="1"/>
  <c r="H814" i="1" s="1"/>
  <c r="I886" i="1"/>
  <c r="H886" i="1" s="1"/>
  <c r="I880" i="1"/>
  <c r="H880" i="1" s="1"/>
  <c r="I908" i="1"/>
  <c r="H908" i="1" s="1"/>
  <c r="I866" i="1"/>
  <c r="H866" i="1" s="1"/>
  <c r="I864" i="1"/>
  <c r="H864" i="1" s="1"/>
  <c r="I859" i="1"/>
  <c r="H859" i="1" s="1"/>
  <c r="I848" i="1"/>
  <c r="H848" i="1" s="1"/>
  <c r="I843" i="1"/>
  <c r="H843" i="1" s="1"/>
  <c r="I838" i="1"/>
  <c r="H838" i="1" s="1"/>
  <c r="I830" i="1"/>
  <c r="H830" i="1" s="1"/>
  <c r="I822" i="1"/>
  <c r="H822" i="1" s="1"/>
  <c r="I816" i="1"/>
  <c r="H816" i="1" s="1"/>
  <c r="I808" i="1"/>
  <c r="H808" i="1" s="1"/>
  <c r="I948" i="1"/>
  <c r="H948" i="1" s="1"/>
  <c r="I882" i="1"/>
  <c r="H882" i="1" s="1"/>
  <c r="I868" i="1"/>
  <c r="H868" i="1" s="1"/>
  <c r="I853" i="1"/>
  <c r="H853" i="1" s="1"/>
  <c r="I916" i="1"/>
  <c r="H916" i="1" s="1"/>
  <c r="I888" i="1"/>
  <c r="H888" i="1" s="1"/>
  <c r="I870" i="1"/>
  <c r="H870" i="1" s="1"/>
  <c r="I833" i="1"/>
  <c r="H833" i="1" s="1"/>
  <c r="I825" i="1"/>
  <c r="H825" i="1" s="1"/>
  <c r="I862" i="1"/>
  <c r="H862" i="1" s="1"/>
  <c r="I792" i="1"/>
  <c r="H792" i="1" s="1"/>
  <c r="I745" i="1"/>
  <c r="H745" i="1" s="1"/>
  <c r="I737" i="1"/>
  <c r="H737" i="1" s="1"/>
  <c r="I729" i="1"/>
  <c r="H729" i="1" s="1"/>
  <c r="I721" i="1"/>
  <c r="H721" i="1" s="1"/>
  <c r="I846" i="1"/>
  <c r="H846" i="1" s="1"/>
  <c r="I791" i="1"/>
  <c r="H791" i="1" s="1"/>
  <c r="I785" i="1"/>
  <c r="H785" i="1" s="1"/>
  <c r="I769" i="1"/>
  <c r="H769" i="1" s="1"/>
  <c r="I790" i="1"/>
  <c r="H790" i="1" s="1"/>
  <c r="I774" i="1"/>
  <c r="H774" i="1" s="1"/>
  <c r="I784" i="1"/>
  <c r="H784" i="1" s="1"/>
  <c r="I768" i="1"/>
  <c r="H768" i="1" s="1"/>
  <c r="I764" i="1"/>
  <c r="H764" i="1" s="1"/>
  <c r="I760" i="1"/>
  <c r="H760" i="1" s="1"/>
  <c r="I756" i="1"/>
  <c r="H756" i="1" s="1"/>
  <c r="I783" i="1"/>
  <c r="H783" i="1" s="1"/>
  <c r="I807" i="1"/>
  <c r="H807" i="1" s="1"/>
  <c r="I801" i="1"/>
  <c r="H801" i="1" s="1"/>
  <c r="I800" i="1"/>
  <c r="H800" i="1" s="1"/>
  <c r="I799" i="1"/>
  <c r="H799" i="1" s="1"/>
  <c r="I777" i="1"/>
  <c r="H777" i="1" s="1"/>
  <c r="I746" i="1"/>
  <c r="H746" i="1" s="1"/>
  <c r="I815" i="1"/>
  <c r="H815" i="1" s="1"/>
  <c r="I806" i="1"/>
  <c r="H806" i="1" s="1"/>
  <c r="I798" i="1"/>
  <c r="H798" i="1" s="1"/>
  <c r="I782" i="1"/>
  <c r="H782" i="1" s="1"/>
  <c r="I872" i="1"/>
  <c r="H872" i="1" s="1"/>
  <c r="I809" i="1"/>
  <c r="H809" i="1" s="1"/>
  <c r="I793" i="1"/>
  <c r="H793" i="1" s="1"/>
  <c r="I787" i="1"/>
  <c r="H787" i="1" s="1"/>
  <c r="I776" i="1"/>
  <c r="H776" i="1" s="1"/>
  <c r="I771" i="1"/>
  <c r="H771" i="1" s="1"/>
  <c r="I766" i="1"/>
  <c r="H766" i="1" s="1"/>
  <c r="I762" i="1"/>
  <c r="H762" i="1" s="1"/>
  <c r="I758" i="1"/>
  <c r="H758" i="1" s="1"/>
  <c r="I754" i="1"/>
  <c r="H754" i="1" s="1"/>
  <c r="I748" i="1"/>
  <c r="H748" i="1" s="1"/>
  <c r="I740" i="1"/>
  <c r="H740" i="1" s="1"/>
  <c r="I747" i="1"/>
  <c r="H747" i="1" s="1"/>
  <c r="I687" i="1"/>
  <c r="H687" i="1" s="1"/>
  <c r="I679" i="1"/>
  <c r="H679" i="1" s="1"/>
  <c r="I671" i="1"/>
  <c r="H671" i="1" s="1"/>
  <c r="I663" i="1"/>
  <c r="H663" i="1" s="1"/>
  <c r="I655" i="1"/>
  <c r="H655" i="1" s="1"/>
  <c r="I647" i="1"/>
  <c r="H647" i="1" s="1"/>
  <c r="I639" i="1"/>
  <c r="H639" i="1" s="1"/>
  <c r="I631" i="1"/>
  <c r="H631" i="1" s="1"/>
  <c r="I623" i="1"/>
  <c r="H623" i="1" s="1"/>
  <c r="I739" i="1"/>
  <c r="H739" i="1" s="1"/>
  <c r="I738" i="1"/>
  <c r="H738" i="1" s="1"/>
  <c r="I734" i="1"/>
  <c r="H734" i="1" s="1"/>
  <c r="I724" i="1"/>
  <c r="H724" i="1" s="1"/>
  <c r="I723" i="1"/>
  <c r="H723" i="1" s="1"/>
  <c r="I711" i="1"/>
  <c r="H711" i="1" s="1"/>
  <c r="I701" i="1"/>
  <c r="H701" i="1" s="1"/>
  <c r="I698" i="1"/>
  <c r="H698" i="1" s="1"/>
  <c r="I716" i="1"/>
  <c r="H716" i="1" s="1"/>
  <c r="I707" i="1"/>
  <c r="H707" i="1" s="1"/>
  <c r="I704" i="1"/>
  <c r="H704" i="1" s="1"/>
  <c r="I695" i="1"/>
  <c r="H695" i="1" s="1"/>
  <c r="I732" i="1"/>
  <c r="H732" i="1" s="1"/>
  <c r="I730" i="1"/>
  <c r="H730" i="1" s="1"/>
  <c r="I714" i="1"/>
  <c r="H714" i="1" s="1"/>
  <c r="I703" i="1"/>
  <c r="H703" i="1" s="1"/>
  <c r="I697" i="1"/>
  <c r="H697" i="1" s="1"/>
  <c r="I692" i="1"/>
  <c r="H692" i="1" s="1"/>
  <c r="I690" i="1"/>
  <c r="H690" i="1" s="1"/>
  <c r="I688" i="1"/>
  <c r="H688" i="1" s="1"/>
  <c r="I686" i="1"/>
  <c r="H686" i="1" s="1"/>
  <c r="I684" i="1"/>
  <c r="H684" i="1" s="1"/>
  <c r="I682" i="1"/>
  <c r="H682" i="1" s="1"/>
  <c r="I680" i="1"/>
  <c r="H680" i="1" s="1"/>
  <c r="I678" i="1"/>
  <c r="H678" i="1" s="1"/>
  <c r="I676" i="1"/>
  <c r="H676" i="1" s="1"/>
  <c r="I674" i="1"/>
  <c r="H674" i="1" s="1"/>
  <c r="I727" i="1"/>
  <c r="H727" i="1" s="1"/>
  <c r="I726" i="1"/>
  <c r="H726" i="1" s="1"/>
  <c r="I718" i="1"/>
  <c r="H718" i="1" s="1"/>
  <c r="I713" i="1"/>
  <c r="H713" i="1" s="1"/>
  <c r="I705" i="1"/>
  <c r="H705" i="1" s="1"/>
  <c r="I702" i="1"/>
  <c r="H702" i="1" s="1"/>
  <c r="I611" i="1"/>
  <c r="H611" i="1" s="1"/>
  <c r="I603" i="1"/>
  <c r="H603" i="1" s="1"/>
  <c r="I595" i="1"/>
  <c r="H595" i="1" s="1"/>
  <c r="I587" i="1"/>
  <c r="H587" i="1" s="1"/>
  <c r="I579" i="1"/>
  <c r="H579" i="1" s="1"/>
  <c r="I571" i="1"/>
  <c r="H571" i="1" s="1"/>
  <c r="I563" i="1"/>
  <c r="H563" i="1" s="1"/>
  <c r="I672" i="1"/>
  <c r="H672" i="1" s="1"/>
  <c r="I668" i="1"/>
  <c r="H668" i="1" s="1"/>
  <c r="I664" i="1"/>
  <c r="H664" i="1" s="1"/>
  <c r="I660" i="1"/>
  <c r="H660" i="1" s="1"/>
  <c r="I656" i="1"/>
  <c r="H656" i="1" s="1"/>
  <c r="I652" i="1"/>
  <c r="H652" i="1" s="1"/>
  <c r="I644" i="1"/>
  <c r="H644" i="1" s="1"/>
  <c r="I642" i="1"/>
  <c r="H642" i="1" s="1"/>
  <c r="I640" i="1"/>
  <c r="H640" i="1" s="1"/>
  <c r="I638" i="1"/>
  <c r="H638" i="1" s="1"/>
  <c r="I636" i="1"/>
  <c r="H636" i="1" s="1"/>
  <c r="I634" i="1"/>
  <c r="H634" i="1" s="1"/>
  <c r="I632" i="1"/>
  <c r="H632" i="1" s="1"/>
  <c r="I630" i="1"/>
  <c r="H630" i="1" s="1"/>
  <c r="I628" i="1"/>
  <c r="H628" i="1" s="1"/>
  <c r="I626" i="1"/>
  <c r="H626" i="1" s="1"/>
  <c r="I624" i="1"/>
  <c r="H624" i="1" s="1"/>
  <c r="I622" i="1"/>
  <c r="H622" i="1" s="1"/>
  <c r="I616" i="1"/>
  <c r="H616" i="1" s="1"/>
  <c r="I612" i="1"/>
  <c r="H612" i="1" s="1"/>
  <c r="I608" i="1"/>
  <c r="H608" i="1" s="1"/>
  <c r="I604" i="1"/>
  <c r="H604" i="1" s="1"/>
  <c r="I646" i="1"/>
  <c r="H646" i="1" s="1"/>
  <c r="I620" i="1"/>
  <c r="H620" i="1" s="1"/>
  <c r="I648" i="1"/>
  <c r="H648" i="1" s="1"/>
  <c r="I596" i="1"/>
  <c r="H596" i="1" s="1"/>
  <c r="I588" i="1"/>
  <c r="H588" i="1" s="1"/>
  <c r="I580" i="1"/>
  <c r="H580" i="1" s="1"/>
  <c r="I572" i="1"/>
  <c r="H572" i="1" s="1"/>
  <c r="I564" i="1"/>
  <c r="H564" i="1" s="1"/>
  <c r="I670" i="1"/>
  <c r="H670" i="1" s="1"/>
  <c r="I666" i="1"/>
  <c r="H666" i="1" s="1"/>
  <c r="I662" i="1"/>
  <c r="H662" i="1" s="1"/>
  <c r="I658" i="1"/>
  <c r="H658" i="1" s="1"/>
  <c r="I654" i="1"/>
  <c r="H654" i="1" s="1"/>
  <c r="I618" i="1"/>
  <c r="H618" i="1" s="1"/>
  <c r="I610" i="1"/>
  <c r="H610" i="1" s="1"/>
  <c r="I602" i="1"/>
  <c r="H602" i="1" s="1"/>
  <c r="I650" i="1"/>
  <c r="H650" i="1" s="1"/>
  <c r="I617" i="1"/>
  <c r="H617" i="1" s="1"/>
  <c r="I613" i="1"/>
  <c r="H613" i="1" s="1"/>
  <c r="I553" i="1"/>
  <c r="H553" i="1" s="1"/>
  <c r="I452" i="1"/>
  <c r="H452" i="1" s="1"/>
  <c r="I598" i="1"/>
  <c r="H598" i="1" s="1"/>
  <c r="I597" i="1"/>
  <c r="H597" i="1" s="1"/>
  <c r="I566" i="1"/>
  <c r="H566" i="1" s="1"/>
  <c r="I565" i="1"/>
  <c r="H565" i="1" s="1"/>
  <c r="I529" i="1"/>
  <c r="H529" i="1" s="1"/>
  <c r="I525" i="1"/>
  <c r="H525" i="1" s="1"/>
  <c r="I521" i="1"/>
  <c r="H521" i="1" s="1"/>
  <c r="I517" i="1"/>
  <c r="H517" i="1" s="1"/>
  <c r="I513" i="1"/>
  <c r="H513" i="1" s="1"/>
  <c r="I509" i="1"/>
  <c r="H509" i="1" s="1"/>
  <c r="I505" i="1"/>
  <c r="H505" i="1" s="1"/>
  <c r="I501" i="1"/>
  <c r="H501" i="1" s="1"/>
  <c r="I497" i="1"/>
  <c r="H497" i="1" s="1"/>
  <c r="I493" i="1"/>
  <c r="H493" i="1" s="1"/>
  <c r="I489" i="1"/>
  <c r="H489" i="1" s="1"/>
  <c r="I481" i="1"/>
  <c r="H481" i="1" s="1"/>
  <c r="I473" i="1"/>
  <c r="H473" i="1" s="1"/>
  <c r="I465" i="1"/>
  <c r="H465" i="1" s="1"/>
  <c r="I457" i="1"/>
  <c r="H457" i="1" s="1"/>
  <c r="I609" i="1"/>
  <c r="H609" i="1" s="1"/>
  <c r="I549" i="1"/>
  <c r="H549" i="1" s="1"/>
  <c r="I541" i="1"/>
  <c r="H541" i="1" s="1"/>
  <c r="I533" i="1"/>
  <c r="H533" i="1" s="1"/>
  <c r="I605" i="1"/>
  <c r="H605" i="1" s="1"/>
  <c r="I590" i="1"/>
  <c r="H590" i="1" s="1"/>
  <c r="I589" i="1"/>
  <c r="H589" i="1" s="1"/>
  <c r="I483" i="1"/>
  <c r="H483" i="1" s="1"/>
  <c r="I475" i="1"/>
  <c r="H475" i="1" s="1"/>
  <c r="I467" i="1"/>
  <c r="H467" i="1" s="1"/>
  <c r="I459" i="1"/>
  <c r="H459" i="1" s="1"/>
  <c r="I451" i="1"/>
  <c r="H451" i="1" s="1"/>
  <c r="I443" i="1"/>
  <c r="H443" i="1" s="1"/>
  <c r="I435" i="1"/>
  <c r="H435" i="1" s="1"/>
  <c r="I427" i="1"/>
  <c r="H427" i="1" s="1"/>
  <c r="I419" i="1"/>
  <c r="H419" i="1" s="1"/>
  <c r="I411" i="1"/>
  <c r="H411" i="1" s="1"/>
  <c r="I403" i="1"/>
  <c r="H403" i="1" s="1"/>
  <c r="I600" i="1"/>
  <c r="H600" i="1" s="1"/>
  <c r="I547" i="1"/>
  <c r="H547" i="1" s="1"/>
  <c r="I539" i="1"/>
  <c r="H539" i="1" s="1"/>
  <c r="I488" i="1"/>
  <c r="H488" i="1" s="1"/>
  <c r="I480" i="1"/>
  <c r="H480" i="1" s="1"/>
  <c r="I472" i="1"/>
  <c r="H472" i="1" s="1"/>
  <c r="I464" i="1"/>
  <c r="H464" i="1" s="1"/>
  <c r="I601" i="1"/>
  <c r="H601" i="1" s="1"/>
  <c r="I582" i="1"/>
  <c r="H582" i="1" s="1"/>
  <c r="I581" i="1"/>
  <c r="H581" i="1" s="1"/>
  <c r="I531" i="1"/>
  <c r="H531" i="1" s="1"/>
  <c r="I523" i="1"/>
  <c r="H523" i="1" s="1"/>
  <c r="I515" i="1"/>
  <c r="H515" i="1" s="1"/>
  <c r="I507" i="1"/>
  <c r="H507" i="1" s="1"/>
  <c r="I499" i="1"/>
  <c r="H499" i="1" s="1"/>
  <c r="I491" i="1"/>
  <c r="H491" i="1" s="1"/>
  <c r="I561" i="1"/>
  <c r="H561" i="1" s="1"/>
  <c r="I557" i="1"/>
  <c r="H557" i="1" s="1"/>
  <c r="I545" i="1"/>
  <c r="H545" i="1" s="1"/>
  <c r="I537" i="1"/>
  <c r="H537" i="1" s="1"/>
  <c r="I482" i="1"/>
  <c r="H482" i="1" s="1"/>
  <c r="I474" i="1"/>
  <c r="H474" i="1" s="1"/>
  <c r="I466" i="1"/>
  <c r="H466" i="1" s="1"/>
  <c r="I458" i="1"/>
  <c r="H458" i="1" s="1"/>
  <c r="I574" i="1"/>
  <c r="H574" i="1" s="1"/>
  <c r="I573" i="1"/>
  <c r="H573" i="1" s="1"/>
  <c r="I555" i="1"/>
  <c r="H555" i="1" s="1"/>
  <c r="I530" i="1"/>
  <c r="H530" i="1" s="1"/>
  <c r="I526" i="1"/>
  <c r="H526" i="1" s="1"/>
  <c r="I522" i="1"/>
  <c r="H522" i="1" s="1"/>
  <c r="I518" i="1"/>
  <c r="H518" i="1" s="1"/>
  <c r="I514" i="1"/>
  <c r="H514" i="1" s="1"/>
  <c r="I510" i="1"/>
  <c r="H510" i="1" s="1"/>
  <c r="I506" i="1"/>
  <c r="H506" i="1" s="1"/>
  <c r="I502" i="1"/>
  <c r="H502" i="1" s="1"/>
  <c r="I498" i="1"/>
  <c r="H498" i="1" s="1"/>
  <c r="I494" i="1"/>
  <c r="H494" i="1" s="1"/>
  <c r="I490" i="1"/>
  <c r="H490" i="1" s="1"/>
  <c r="I450" i="1"/>
  <c r="H450" i="1" s="1"/>
  <c r="I448" i="1"/>
  <c r="H448" i="1" s="1"/>
  <c r="I446" i="1"/>
  <c r="H446" i="1" s="1"/>
  <c r="I444" i="1"/>
  <c r="H444" i="1" s="1"/>
  <c r="I442" i="1"/>
  <c r="H442" i="1" s="1"/>
  <c r="I440" i="1"/>
  <c r="H440" i="1" s="1"/>
  <c r="I438" i="1"/>
  <c r="H438" i="1" s="1"/>
  <c r="I396" i="1"/>
  <c r="H396" i="1" s="1"/>
  <c r="I388" i="1"/>
  <c r="H388" i="1" s="1"/>
  <c r="I382" i="1"/>
  <c r="H382" i="1" s="1"/>
  <c r="I377" i="1"/>
  <c r="H377" i="1" s="1"/>
  <c r="I366" i="1"/>
  <c r="H366" i="1" s="1"/>
  <c r="I361" i="1"/>
  <c r="H361" i="1" s="1"/>
  <c r="I350" i="1"/>
  <c r="H350" i="1" s="1"/>
  <c r="I346" i="1"/>
  <c r="H346" i="1" s="1"/>
  <c r="I333" i="1"/>
  <c r="H333" i="1" s="1"/>
  <c r="I325" i="1"/>
  <c r="H325" i="1" s="1"/>
  <c r="I395" i="1"/>
  <c r="H395" i="1" s="1"/>
  <c r="I387" i="1"/>
  <c r="H387" i="1" s="1"/>
  <c r="I371" i="1"/>
  <c r="H371" i="1" s="1"/>
  <c r="I355" i="1"/>
  <c r="H355" i="1" s="1"/>
  <c r="I338" i="1"/>
  <c r="H338" i="1" s="1"/>
  <c r="I330" i="1"/>
  <c r="H330" i="1" s="1"/>
  <c r="I322" i="1"/>
  <c r="H322" i="1" s="1"/>
  <c r="I314" i="1"/>
  <c r="H314" i="1" s="1"/>
  <c r="I306" i="1"/>
  <c r="H306" i="1" s="1"/>
  <c r="I298" i="1"/>
  <c r="H298" i="1" s="1"/>
  <c r="I290" i="1"/>
  <c r="H290" i="1" s="1"/>
  <c r="I354" i="1"/>
  <c r="H354" i="1" s="1"/>
  <c r="I349" i="1"/>
  <c r="H349" i="1" s="1"/>
  <c r="I345" i="1"/>
  <c r="H345" i="1" s="1"/>
  <c r="I434" i="1"/>
  <c r="H434" i="1" s="1"/>
  <c r="I432" i="1"/>
  <c r="H432" i="1" s="1"/>
  <c r="I430" i="1"/>
  <c r="H430" i="1" s="1"/>
  <c r="I428" i="1"/>
  <c r="H428" i="1" s="1"/>
  <c r="I426" i="1"/>
  <c r="H426" i="1" s="1"/>
  <c r="I424" i="1"/>
  <c r="H424" i="1" s="1"/>
  <c r="I422" i="1"/>
  <c r="H422" i="1" s="1"/>
  <c r="I420" i="1"/>
  <c r="H420" i="1" s="1"/>
  <c r="I418" i="1"/>
  <c r="H418" i="1" s="1"/>
  <c r="I416" i="1"/>
  <c r="H416" i="1" s="1"/>
  <c r="I414" i="1"/>
  <c r="H414" i="1" s="1"/>
  <c r="I412" i="1"/>
  <c r="H412" i="1" s="1"/>
  <c r="I410" i="1"/>
  <c r="H410" i="1" s="1"/>
  <c r="I408" i="1"/>
  <c r="H408" i="1" s="1"/>
  <c r="I406" i="1"/>
  <c r="H406" i="1" s="1"/>
  <c r="I404" i="1"/>
  <c r="H404" i="1" s="1"/>
  <c r="I402" i="1"/>
  <c r="H402" i="1" s="1"/>
  <c r="I401" i="1"/>
  <c r="H401" i="1" s="1"/>
  <c r="I393" i="1"/>
  <c r="H393" i="1" s="1"/>
  <c r="I380" i="1"/>
  <c r="H380" i="1" s="1"/>
  <c r="I364" i="1"/>
  <c r="H364" i="1" s="1"/>
  <c r="I332" i="1"/>
  <c r="H332" i="1" s="1"/>
  <c r="I324" i="1"/>
  <c r="H324" i="1" s="1"/>
  <c r="I316" i="1"/>
  <c r="H316" i="1" s="1"/>
  <c r="I308" i="1"/>
  <c r="H308" i="1" s="1"/>
  <c r="I300" i="1"/>
  <c r="H300" i="1" s="1"/>
  <c r="I292" i="1"/>
  <c r="H292" i="1" s="1"/>
  <c r="I400" i="1"/>
  <c r="H400" i="1" s="1"/>
  <c r="I348" i="1"/>
  <c r="H348" i="1" s="1"/>
  <c r="I340" i="1"/>
  <c r="H340" i="1" s="1"/>
  <c r="I436" i="1"/>
  <c r="H436" i="1" s="1"/>
  <c r="I384" i="1"/>
  <c r="H384" i="1" s="1"/>
  <c r="I379" i="1"/>
  <c r="H379" i="1" s="1"/>
  <c r="I368" i="1"/>
  <c r="H368" i="1" s="1"/>
  <c r="I363" i="1"/>
  <c r="H363" i="1" s="1"/>
  <c r="I352" i="1"/>
  <c r="H352" i="1" s="1"/>
  <c r="I398" i="1"/>
  <c r="H398" i="1" s="1"/>
  <c r="I390" i="1"/>
  <c r="H390" i="1" s="1"/>
  <c r="I378" i="1"/>
  <c r="H378" i="1" s="1"/>
  <c r="I373" i="1"/>
  <c r="H373" i="1" s="1"/>
  <c r="I343" i="1"/>
  <c r="H343" i="1" s="1"/>
  <c r="I309" i="1"/>
  <c r="H309" i="1" s="1"/>
  <c r="I287" i="1"/>
  <c r="H287" i="1" s="1"/>
  <c r="I285" i="1"/>
  <c r="H285" i="1" s="1"/>
  <c r="I280" i="1"/>
  <c r="H280" i="1" s="1"/>
  <c r="I276" i="1"/>
  <c r="H276" i="1" s="1"/>
  <c r="I272" i="1"/>
  <c r="H272" i="1" s="1"/>
  <c r="I268" i="1"/>
  <c r="H268" i="1" s="1"/>
  <c r="I264" i="1"/>
  <c r="H264" i="1" s="1"/>
  <c r="I260" i="1"/>
  <c r="H260" i="1" s="1"/>
  <c r="I256" i="1"/>
  <c r="H256" i="1" s="1"/>
  <c r="I252" i="1"/>
  <c r="H252" i="1" s="1"/>
  <c r="I248" i="1"/>
  <c r="H248" i="1" s="1"/>
  <c r="I245" i="1"/>
  <c r="H245" i="1" s="1"/>
  <c r="I237" i="1"/>
  <c r="H237" i="1" s="1"/>
  <c r="I311" i="1"/>
  <c r="H311" i="1" s="1"/>
  <c r="I284" i="1"/>
  <c r="H284" i="1" s="1"/>
  <c r="I239" i="1"/>
  <c r="H239" i="1" s="1"/>
  <c r="I232" i="1"/>
  <c r="H232" i="1" s="1"/>
  <c r="I223" i="1"/>
  <c r="H223" i="1" s="1"/>
  <c r="I341" i="1"/>
  <c r="H341" i="1" s="1"/>
  <c r="I301" i="1"/>
  <c r="H301" i="1" s="1"/>
  <c r="I279" i="1"/>
  <c r="H279" i="1" s="1"/>
  <c r="I271" i="1"/>
  <c r="H271" i="1" s="1"/>
  <c r="I263" i="1"/>
  <c r="H263" i="1" s="1"/>
  <c r="I255" i="1"/>
  <c r="H255" i="1" s="1"/>
  <c r="I303" i="1"/>
  <c r="H303" i="1" s="1"/>
  <c r="I247" i="1"/>
  <c r="H247" i="1" s="1"/>
  <c r="I335" i="1"/>
  <c r="H335" i="1" s="1"/>
  <c r="I293" i="1"/>
  <c r="H293" i="1" s="1"/>
  <c r="I295" i="1"/>
  <c r="H295" i="1" s="1"/>
  <c r="I231" i="1"/>
  <c r="H231" i="1" s="1"/>
  <c r="I215" i="1"/>
  <c r="H215" i="1" s="1"/>
  <c r="I204" i="1"/>
  <c r="H204" i="1" s="1"/>
  <c r="I196" i="1"/>
  <c r="H196" i="1" s="1"/>
  <c r="I317" i="1"/>
  <c r="H317" i="1" s="1"/>
  <c r="I261" i="1"/>
  <c r="H261" i="1" s="1"/>
  <c r="I257" i="1"/>
  <c r="H257" i="1" s="1"/>
  <c r="I253" i="1"/>
  <c r="H253" i="1" s="1"/>
  <c r="I249" i="1"/>
  <c r="H249" i="1" s="1"/>
  <c r="I233" i="1"/>
  <c r="H233" i="1" s="1"/>
  <c r="I226" i="1"/>
  <c r="H226" i="1" s="1"/>
  <c r="I217" i="1"/>
  <c r="H217" i="1" s="1"/>
  <c r="I210" i="1"/>
  <c r="H210" i="1" s="1"/>
  <c r="I327" i="1"/>
  <c r="H327" i="1" s="1"/>
  <c r="I319" i="1"/>
  <c r="H319" i="1" s="1"/>
  <c r="I242" i="1"/>
  <c r="H242" i="1" s="1"/>
  <c r="I228" i="1"/>
  <c r="H228" i="1" s="1"/>
  <c r="I212" i="1"/>
  <c r="H212" i="1" s="1"/>
  <c r="E18" i="1"/>
  <c r="D18" i="1" s="1"/>
  <c r="E27" i="1"/>
  <c r="D27" i="1" s="1"/>
  <c r="I34" i="1"/>
  <c r="H34" i="1" s="1"/>
  <c r="I38" i="1"/>
  <c r="H38" i="1" s="1"/>
  <c r="C47" i="1"/>
  <c r="B47" i="1" s="1"/>
  <c r="G56" i="1"/>
  <c r="F56" i="1" s="1"/>
  <c r="G5" i="1"/>
  <c r="F5" i="1" s="1"/>
  <c r="G21" i="1"/>
  <c r="F21" i="1" s="1"/>
  <c r="E37" i="1"/>
  <c r="D37" i="1" s="1"/>
  <c r="I60" i="1"/>
  <c r="H60" i="1" s="1"/>
  <c r="I16" i="1"/>
  <c r="H16" i="1" s="1"/>
  <c r="C40" i="1"/>
  <c r="B40" i="1" s="1"/>
  <c r="C66" i="1"/>
  <c r="B66" i="1" s="1"/>
  <c r="E71" i="1"/>
  <c r="D71" i="1" s="1"/>
  <c r="G82" i="1"/>
  <c r="F82" i="1" s="1"/>
  <c r="I83" i="1"/>
  <c r="H83" i="1" s="1"/>
  <c r="I2" i="1"/>
  <c r="H2" i="1" s="1"/>
  <c r="I25" i="1"/>
  <c r="H25" i="1" s="1"/>
  <c r="I33" i="1"/>
  <c r="H33" i="1" s="1"/>
  <c r="I41" i="1"/>
  <c r="H41" i="1" s="1"/>
  <c r="G50" i="1"/>
  <c r="F50" i="1" s="1"/>
  <c r="G58" i="1"/>
  <c r="F58" i="1" s="1"/>
  <c r="I64" i="1"/>
  <c r="H64" i="1" s="1"/>
  <c r="E76" i="1"/>
  <c r="D76" i="1" s="1"/>
  <c r="I80" i="1"/>
  <c r="H80" i="1" s="1"/>
  <c r="E92" i="1"/>
  <c r="D92" i="1" s="1"/>
  <c r="I96" i="1"/>
  <c r="H96" i="1" s="1"/>
  <c r="E108" i="1"/>
  <c r="D108" i="1" s="1"/>
  <c r="I112" i="1"/>
  <c r="H112" i="1" s="1"/>
  <c r="C122" i="1"/>
  <c r="B122" i="1" s="1"/>
  <c r="G132" i="1"/>
  <c r="F132" i="1" s="1"/>
  <c r="E133" i="1"/>
  <c r="D133" i="1" s="1"/>
  <c r="G143" i="1"/>
  <c r="F143" i="1" s="1"/>
  <c r="E146" i="1"/>
  <c r="D146" i="1" s="1"/>
  <c r="G148" i="1"/>
  <c r="F148" i="1" s="1"/>
  <c r="E149" i="1"/>
  <c r="D149" i="1" s="1"/>
  <c r="G159" i="1"/>
  <c r="F159" i="1" s="1"/>
  <c r="E162" i="1"/>
  <c r="D162" i="1" s="1"/>
  <c r="G164" i="1"/>
  <c r="F164" i="1" s="1"/>
  <c r="E165" i="1"/>
  <c r="D165" i="1" s="1"/>
  <c r="G175" i="1"/>
  <c r="F175" i="1" s="1"/>
  <c r="E178" i="1"/>
  <c r="D178" i="1" s="1"/>
  <c r="G180" i="1"/>
  <c r="F180" i="1" s="1"/>
  <c r="E181" i="1"/>
  <c r="D181" i="1" s="1"/>
  <c r="I188" i="1"/>
  <c r="H188" i="1" s="1"/>
  <c r="E192" i="1"/>
  <c r="D192" i="1" s="1"/>
  <c r="C197" i="1"/>
  <c r="B197" i="1" s="1"/>
  <c r="I199" i="1"/>
  <c r="H199" i="1" s="1"/>
  <c r="G200" i="1"/>
  <c r="F200" i="1" s="1"/>
  <c r="G205" i="1"/>
  <c r="F205" i="1" s="1"/>
  <c r="G206" i="1"/>
  <c r="F206" i="1" s="1"/>
  <c r="G211" i="1"/>
  <c r="F211" i="1" s="1"/>
  <c r="C215" i="1"/>
  <c r="B215" i="1" s="1"/>
  <c r="I218" i="1"/>
  <c r="H218" i="1" s="1"/>
  <c r="E222" i="1"/>
  <c r="D222" i="1" s="1"/>
  <c r="G223" i="1"/>
  <c r="F223" i="1" s="1"/>
  <c r="C229" i="1"/>
  <c r="B229" i="1" s="1"/>
  <c r="E230" i="1"/>
  <c r="D230" i="1" s="1"/>
  <c r="G234" i="1"/>
  <c r="F234" i="1" s="1"/>
  <c r="I269" i="1"/>
  <c r="H269" i="1" s="1"/>
  <c r="I277" i="1"/>
  <c r="H277" i="1" s="1"/>
  <c r="E11" i="1"/>
  <c r="D11" i="1" s="1"/>
  <c r="E28" i="1"/>
  <c r="D28" i="1" s="1"/>
  <c r="I47" i="1"/>
  <c r="H47" i="1" s="1"/>
  <c r="I49" i="1"/>
  <c r="H49" i="1" s="1"/>
  <c r="I53" i="1"/>
  <c r="H53" i="1" s="1"/>
  <c r="I55" i="1"/>
  <c r="H55" i="1" s="1"/>
  <c r="I57" i="1"/>
  <c r="H57" i="1" s="1"/>
  <c r="I61" i="1"/>
  <c r="H61" i="1" s="1"/>
  <c r="E64" i="1"/>
  <c r="D64" i="1" s="1"/>
  <c r="C69" i="1"/>
  <c r="B69" i="1" s="1"/>
  <c r="G73" i="1"/>
  <c r="F73" i="1" s="1"/>
  <c r="I77" i="1"/>
  <c r="H77" i="1" s="1"/>
  <c r="E78" i="1"/>
  <c r="D78" i="1" s="1"/>
  <c r="C85" i="1"/>
  <c r="B85" i="1" s="1"/>
  <c r="G89" i="1"/>
  <c r="F89" i="1" s="1"/>
  <c r="I93" i="1"/>
  <c r="H93" i="1" s="1"/>
  <c r="E96" i="1"/>
  <c r="D96" i="1" s="1"/>
  <c r="C101" i="1"/>
  <c r="B101" i="1" s="1"/>
  <c r="G105" i="1"/>
  <c r="F105" i="1" s="1"/>
  <c r="I109" i="1"/>
  <c r="H109" i="1" s="1"/>
  <c r="E112" i="1"/>
  <c r="D112" i="1" s="1"/>
  <c r="C117" i="1"/>
  <c r="B117" i="1" s="1"/>
  <c r="I121" i="1"/>
  <c r="H121" i="1" s="1"/>
  <c r="G126" i="1"/>
  <c r="F126" i="1" s="1"/>
  <c r="C129" i="1"/>
  <c r="B129" i="1" s="1"/>
  <c r="I135" i="1"/>
  <c r="H135" i="1" s="1"/>
  <c r="C137" i="1"/>
  <c r="B137" i="1" s="1"/>
  <c r="I140" i="1"/>
  <c r="H140" i="1" s="1"/>
  <c r="E142" i="1"/>
  <c r="D142" i="1" s="1"/>
  <c r="C148" i="1"/>
  <c r="B148" i="1" s="1"/>
  <c r="E152" i="1"/>
  <c r="D152" i="1" s="1"/>
  <c r="G154" i="1"/>
  <c r="F154" i="1" s="1"/>
  <c r="G157" i="1"/>
  <c r="F157" i="1" s="1"/>
  <c r="E163" i="1"/>
  <c r="D163" i="1" s="1"/>
  <c r="I167" i="1"/>
  <c r="H167" i="1" s="1"/>
  <c r="E168" i="1"/>
  <c r="D168" i="1" s="1"/>
  <c r="C169" i="1"/>
  <c r="B169" i="1" s="1"/>
  <c r="G170" i="1"/>
  <c r="F170" i="1" s="1"/>
  <c r="I172" i="1"/>
  <c r="H172" i="1" s="1"/>
  <c r="G173" i="1"/>
  <c r="F173" i="1" s="1"/>
  <c r="E174" i="1"/>
  <c r="D174" i="1" s="1"/>
  <c r="E179" i="1"/>
  <c r="D179" i="1" s="1"/>
  <c r="C180" i="1"/>
  <c r="B180" i="1" s="1"/>
  <c r="I183" i="1"/>
  <c r="H183" i="1" s="1"/>
  <c r="E184" i="1"/>
  <c r="D184" i="1" s="1"/>
  <c r="C185" i="1"/>
  <c r="B185" i="1" s="1"/>
  <c r="G186" i="1"/>
  <c r="F186" i="1" s="1"/>
  <c r="I190" i="1"/>
  <c r="H190" i="1" s="1"/>
  <c r="I191" i="1"/>
  <c r="H191" i="1" s="1"/>
  <c r="G192" i="1"/>
  <c r="F192" i="1" s="1"/>
  <c r="E193" i="1"/>
  <c r="D193" i="1" s="1"/>
  <c r="I197" i="1"/>
  <c r="H197" i="1" s="1"/>
  <c r="G203" i="1"/>
  <c r="F203" i="1" s="1"/>
  <c r="G204" i="1"/>
  <c r="F204" i="1" s="1"/>
  <c r="I206" i="1"/>
  <c r="H206" i="1" s="1"/>
  <c r="C209" i="1"/>
  <c r="B209" i="1" s="1"/>
  <c r="E216" i="1"/>
  <c r="D216" i="1" s="1"/>
  <c r="I221" i="1"/>
  <c r="H221" i="1" s="1"/>
  <c r="G230" i="1"/>
  <c r="F230" i="1" s="1"/>
  <c r="I234" i="1"/>
  <c r="H234" i="1" s="1"/>
  <c r="E236" i="1"/>
  <c r="D236" i="1" s="1"/>
  <c r="G239" i="1"/>
  <c r="F239" i="1" s="1"/>
  <c r="E244" i="1"/>
  <c r="D244" i="1" s="1"/>
  <c r="G247" i="1"/>
  <c r="F247" i="1" s="1"/>
  <c r="I250" i="1"/>
  <c r="H250" i="1" s="1"/>
  <c r="E252" i="1"/>
  <c r="D252" i="1" s="1"/>
  <c r="G255" i="1"/>
  <c r="F255" i="1" s="1"/>
  <c r="I258" i="1"/>
  <c r="H258" i="1" s="1"/>
  <c r="E260" i="1"/>
  <c r="D260" i="1" s="1"/>
  <c r="G263" i="1"/>
  <c r="F263" i="1" s="1"/>
  <c r="I266" i="1"/>
  <c r="H266" i="1" s="1"/>
  <c r="E268" i="1"/>
  <c r="D268" i="1" s="1"/>
  <c r="G271" i="1"/>
  <c r="F271" i="1" s="1"/>
  <c r="I274" i="1"/>
  <c r="H274" i="1" s="1"/>
  <c r="E276" i="1"/>
  <c r="D276" i="1" s="1"/>
  <c r="G279" i="1"/>
  <c r="F279" i="1" s="1"/>
  <c r="I282" i="1"/>
  <c r="H282" i="1" s="1"/>
  <c r="E26" i="1"/>
  <c r="D26" i="1" s="1"/>
  <c r="E44" i="1"/>
  <c r="D44" i="1" s="1"/>
  <c r="I48" i="1"/>
  <c r="H48" i="1" s="1"/>
  <c r="I51" i="1"/>
  <c r="H51" i="1" s="1"/>
  <c r="E54" i="1"/>
  <c r="D54" i="1" s="1"/>
  <c r="I56" i="1"/>
  <c r="H56" i="1" s="1"/>
  <c r="I59" i="1"/>
  <c r="H59" i="1" s="1"/>
  <c r="E62" i="1"/>
  <c r="D62" i="1" s="1"/>
  <c r="C67" i="1"/>
  <c r="B67" i="1" s="1"/>
  <c r="I70" i="1"/>
  <c r="H70" i="1" s="1"/>
  <c r="C76" i="1"/>
  <c r="B76" i="1" s="1"/>
  <c r="E80" i="1"/>
  <c r="D80" i="1" s="1"/>
  <c r="C83" i="1"/>
  <c r="B83" i="1" s="1"/>
  <c r="I86" i="1"/>
  <c r="H86" i="1" s="1"/>
  <c r="C92" i="1"/>
  <c r="B92" i="1" s="1"/>
  <c r="E94" i="1"/>
  <c r="D94" i="1" s="1"/>
  <c r="C99" i="1"/>
  <c r="B99" i="1" s="1"/>
  <c r="I102" i="1"/>
  <c r="H102" i="1" s="1"/>
  <c r="C108" i="1"/>
  <c r="B108" i="1" s="1"/>
  <c r="E110" i="1"/>
  <c r="D110" i="1" s="1"/>
  <c r="C115" i="1"/>
  <c r="B115" i="1" s="1"/>
  <c r="I118" i="1"/>
  <c r="H118" i="1" s="1"/>
  <c r="I124" i="1"/>
  <c r="H124" i="1" s="1"/>
  <c r="E128" i="1"/>
  <c r="D128" i="1" s="1"/>
  <c r="C132" i="1"/>
  <c r="B132" i="1" s="1"/>
  <c r="E136" i="1"/>
  <c r="D136" i="1" s="1"/>
  <c r="G138" i="1"/>
  <c r="F138" i="1" s="1"/>
  <c r="G141" i="1"/>
  <c r="F141" i="1" s="1"/>
  <c r="E147" i="1"/>
  <c r="D147" i="1" s="1"/>
  <c r="I151" i="1"/>
  <c r="H151" i="1" s="1"/>
  <c r="C153" i="1"/>
  <c r="B153" i="1" s="1"/>
  <c r="I156" i="1"/>
  <c r="H156" i="1" s="1"/>
  <c r="E158" i="1"/>
  <c r="D158" i="1" s="1"/>
  <c r="C164" i="1"/>
  <c r="B164" i="1" s="1"/>
  <c r="C2" i="1"/>
  <c r="B2" i="1" s="1"/>
  <c r="E1433" i="1"/>
  <c r="D1433" i="1" s="1"/>
  <c r="E1425" i="1"/>
  <c r="D1425" i="1" s="1"/>
  <c r="E1417" i="1"/>
  <c r="D1417" i="1" s="1"/>
  <c r="E1409" i="1"/>
  <c r="D1409" i="1" s="1"/>
  <c r="E1436" i="1"/>
  <c r="D1436" i="1" s="1"/>
  <c r="E1431" i="1"/>
  <c r="D1431" i="1" s="1"/>
  <c r="E1423" i="1"/>
  <c r="D1423" i="1" s="1"/>
  <c r="E1415" i="1"/>
  <c r="D1415" i="1" s="1"/>
  <c r="E1407" i="1"/>
  <c r="D1407" i="1" s="1"/>
  <c r="E1434" i="1"/>
  <c r="D1434" i="1" s="1"/>
  <c r="E1437" i="1"/>
  <c r="D1437" i="1" s="1"/>
  <c r="E1429" i="1"/>
  <c r="D1429" i="1" s="1"/>
  <c r="E1421" i="1"/>
  <c r="D1421" i="1" s="1"/>
  <c r="E1413" i="1"/>
  <c r="D1413" i="1" s="1"/>
  <c r="E1405" i="1"/>
  <c r="D1405" i="1" s="1"/>
  <c r="E1397" i="1"/>
  <c r="D1397" i="1" s="1"/>
  <c r="E1389" i="1"/>
  <c r="D1389" i="1" s="1"/>
  <c r="E1432" i="1"/>
  <c r="D1432" i="1" s="1"/>
  <c r="E1424" i="1"/>
  <c r="D1424" i="1" s="1"/>
  <c r="E1416" i="1"/>
  <c r="D1416" i="1" s="1"/>
  <c r="E1408" i="1"/>
  <c r="D1408" i="1" s="1"/>
  <c r="E1400" i="1"/>
  <c r="D1400" i="1" s="1"/>
  <c r="E1392" i="1"/>
  <c r="D1392" i="1" s="1"/>
  <c r="E1384" i="1"/>
  <c r="D1384" i="1" s="1"/>
  <c r="E1376" i="1"/>
  <c r="D1376" i="1" s="1"/>
  <c r="E1402" i="1"/>
  <c r="D1402" i="1" s="1"/>
  <c r="E1394" i="1"/>
  <c r="D1394" i="1" s="1"/>
  <c r="E1386" i="1"/>
  <c r="D1386" i="1" s="1"/>
  <c r="E1385" i="1"/>
  <c r="D1385" i="1" s="1"/>
  <c r="E1378" i="1"/>
  <c r="D1378" i="1" s="1"/>
  <c r="E1377" i="1"/>
  <c r="D1377" i="1" s="1"/>
  <c r="E1418" i="1"/>
  <c r="D1418" i="1" s="1"/>
  <c r="E1410" i="1"/>
  <c r="D1410" i="1" s="1"/>
  <c r="E1399" i="1"/>
  <c r="D1399" i="1" s="1"/>
  <c r="E1391" i="1"/>
  <c r="D1391" i="1" s="1"/>
  <c r="E1381" i="1"/>
  <c r="D1381" i="1" s="1"/>
  <c r="E1349" i="1"/>
  <c r="D1349" i="1" s="1"/>
  <c r="E1368" i="1"/>
  <c r="D1368" i="1" s="1"/>
  <c r="E1373" i="1"/>
  <c r="D1373" i="1" s="1"/>
  <c r="E1426" i="1"/>
  <c r="D1426" i="1" s="1"/>
  <c r="E1404" i="1"/>
  <c r="D1404" i="1" s="1"/>
  <c r="E1401" i="1"/>
  <c r="D1401" i="1" s="1"/>
  <c r="E1393" i="1"/>
  <c r="D1393" i="1" s="1"/>
  <c r="E1365" i="1"/>
  <c r="D1365" i="1" s="1"/>
  <c r="E1359" i="1"/>
  <c r="D1359" i="1" s="1"/>
  <c r="E1341" i="1"/>
  <c r="D1341" i="1" s="1"/>
  <c r="E1333" i="1"/>
  <c r="D1333" i="1" s="1"/>
  <c r="E1325" i="1"/>
  <c r="D1325" i="1" s="1"/>
  <c r="E1372" i="1"/>
  <c r="D1372" i="1" s="1"/>
  <c r="E1354" i="1"/>
  <c r="D1354" i="1" s="1"/>
  <c r="E1351" i="1"/>
  <c r="D1351" i="1" s="1"/>
  <c r="E1369" i="1"/>
  <c r="D1369" i="1" s="1"/>
  <c r="E1353" i="1"/>
  <c r="D1353" i="1" s="1"/>
  <c r="E1348" i="1"/>
  <c r="D1348" i="1" s="1"/>
  <c r="E1367" i="1"/>
  <c r="D1367" i="1" s="1"/>
  <c r="E1357" i="1"/>
  <c r="D1357" i="1" s="1"/>
  <c r="E1350" i="1"/>
  <c r="D1350" i="1" s="1"/>
  <c r="E1346" i="1"/>
  <c r="D1346" i="1" s="1"/>
  <c r="E1344" i="1"/>
  <c r="D1344" i="1" s="1"/>
  <c r="E1318" i="1"/>
  <c r="D1318" i="1" s="1"/>
  <c r="E1352" i="1"/>
  <c r="D1352" i="1" s="1"/>
  <c r="E1340" i="1"/>
  <c r="D1340" i="1" s="1"/>
  <c r="E1332" i="1"/>
  <c r="D1332" i="1" s="1"/>
  <c r="E1311" i="1"/>
  <c r="D1311" i="1" s="1"/>
  <c r="E1303" i="1"/>
  <c r="D1303" i="1" s="1"/>
  <c r="E1334" i="1"/>
  <c r="D1334" i="1" s="1"/>
  <c r="E1322" i="1"/>
  <c r="D1322" i="1" s="1"/>
  <c r="E1336" i="1"/>
  <c r="D1336" i="1" s="1"/>
  <c r="E1328" i="1"/>
  <c r="D1328" i="1" s="1"/>
  <c r="E1310" i="1"/>
  <c r="D1310" i="1" s="1"/>
  <c r="E1302" i="1"/>
  <c r="D1302" i="1" s="1"/>
  <c r="E1294" i="1"/>
  <c r="D1294" i="1" s="1"/>
  <c r="E1342" i="1"/>
  <c r="D1342" i="1" s="1"/>
  <c r="E1320" i="1"/>
  <c r="D1320" i="1" s="1"/>
  <c r="E1307" i="1"/>
  <c r="D1307" i="1" s="1"/>
  <c r="E1299" i="1"/>
  <c r="D1299" i="1" s="1"/>
  <c r="E1324" i="1"/>
  <c r="D1324" i="1" s="1"/>
  <c r="E1245" i="1"/>
  <c r="D1245" i="1" s="1"/>
  <c r="E1287" i="1"/>
  <c r="D1287" i="1" s="1"/>
  <c r="E1283" i="1"/>
  <c r="D1283" i="1" s="1"/>
  <c r="E1286" i="1"/>
  <c r="D1286" i="1" s="1"/>
  <c r="E1280" i="1"/>
  <c r="D1280" i="1" s="1"/>
  <c r="E1293" i="1"/>
  <c r="D1293" i="1" s="1"/>
  <c r="E1319" i="1"/>
  <c r="D1319" i="1" s="1"/>
  <c r="E1301" i="1"/>
  <c r="D1301" i="1" s="1"/>
  <c r="E1295" i="1"/>
  <c r="D1295" i="1" s="1"/>
  <c r="E1285" i="1"/>
  <c r="D1285" i="1" s="1"/>
  <c r="E1282" i="1"/>
  <c r="D1282" i="1" s="1"/>
  <c r="E1289" i="1"/>
  <c r="D1289" i="1" s="1"/>
  <c r="E1288" i="1"/>
  <c r="D1288" i="1" s="1"/>
  <c r="E1279" i="1"/>
  <c r="D1279" i="1" s="1"/>
  <c r="E1277" i="1"/>
  <c r="D1277" i="1" s="1"/>
  <c r="E1271" i="1"/>
  <c r="D1271" i="1" s="1"/>
  <c r="E1269" i="1"/>
  <c r="D1269" i="1" s="1"/>
  <c r="E1244" i="1"/>
  <c r="D1244" i="1" s="1"/>
  <c r="E1236" i="1"/>
  <c r="D1236" i="1" s="1"/>
  <c r="E1228" i="1"/>
  <c r="D1228" i="1" s="1"/>
  <c r="E1338" i="1"/>
  <c r="D1338" i="1" s="1"/>
  <c r="E1210" i="1"/>
  <c r="D1210" i="1" s="1"/>
  <c r="E1202" i="1"/>
  <c r="D1202" i="1" s="1"/>
  <c r="E1309" i="1"/>
  <c r="D1309" i="1" s="1"/>
  <c r="E1259" i="1"/>
  <c r="D1259" i="1" s="1"/>
  <c r="E1251" i="1"/>
  <c r="D1251" i="1" s="1"/>
  <c r="E1238" i="1"/>
  <c r="D1238" i="1" s="1"/>
  <c r="E1267" i="1"/>
  <c r="D1267" i="1" s="1"/>
  <c r="E1247" i="1"/>
  <c r="D1247" i="1" s="1"/>
  <c r="E1246" i="1"/>
  <c r="D1246" i="1" s="1"/>
  <c r="E1275" i="1"/>
  <c r="D1275" i="1" s="1"/>
  <c r="E1237" i="1"/>
  <c r="D1237" i="1" s="1"/>
  <c r="E1240" i="1"/>
  <c r="D1240" i="1" s="1"/>
  <c r="E1212" i="1"/>
  <c r="D1212" i="1" s="1"/>
  <c r="E1211" i="1"/>
  <c r="D1211" i="1" s="1"/>
  <c r="E1206" i="1"/>
  <c r="D1206" i="1" s="1"/>
  <c r="E1198" i="1"/>
  <c r="D1198" i="1" s="1"/>
  <c r="E1207" i="1"/>
  <c r="D1207" i="1" s="1"/>
  <c r="E1199" i="1"/>
  <c r="D1199" i="1" s="1"/>
  <c r="E1241" i="1"/>
  <c r="D1241" i="1" s="1"/>
  <c r="E1220" i="1"/>
  <c r="D1220" i="1" s="1"/>
  <c r="E1178" i="1"/>
  <c r="D1178" i="1" s="1"/>
  <c r="E1233" i="1"/>
  <c r="D1233" i="1" s="1"/>
  <c r="E1194" i="1"/>
  <c r="D1194" i="1" s="1"/>
  <c r="E1186" i="1"/>
  <c r="D1186" i="1" s="1"/>
  <c r="E1191" i="1"/>
  <c r="D1191" i="1" s="1"/>
  <c r="E1230" i="1"/>
  <c r="D1230" i="1" s="1"/>
  <c r="E1204" i="1"/>
  <c r="D1204" i="1" s="1"/>
  <c r="E1203" i="1"/>
  <c r="D1203" i="1" s="1"/>
  <c r="E1196" i="1"/>
  <c r="D1196" i="1" s="1"/>
  <c r="E1190" i="1"/>
  <c r="D1190" i="1" s="1"/>
  <c r="E1183" i="1"/>
  <c r="D1183" i="1" s="1"/>
  <c r="E1195" i="1"/>
  <c r="D1195" i="1" s="1"/>
  <c r="E1187" i="1"/>
  <c r="D1187" i="1" s="1"/>
  <c r="E1170" i="1"/>
  <c r="D1170" i="1" s="1"/>
  <c r="E1167" i="1"/>
  <c r="D1167" i="1" s="1"/>
  <c r="E1143" i="1"/>
  <c r="D1143" i="1" s="1"/>
  <c r="E1181" i="1"/>
  <c r="D1181" i="1" s="1"/>
  <c r="E1166" i="1"/>
  <c r="D1166" i="1" s="1"/>
  <c r="E1155" i="1"/>
  <c r="D1155" i="1" s="1"/>
  <c r="E1142" i="1"/>
  <c r="D1142" i="1" s="1"/>
  <c r="E1180" i="1"/>
  <c r="D1180" i="1" s="1"/>
  <c r="E1165" i="1"/>
  <c r="D1165" i="1" s="1"/>
  <c r="E1151" i="1"/>
  <c r="D1151" i="1" s="1"/>
  <c r="E1137" i="1"/>
  <c r="D1137" i="1" s="1"/>
  <c r="E1182" i="1"/>
  <c r="D1182" i="1" s="1"/>
  <c r="E1164" i="1"/>
  <c r="D1164" i="1" s="1"/>
  <c r="E1159" i="1"/>
  <c r="D1159" i="1" s="1"/>
  <c r="E1150" i="1"/>
  <c r="D1150" i="1" s="1"/>
  <c r="E1135" i="1"/>
  <c r="D1135" i="1" s="1"/>
  <c r="E1133" i="1"/>
  <c r="D1133" i="1" s="1"/>
  <c r="E1158" i="1"/>
  <c r="D1158" i="1" s="1"/>
  <c r="E1154" i="1"/>
  <c r="D1154" i="1" s="1"/>
  <c r="E1173" i="1"/>
  <c r="D1173" i="1" s="1"/>
  <c r="E1175" i="1"/>
  <c r="D1175" i="1" s="1"/>
  <c r="E1172" i="1"/>
  <c r="D1172" i="1" s="1"/>
  <c r="E1157" i="1"/>
  <c r="D1157" i="1" s="1"/>
  <c r="E1174" i="1"/>
  <c r="D1174" i="1" s="1"/>
  <c r="E1162" i="1"/>
  <c r="D1162" i="1" s="1"/>
  <c r="E1156" i="1"/>
  <c r="D1156" i="1" s="1"/>
  <c r="E1146" i="1"/>
  <c r="D1146" i="1" s="1"/>
  <c r="E1138" i="1"/>
  <c r="D1138" i="1" s="1"/>
  <c r="E1130" i="1"/>
  <c r="D1130" i="1" s="1"/>
  <c r="E1122" i="1"/>
  <c r="D1122" i="1" s="1"/>
  <c r="E1119" i="1"/>
  <c r="D1119" i="1" s="1"/>
  <c r="E1109" i="1"/>
  <c r="D1109" i="1" s="1"/>
  <c r="E1103" i="1"/>
  <c r="D1103" i="1" s="1"/>
  <c r="E1101" i="1"/>
  <c r="D1101" i="1" s="1"/>
  <c r="E1095" i="1"/>
  <c r="D1095" i="1" s="1"/>
  <c r="E1093" i="1"/>
  <c r="D1093" i="1" s="1"/>
  <c r="E1080" i="1"/>
  <c r="D1080" i="1" s="1"/>
  <c r="E1123" i="1"/>
  <c r="D1123" i="1" s="1"/>
  <c r="E1127" i="1"/>
  <c r="D1127" i="1" s="1"/>
  <c r="E1125" i="1"/>
  <c r="D1125" i="1" s="1"/>
  <c r="E1114" i="1"/>
  <c r="D1114" i="1" s="1"/>
  <c r="E1111" i="1"/>
  <c r="D1111" i="1" s="1"/>
  <c r="E1086" i="1"/>
  <c r="D1086" i="1" s="1"/>
  <c r="E1129" i="1"/>
  <c r="D1129" i="1" s="1"/>
  <c r="E1121" i="1"/>
  <c r="D1121" i="1" s="1"/>
  <c r="E1117" i="1"/>
  <c r="D1117" i="1" s="1"/>
  <c r="E1131" i="1"/>
  <c r="D1131" i="1" s="1"/>
  <c r="E1116" i="1"/>
  <c r="D1116" i="1" s="1"/>
  <c r="E1102" i="1"/>
  <c r="D1102" i="1" s="1"/>
  <c r="E1094" i="1"/>
  <c r="D1094" i="1" s="1"/>
  <c r="E1134" i="1"/>
  <c r="D1134" i="1" s="1"/>
  <c r="E1115" i="1"/>
  <c r="D1115" i="1" s="1"/>
  <c r="E1046" i="1"/>
  <c r="D1046" i="1" s="1"/>
  <c r="E1038" i="1"/>
  <c r="D1038" i="1" s="1"/>
  <c r="E1030" i="1"/>
  <c r="D1030" i="1" s="1"/>
  <c r="E1022" i="1"/>
  <c r="D1022" i="1" s="1"/>
  <c r="E1014" i="1"/>
  <c r="D1014" i="1" s="1"/>
  <c r="E1090" i="1"/>
  <c r="D1090" i="1" s="1"/>
  <c r="E1082" i="1"/>
  <c r="D1082" i="1" s="1"/>
  <c r="E1079" i="1"/>
  <c r="D1079" i="1" s="1"/>
  <c r="E1005" i="1"/>
  <c r="D1005" i="1" s="1"/>
  <c r="E997" i="1"/>
  <c r="D997" i="1" s="1"/>
  <c r="E989" i="1"/>
  <c r="D989" i="1" s="1"/>
  <c r="E981" i="1"/>
  <c r="D981" i="1" s="1"/>
  <c r="E973" i="1"/>
  <c r="D973" i="1" s="1"/>
  <c r="E965" i="1"/>
  <c r="D965" i="1" s="1"/>
  <c r="E1074" i="1"/>
  <c r="D1074" i="1" s="1"/>
  <c r="E1066" i="1"/>
  <c r="D1066" i="1" s="1"/>
  <c r="E1058" i="1"/>
  <c r="D1058" i="1" s="1"/>
  <c r="E1045" i="1"/>
  <c r="D1045" i="1" s="1"/>
  <c r="E1078" i="1"/>
  <c r="D1078" i="1" s="1"/>
  <c r="E1070" i="1"/>
  <c r="D1070" i="1" s="1"/>
  <c r="E1062" i="1"/>
  <c r="D1062" i="1" s="1"/>
  <c r="E1054" i="1"/>
  <c r="D1054" i="1" s="1"/>
  <c r="E1034" i="1"/>
  <c r="D1034" i="1" s="1"/>
  <c r="E1085" i="1"/>
  <c r="D1085" i="1" s="1"/>
  <c r="E1077" i="1"/>
  <c r="D1077" i="1" s="1"/>
  <c r="E1069" i="1"/>
  <c r="D1069" i="1" s="1"/>
  <c r="E1061" i="1"/>
  <c r="D1061" i="1" s="1"/>
  <c r="E1053" i="1"/>
  <c r="D1053" i="1" s="1"/>
  <c r="E1033" i="1"/>
  <c r="D1033" i="1" s="1"/>
  <c r="E1025" i="1"/>
  <c r="D1025" i="1" s="1"/>
  <c r="E1017" i="1"/>
  <c r="D1017" i="1" s="1"/>
  <c r="E1013" i="1"/>
  <c r="D1013" i="1" s="1"/>
  <c r="E956" i="1"/>
  <c r="D956" i="1" s="1"/>
  <c r="E949" i="1"/>
  <c r="D949" i="1" s="1"/>
  <c r="E1037" i="1"/>
  <c r="D1037" i="1" s="1"/>
  <c r="E1002" i="1"/>
  <c r="D1002" i="1" s="1"/>
  <c r="E1001" i="1"/>
  <c r="D1001" i="1" s="1"/>
  <c r="E1000" i="1"/>
  <c r="D1000" i="1" s="1"/>
  <c r="E985" i="1"/>
  <c r="D985" i="1" s="1"/>
  <c r="E984" i="1"/>
  <c r="D984" i="1" s="1"/>
  <c r="E999" i="1"/>
  <c r="D999" i="1" s="1"/>
  <c r="E1029" i="1"/>
  <c r="D1029" i="1" s="1"/>
  <c r="E1007" i="1"/>
  <c r="D1007" i="1" s="1"/>
  <c r="E977" i="1"/>
  <c r="D977" i="1" s="1"/>
  <c r="E1009" i="1"/>
  <c r="D1009" i="1" s="1"/>
  <c r="E1008" i="1"/>
  <c r="D1008" i="1" s="1"/>
  <c r="E961" i="1"/>
  <c r="D961" i="1" s="1"/>
  <c r="E953" i="1"/>
  <c r="D953" i="1" s="1"/>
  <c r="E1021" i="1"/>
  <c r="D1021" i="1" s="1"/>
  <c r="E1010" i="1"/>
  <c r="D1010" i="1" s="1"/>
  <c r="E993" i="1"/>
  <c r="D993" i="1" s="1"/>
  <c r="E992" i="1"/>
  <c r="D992" i="1" s="1"/>
  <c r="E976" i="1"/>
  <c r="D976" i="1" s="1"/>
  <c r="E991" i="1"/>
  <c r="D991" i="1" s="1"/>
  <c r="E975" i="1"/>
  <c r="D975" i="1" s="1"/>
  <c r="E970" i="1"/>
  <c r="D970" i="1" s="1"/>
  <c r="E960" i="1"/>
  <c r="D960" i="1" s="1"/>
  <c r="E952" i="1"/>
  <c r="D952" i="1" s="1"/>
  <c r="E945" i="1"/>
  <c r="D945" i="1" s="1"/>
  <c r="E937" i="1"/>
  <c r="D937" i="1" s="1"/>
  <c r="E947" i="1"/>
  <c r="D947" i="1" s="1"/>
  <c r="E925" i="1"/>
  <c r="D925" i="1" s="1"/>
  <c r="E922" i="1"/>
  <c r="D922" i="1" s="1"/>
  <c r="E914" i="1"/>
  <c r="D914" i="1" s="1"/>
  <c r="E906" i="1"/>
  <c r="D906" i="1" s="1"/>
  <c r="E898" i="1"/>
  <c r="D898" i="1" s="1"/>
  <c r="E892" i="1"/>
  <c r="D892" i="1" s="1"/>
  <c r="E890" i="1"/>
  <c r="D890" i="1" s="1"/>
  <c r="E884" i="1"/>
  <c r="D884" i="1" s="1"/>
  <c r="E882" i="1"/>
  <c r="D882" i="1" s="1"/>
  <c r="E876" i="1"/>
  <c r="D876" i="1" s="1"/>
  <c r="E874" i="1"/>
  <c r="D874" i="1" s="1"/>
  <c r="E868" i="1"/>
  <c r="D868" i="1" s="1"/>
  <c r="E866" i="1"/>
  <c r="D866" i="1" s="1"/>
  <c r="E929" i="1"/>
  <c r="D929" i="1" s="1"/>
  <c r="E835" i="1"/>
  <c r="D835" i="1" s="1"/>
  <c r="E827" i="1"/>
  <c r="D827" i="1" s="1"/>
  <c r="E933" i="1"/>
  <c r="D933" i="1" s="1"/>
  <c r="E941" i="1"/>
  <c r="D941" i="1" s="1"/>
  <c r="E921" i="1"/>
  <c r="D921" i="1" s="1"/>
  <c r="E913" i="1"/>
  <c r="D913" i="1" s="1"/>
  <c r="E905" i="1"/>
  <c r="D905" i="1" s="1"/>
  <c r="E939" i="1"/>
  <c r="D939" i="1" s="1"/>
  <c r="E923" i="1"/>
  <c r="D923" i="1" s="1"/>
  <c r="E915" i="1"/>
  <c r="D915" i="1" s="1"/>
  <c r="E907" i="1"/>
  <c r="D907" i="1" s="1"/>
  <c r="E899" i="1"/>
  <c r="D899" i="1" s="1"/>
  <c r="E895" i="1"/>
  <c r="D895" i="1" s="1"/>
  <c r="E931" i="1"/>
  <c r="D931" i="1" s="1"/>
  <c r="E920" i="1"/>
  <c r="D920" i="1" s="1"/>
  <c r="E917" i="1"/>
  <c r="D917" i="1" s="1"/>
  <c r="E912" i="1"/>
  <c r="D912" i="1" s="1"/>
  <c r="E909" i="1"/>
  <c r="D909" i="1" s="1"/>
  <c r="E904" i="1"/>
  <c r="D904" i="1" s="1"/>
  <c r="E901" i="1"/>
  <c r="D901" i="1" s="1"/>
  <c r="E870" i="1"/>
  <c r="D870" i="1" s="1"/>
  <c r="E816" i="1"/>
  <c r="D816" i="1" s="1"/>
  <c r="E808" i="1"/>
  <c r="D808" i="1" s="1"/>
  <c r="E800" i="1"/>
  <c r="D800" i="1" s="1"/>
  <c r="E792" i="1"/>
  <c r="D792" i="1" s="1"/>
  <c r="E784" i="1"/>
  <c r="D784" i="1" s="1"/>
  <c r="E776" i="1"/>
  <c r="D776" i="1" s="1"/>
  <c r="E896" i="1"/>
  <c r="D896" i="1" s="1"/>
  <c r="E872" i="1"/>
  <c r="D872" i="1" s="1"/>
  <c r="E858" i="1"/>
  <c r="D858" i="1" s="1"/>
  <c r="E842" i="1"/>
  <c r="D842" i="1" s="1"/>
  <c r="E837" i="1"/>
  <c r="D837" i="1" s="1"/>
  <c r="E836" i="1"/>
  <c r="D836" i="1" s="1"/>
  <c r="E829" i="1"/>
  <c r="D829" i="1" s="1"/>
  <c r="E828" i="1"/>
  <c r="D828" i="1" s="1"/>
  <c r="E821" i="1"/>
  <c r="D821" i="1" s="1"/>
  <c r="E862" i="1"/>
  <c r="D862" i="1" s="1"/>
  <c r="E852" i="1"/>
  <c r="D852" i="1" s="1"/>
  <c r="E846" i="1"/>
  <c r="D846" i="1" s="1"/>
  <c r="E820" i="1"/>
  <c r="D820" i="1" s="1"/>
  <c r="E879" i="1"/>
  <c r="D879" i="1" s="1"/>
  <c r="E856" i="1"/>
  <c r="D856" i="1" s="1"/>
  <c r="E855" i="1"/>
  <c r="D855" i="1" s="1"/>
  <c r="E839" i="1"/>
  <c r="D839" i="1" s="1"/>
  <c r="E831" i="1"/>
  <c r="D831" i="1" s="1"/>
  <c r="E823" i="1"/>
  <c r="D823" i="1" s="1"/>
  <c r="E894" i="1"/>
  <c r="D894" i="1" s="1"/>
  <c r="E886" i="1"/>
  <c r="D886" i="1" s="1"/>
  <c r="E878" i="1"/>
  <c r="D878" i="1" s="1"/>
  <c r="E840" i="1"/>
  <c r="D840" i="1" s="1"/>
  <c r="E832" i="1"/>
  <c r="D832" i="1" s="1"/>
  <c r="E824" i="1"/>
  <c r="D824" i="1" s="1"/>
  <c r="E887" i="1"/>
  <c r="D887" i="1" s="1"/>
  <c r="E880" i="1"/>
  <c r="D880" i="1" s="1"/>
  <c r="E850" i="1"/>
  <c r="D850" i="1" s="1"/>
  <c r="E860" i="1"/>
  <c r="D860" i="1" s="1"/>
  <c r="E854" i="1"/>
  <c r="D854" i="1" s="1"/>
  <c r="E844" i="1"/>
  <c r="D844" i="1" s="1"/>
  <c r="E763" i="1"/>
  <c r="D763" i="1" s="1"/>
  <c r="E755" i="1"/>
  <c r="D755" i="1" s="1"/>
  <c r="E811" i="1"/>
  <c r="D811" i="1" s="1"/>
  <c r="E795" i="1"/>
  <c r="D795" i="1" s="1"/>
  <c r="E751" i="1"/>
  <c r="D751" i="1" s="1"/>
  <c r="E743" i="1"/>
  <c r="D743" i="1" s="1"/>
  <c r="E863" i="1"/>
  <c r="D863" i="1" s="1"/>
  <c r="E787" i="1"/>
  <c r="D787" i="1" s="1"/>
  <c r="E780" i="1"/>
  <c r="D780" i="1" s="1"/>
  <c r="E847" i="1"/>
  <c r="D847" i="1" s="1"/>
  <c r="E812" i="1"/>
  <c r="D812" i="1" s="1"/>
  <c r="E765" i="1"/>
  <c r="D765" i="1" s="1"/>
  <c r="E757" i="1"/>
  <c r="D757" i="1" s="1"/>
  <c r="E864" i="1"/>
  <c r="D864" i="1" s="1"/>
  <c r="E888" i="1"/>
  <c r="D888" i="1" s="1"/>
  <c r="E871" i="1"/>
  <c r="D871" i="1" s="1"/>
  <c r="E848" i="1"/>
  <c r="D848" i="1" s="1"/>
  <c r="E764" i="1"/>
  <c r="D764" i="1" s="1"/>
  <c r="E756" i="1"/>
  <c r="D756" i="1" s="1"/>
  <c r="E819" i="1"/>
  <c r="D819" i="1" s="1"/>
  <c r="E807" i="1"/>
  <c r="D807" i="1" s="1"/>
  <c r="E799" i="1"/>
  <c r="D799" i="1" s="1"/>
  <c r="E788" i="1"/>
  <c r="D788" i="1" s="1"/>
  <c r="E779" i="1"/>
  <c r="D779" i="1" s="1"/>
  <c r="E772" i="1"/>
  <c r="D772" i="1" s="1"/>
  <c r="E752" i="1"/>
  <c r="D752" i="1" s="1"/>
  <c r="E747" i="1"/>
  <c r="D747" i="1" s="1"/>
  <c r="E744" i="1"/>
  <c r="D744" i="1" s="1"/>
  <c r="E815" i="1"/>
  <c r="D815" i="1" s="1"/>
  <c r="E804" i="1"/>
  <c r="D804" i="1" s="1"/>
  <c r="E803" i="1"/>
  <c r="D803" i="1" s="1"/>
  <c r="E796" i="1"/>
  <c r="D796" i="1" s="1"/>
  <c r="E767" i="1"/>
  <c r="D767" i="1" s="1"/>
  <c r="E759" i="1"/>
  <c r="D759" i="1" s="1"/>
  <c r="E749" i="1"/>
  <c r="D749" i="1" s="1"/>
  <c r="E746" i="1"/>
  <c r="D746" i="1" s="1"/>
  <c r="E741" i="1"/>
  <c r="D741" i="1" s="1"/>
  <c r="E738" i="1"/>
  <c r="D738" i="1" s="1"/>
  <c r="E727" i="1"/>
  <c r="D727" i="1" s="1"/>
  <c r="E719" i="1"/>
  <c r="D719" i="1" s="1"/>
  <c r="E703" i="1"/>
  <c r="D703" i="1" s="1"/>
  <c r="E697" i="1"/>
  <c r="D697" i="1" s="1"/>
  <c r="E736" i="1"/>
  <c r="D736" i="1" s="1"/>
  <c r="E709" i="1"/>
  <c r="D709" i="1" s="1"/>
  <c r="E699" i="1"/>
  <c r="D699" i="1" s="1"/>
  <c r="E696" i="1"/>
  <c r="D696" i="1" s="1"/>
  <c r="E694" i="1"/>
  <c r="D694" i="1" s="1"/>
  <c r="E771" i="1"/>
  <c r="D771" i="1" s="1"/>
  <c r="E735" i="1"/>
  <c r="D735" i="1" s="1"/>
  <c r="E725" i="1"/>
  <c r="D725" i="1" s="1"/>
  <c r="E724" i="1"/>
  <c r="D724" i="1" s="1"/>
  <c r="E717" i="1"/>
  <c r="D717" i="1" s="1"/>
  <c r="E705" i="1"/>
  <c r="D705" i="1" s="1"/>
  <c r="E739" i="1"/>
  <c r="D739" i="1" s="1"/>
  <c r="E723" i="1"/>
  <c r="D723" i="1" s="1"/>
  <c r="E733" i="1"/>
  <c r="D733" i="1" s="1"/>
  <c r="E732" i="1"/>
  <c r="D732" i="1" s="1"/>
  <c r="E722" i="1"/>
  <c r="D722" i="1" s="1"/>
  <c r="E716" i="1"/>
  <c r="D716" i="1" s="1"/>
  <c r="E711" i="1"/>
  <c r="D711" i="1" s="1"/>
  <c r="E689" i="1"/>
  <c r="D689" i="1" s="1"/>
  <c r="E681" i="1"/>
  <c r="D681" i="1" s="1"/>
  <c r="E673" i="1"/>
  <c r="D673" i="1" s="1"/>
  <c r="E731" i="1"/>
  <c r="D731" i="1" s="1"/>
  <c r="E715" i="1"/>
  <c r="D715" i="1" s="1"/>
  <c r="E707" i="1"/>
  <c r="D707" i="1" s="1"/>
  <c r="E701" i="1"/>
  <c r="D701" i="1" s="1"/>
  <c r="E730" i="1"/>
  <c r="D730" i="1" s="1"/>
  <c r="E714" i="1"/>
  <c r="D714" i="1" s="1"/>
  <c r="E706" i="1"/>
  <c r="D706" i="1" s="1"/>
  <c r="E593" i="1"/>
  <c r="D593" i="1" s="1"/>
  <c r="E585" i="1"/>
  <c r="D585" i="1" s="1"/>
  <c r="E577" i="1"/>
  <c r="D577" i="1" s="1"/>
  <c r="E569" i="1"/>
  <c r="D569" i="1" s="1"/>
  <c r="E613" i="1"/>
  <c r="D613" i="1" s="1"/>
  <c r="E605" i="1"/>
  <c r="D605" i="1" s="1"/>
  <c r="E617" i="1"/>
  <c r="D617" i="1" s="1"/>
  <c r="E609" i="1"/>
  <c r="D609" i="1" s="1"/>
  <c r="E601" i="1"/>
  <c r="D601" i="1" s="1"/>
  <c r="E557" i="1"/>
  <c r="D557" i="1" s="1"/>
  <c r="E549" i="1"/>
  <c r="D549" i="1" s="1"/>
  <c r="E541" i="1"/>
  <c r="D541" i="1" s="1"/>
  <c r="E533" i="1"/>
  <c r="D533" i="1" s="1"/>
  <c r="E665" i="1"/>
  <c r="D665" i="1" s="1"/>
  <c r="E657" i="1"/>
  <c r="D657" i="1" s="1"/>
  <c r="E641" i="1"/>
  <c r="D641" i="1" s="1"/>
  <c r="E633" i="1"/>
  <c r="D633" i="1" s="1"/>
  <c r="E625" i="1"/>
  <c r="D625" i="1" s="1"/>
  <c r="E612" i="1"/>
  <c r="D612" i="1" s="1"/>
  <c r="E604" i="1"/>
  <c r="D604" i="1" s="1"/>
  <c r="E597" i="1"/>
  <c r="D597" i="1" s="1"/>
  <c r="E589" i="1"/>
  <c r="D589" i="1" s="1"/>
  <c r="E581" i="1"/>
  <c r="D581" i="1" s="1"/>
  <c r="E573" i="1"/>
  <c r="D573" i="1" s="1"/>
  <c r="E565" i="1"/>
  <c r="D565" i="1" s="1"/>
  <c r="E594" i="1"/>
  <c r="D594" i="1" s="1"/>
  <c r="E586" i="1"/>
  <c r="D586" i="1" s="1"/>
  <c r="E578" i="1"/>
  <c r="D578" i="1" s="1"/>
  <c r="E570" i="1"/>
  <c r="D570" i="1" s="1"/>
  <c r="E558" i="1"/>
  <c r="D558" i="1" s="1"/>
  <c r="E556" i="1"/>
  <c r="D556" i="1" s="1"/>
  <c r="E550" i="1"/>
  <c r="D550" i="1" s="1"/>
  <c r="E649" i="1"/>
  <c r="D649" i="1" s="1"/>
  <c r="E614" i="1"/>
  <c r="D614" i="1" s="1"/>
  <c r="E561" i="1"/>
  <c r="D561" i="1" s="1"/>
  <c r="E488" i="1"/>
  <c r="D488" i="1" s="1"/>
  <c r="E485" i="1"/>
  <c r="D485" i="1" s="1"/>
  <c r="E480" i="1"/>
  <c r="D480" i="1" s="1"/>
  <c r="E477" i="1"/>
  <c r="D477" i="1" s="1"/>
  <c r="E472" i="1"/>
  <c r="D472" i="1" s="1"/>
  <c r="E469" i="1"/>
  <c r="D469" i="1" s="1"/>
  <c r="E464" i="1"/>
  <c r="D464" i="1" s="1"/>
  <c r="E461" i="1"/>
  <c r="D461" i="1" s="1"/>
  <c r="E456" i="1"/>
  <c r="D456" i="1" s="1"/>
  <c r="E453" i="1"/>
  <c r="D453" i="1" s="1"/>
  <c r="E596" i="1"/>
  <c r="D596" i="1" s="1"/>
  <c r="E574" i="1"/>
  <c r="D574" i="1" s="1"/>
  <c r="E564" i="1"/>
  <c r="D564" i="1" s="1"/>
  <c r="E554" i="1"/>
  <c r="D554" i="1" s="1"/>
  <c r="E544" i="1"/>
  <c r="D544" i="1" s="1"/>
  <c r="E536" i="1"/>
  <c r="D536" i="1" s="1"/>
  <c r="E526" i="1"/>
  <c r="D526" i="1" s="1"/>
  <c r="E518" i="1"/>
  <c r="D518" i="1" s="1"/>
  <c r="E510" i="1"/>
  <c r="D510" i="1" s="1"/>
  <c r="E502" i="1"/>
  <c r="D502" i="1" s="1"/>
  <c r="E494" i="1"/>
  <c r="D494" i="1" s="1"/>
  <c r="E487" i="1"/>
  <c r="D487" i="1" s="1"/>
  <c r="E479" i="1"/>
  <c r="D479" i="1" s="1"/>
  <c r="E471" i="1"/>
  <c r="D471" i="1" s="1"/>
  <c r="E463" i="1"/>
  <c r="D463" i="1" s="1"/>
  <c r="E455" i="1"/>
  <c r="D455" i="1" s="1"/>
  <c r="E552" i="1"/>
  <c r="D552" i="1" s="1"/>
  <c r="E542" i="1"/>
  <c r="D542" i="1" s="1"/>
  <c r="E534" i="1"/>
  <c r="D534" i="1" s="1"/>
  <c r="E530" i="1"/>
  <c r="D530" i="1" s="1"/>
  <c r="E522" i="1"/>
  <c r="D522" i="1" s="1"/>
  <c r="E514" i="1"/>
  <c r="D514" i="1" s="1"/>
  <c r="E506" i="1"/>
  <c r="D506" i="1" s="1"/>
  <c r="E498" i="1"/>
  <c r="D498" i="1" s="1"/>
  <c r="E490" i="1"/>
  <c r="D490" i="1" s="1"/>
  <c r="E482" i="1"/>
  <c r="D482" i="1" s="1"/>
  <c r="E474" i="1"/>
  <c r="D474" i="1" s="1"/>
  <c r="E466" i="1"/>
  <c r="D466" i="1" s="1"/>
  <c r="E458" i="1"/>
  <c r="D458" i="1" s="1"/>
  <c r="E446" i="1"/>
  <c r="D446" i="1" s="1"/>
  <c r="E444" i="1"/>
  <c r="D444" i="1" s="1"/>
  <c r="E438" i="1"/>
  <c r="D438" i="1" s="1"/>
  <c r="E436" i="1"/>
  <c r="D436" i="1" s="1"/>
  <c r="E430" i="1"/>
  <c r="D430" i="1" s="1"/>
  <c r="E428" i="1"/>
  <c r="D428" i="1" s="1"/>
  <c r="E422" i="1"/>
  <c r="D422" i="1" s="1"/>
  <c r="E420" i="1"/>
  <c r="D420" i="1" s="1"/>
  <c r="E414" i="1"/>
  <c r="D414" i="1" s="1"/>
  <c r="E412" i="1"/>
  <c r="D412" i="1" s="1"/>
  <c r="E406" i="1"/>
  <c r="D406" i="1" s="1"/>
  <c r="E404" i="1"/>
  <c r="D404" i="1" s="1"/>
  <c r="E398" i="1"/>
  <c r="D398" i="1" s="1"/>
  <c r="E396" i="1"/>
  <c r="D396" i="1" s="1"/>
  <c r="E390" i="1"/>
  <c r="D390" i="1" s="1"/>
  <c r="E388" i="1"/>
  <c r="D388" i="1" s="1"/>
  <c r="E598" i="1"/>
  <c r="D598" i="1" s="1"/>
  <c r="E588" i="1"/>
  <c r="D588" i="1" s="1"/>
  <c r="E566" i="1"/>
  <c r="D566" i="1" s="1"/>
  <c r="E551" i="1"/>
  <c r="D551" i="1" s="1"/>
  <c r="E484" i="1"/>
  <c r="D484" i="1" s="1"/>
  <c r="E476" i="1"/>
  <c r="D476" i="1" s="1"/>
  <c r="E468" i="1"/>
  <c r="D468" i="1" s="1"/>
  <c r="E460" i="1"/>
  <c r="D460" i="1" s="1"/>
  <c r="E452" i="1"/>
  <c r="D452" i="1" s="1"/>
  <c r="E450" i="1"/>
  <c r="D450" i="1" s="1"/>
  <c r="E448" i="1"/>
  <c r="D448" i="1" s="1"/>
  <c r="E442" i="1"/>
  <c r="D442" i="1" s="1"/>
  <c r="E440" i="1"/>
  <c r="D440" i="1" s="1"/>
  <c r="E434" i="1"/>
  <c r="D434" i="1" s="1"/>
  <c r="E432" i="1"/>
  <c r="D432" i="1" s="1"/>
  <c r="E426" i="1"/>
  <c r="D426" i="1" s="1"/>
  <c r="E424" i="1"/>
  <c r="D424" i="1" s="1"/>
  <c r="E418" i="1"/>
  <c r="D418" i="1" s="1"/>
  <c r="E416" i="1"/>
  <c r="D416" i="1" s="1"/>
  <c r="E410" i="1"/>
  <c r="D410" i="1" s="1"/>
  <c r="E408" i="1"/>
  <c r="D408" i="1" s="1"/>
  <c r="E402" i="1"/>
  <c r="D402" i="1" s="1"/>
  <c r="E548" i="1"/>
  <c r="D548" i="1" s="1"/>
  <c r="E540" i="1"/>
  <c r="D540" i="1" s="1"/>
  <c r="E525" i="1"/>
  <c r="D525" i="1" s="1"/>
  <c r="E517" i="1"/>
  <c r="D517" i="1" s="1"/>
  <c r="E509" i="1"/>
  <c r="D509" i="1" s="1"/>
  <c r="E501" i="1"/>
  <c r="D501" i="1" s="1"/>
  <c r="E493" i="1"/>
  <c r="D493" i="1" s="1"/>
  <c r="E348" i="1"/>
  <c r="D348" i="1" s="1"/>
  <c r="E340" i="1"/>
  <c r="D340" i="1" s="1"/>
  <c r="E606" i="1"/>
  <c r="D606" i="1" s="1"/>
  <c r="E590" i="1"/>
  <c r="D590" i="1" s="1"/>
  <c r="E580" i="1"/>
  <c r="D580" i="1" s="1"/>
  <c r="E532" i="1"/>
  <c r="D532" i="1" s="1"/>
  <c r="E524" i="1"/>
  <c r="D524" i="1" s="1"/>
  <c r="E516" i="1"/>
  <c r="D516" i="1" s="1"/>
  <c r="E508" i="1"/>
  <c r="D508" i="1" s="1"/>
  <c r="E500" i="1"/>
  <c r="D500" i="1" s="1"/>
  <c r="E492" i="1"/>
  <c r="D492" i="1" s="1"/>
  <c r="E486" i="1"/>
  <c r="D486" i="1" s="1"/>
  <c r="E478" i="1"/>
  <c r="D478" i="1" s="1"/>
  <c r="E470" i="1"/>
  <c r="D470" i="1" s="1"/>
  <c r="E462" i="1"/>
  <c r="D462" i="1" s="1"/>
  <c r="E454" i="1"/>
  <c r="D454" i="1" s="1"/>
  <c r="E560" i="1"/>
  <c r="D560" i="1" s="1"/>
  <c r="E528" i="1"/>
  <c r="D528" i="1" s="1"/>
  <c r="E520" i="1"/>
  <c r="D520" i="1" s="1"/>
  <c r="E512" i="1"/>
  <c r="D512" i="1" s="1"/>
  <c r="E504" i="1"/>
  <c r="D504" i="1" s="1"/>
  <c r="E496" i="1"/>
  <c r="D496" i="1" s="1"/>
  <c r="E582" i="1"/>
  <c r="D582" i="1" s="1"/>
  <c r="E572" i="1"/>
  <c r="D572" i="1" s="1"/>
  <c r="E562" i="1"/>
  <c r="D562" i="1" s="1"/>
  <c r="E546" i="1"/>
  <c r="D546" i="1" s="1"/>
  <c r="E538" i="1"/>
  <c r="D538" i="1" s="1"/>
  <c r="E527" i="1"/>
  <c r="D527" i="1" s="1"/>
  <c r="E519" i="1"/>
  <c r="D519" i="1" s="1"/>
  <c r="E511" i="1"/>
  <c r="D511" i="1" s="1"/>
  <c r="E503" i="1"/>
  <c r="D503" i="1" s="1"/>
  <c r="E495" i="1"/>
  <c r="D495" i="1" s="1"/>
  <c r="E445" i="1"/>
  <c r="D445" i="1" s="1"/>
  <c r="E397" i="1"/>
  <c r="D397" i="1" s="1"/>
  <c r="E389" i="1"/>
  <c r="D389" i="1" s="1"/>
  <c r="E347" i="1"/>
  <c r="D347" i="1" s="1"/>
  <c r="E339" i="1"/>
  <c r="D339" i="1" s="1"/>
  <c r="E337" i="1"/>
  <c r="D337" i="1" s="1"/>
  <c r="E334" i="1"/>
  <c r="D334" i="1" s="1"/>
  <c r="E331" i="1"/>
  <c r="D331" i="1" s="1"/>
  <c r="E329" i="1"/>
  <c r="D329" i="1" s="1"/>
  <c r="E326" i="1"/>
  <c r="D326" i="1" s="1"/>
  <c r="E384" i="1"/>
  <c r="D384" i="1" s="1"/>
  <c r="E368" i="1"/>
  <c r="D368" i="1" s="1"/>
  <c r="E352" i="1"/>
  <c r="D352" i="1" s="1"/>
  <c r="E378" i="1"/>
  <c r="D378" i="1" s="1"/>
  <c r="E372" i="1"/>
  <c r="D372" i="1" s="1"/>
  <c r="E362" i="1"/>
  <c r="D362" i="1" s="1"/>
  <c r="E356" i="1"/>
  <c r="D356" i="1" s="1"/>
  <c r="E429" i="1"/>
  <c r="D429" i="1" s="1"/>
  <c r="E421" i="1"/>
  <c r="D421" i="1" s="1"/>
  <c r="E413" i="1"/>
  <c r="D413" i="1" s="1"/>
  <c r="E405" i="1"/>
  <c r="D405" i="1" s="1"/>
  <c r="E382" i="1"/>
  <c r="D382" i="1" s="1"/>
  <c r="E381" i="1"/>
  <c r="D381" i="1" s="1"/>
  <c r="E366" i="1"/>
  <c r="D366" i="1" s="1"/>
  <c r="E365" i="1"/>
  <c r="D365" i="1" s="1"/>
  <c r="E350" i="1"/>
  <c r="D350" i="1" s="1"/>
  <c r="E342" i="1"/>
  <c r="D342" i="1" s="1"/>
  <c r="E394" i="1"/>
  <c r="D394" i="1" s="1"/>
  <c r="E376" i="1"/>
  <c r="D376" i="1" s="1"/>
  <c r="E360" i="1"/>
  <c r="D360" i="1" s="1"/>
  <c r="E437" i="1"/>
  <c r="D437" i="1" s="1"/>
  <c r="E386" i="1"/>
  <c r="D386" i="1" s="1"/>
  <c r="E380" i="1"/>
  <c r="D380" i="1" s="1"/>
  <c r="E370" i="1"/>
  <c r="D370" i="1" s="1"/>
  <c r="E364" i="1"/>
  <c r="D364" i="1" s="1"/>
  <c r="E354" i="1"/>
  <c r="D354" i="1" s="1"/>
  <c r="E345" i="1"/>
  <c r="D345" i="1" s="1"/>
  <c r="E400" i="1"/>
  <c r="D400" i="1" s="1"/>
  <c r="E392" i="1"/>
  <c r="D392" i="1" s="1"/>
  <c r="E374" i="1"/>
  <c r="D374" i="1" s="1"/>
  <c r="E373" i="1"/>
  <c r="D373" i="1" s="1"/>
  <c r="E358" i="1"/>
  <c r="D358" i="1" s="1"/>
  <c r="E357" i="1"/>
  <c r="D357" i="1" s="1"/>
  <c r="E332" i="1"/>
  <c r="D332" i="1" s="1"/>
  <c r="E324" i="1"/>
  <c r="D324" i="1" s="1"/>
  <c r="E316" i="1"/>
  <c r="D316" i="1" s="1"/>
  <c r="E308" i="1"/>
  <c r="D308" i="1" s="1"/>
  <c r="E300" i="1"/>
  <c r="D300" i="1" s="1"/>
  <c r="E292" i="1"/>
  <c r="D292" i="1" s="1"/>
  <c r="E284" i="1"/>
  <c r="D284" i="1" s="1"/>
  <c r="E297" i="1"/>
  <c r="D297" i="1" s="1"/>
  <c r="E281" i="1"/>
  <c r="D281" i="1" s="1"/>
  <c r="E273" i="1"/>
  <c r="D273" i="1" s="1"/>
  <c r="E265" i="1"/>
  <c r="D265" i="1" s="1"/>
  <c r="E257" i="1"/>
  <c r="D257" i="1" s="1"/>
  <c r="E249" i="1"/>
  <c r="D249" i="1" s="1"/>
  <c r="E240" i="1"/>
  <c r="D240" i="1" s="1"/>
  <c r="E238" i="1"/>
  <c r="D238" i="1" s="1"/>
  <c r="E333" i="1"/>
  <c r="D333" i="1" s="1"/>
  <c r="E310" i="1"/>
  <c r="D310" i="1" s="1"/>
  <c r="E309" i="1"/>
  <c r="D309" i="1" s="1"/>
  <c r="E299" i="1"/>
  <c r="D299" i="1" s="1"/>
  <c r="E286" i="1"/>
  <c r="D286" i="1" s="1"/>
  <c r="E285" i="1"/>
  <c r="D285" i="1" s="1"/>
  <c r="E246" i="1"/>
  <c r="D246" i="1" s="1"/>
  <c r="E233" i="1"/>
  <c r="D233" i="1" s="1"/>
  <c r="E226" i="1"/>
  <c r="D226" i="1" s="1"/>
  <c r="E321" i="1"/>
  <c r="D321" i="1" s="1"/>
  <c r="E289" i="1"/>
  <c r="D289" i="1" s="1"/>
  <c r="E242" i="1"/>
  <c r="D242" i="1" s="1"/>
  <c r="E323" i="1"/>
  <c r="D323" i="1" s="1"/>
  <c r="E302" i="1"/>
  <c r="D302" i="1" s="1"/>
  <c r="E291" i="1"/>
  <c r="D291" i="1" s="1"/>
  <c r="E313" i="1"/>
  <c r="D313" i="1" s="1"/>
  <c r="E325" i="1"/>
  <c r="D325" i="1" s="1"/>
  <c r="E315" i="1"/>
  <c r="D315" i="1" s="1"/>
  <c r="E294" i="1"/>
  <c r="D294" i="1" s="1"/>
  <c r="E293" i="1"/>
  <c r="D293" i="1" s="1"/>
  <c r="E241" i="1"/>
  <c r="D241" i="1" s="1"/>
  <c r="E225" i="1"/>
  <c r="D225" i="1" s="1"/>
  <c r="E209" i="1"/>
  <c r="D209" i="1" s="1"/>
  <c r="E203" i="1"/>
  <c r="D203" i="1" s="1"/>
  <c r="E201" i="1"/>
  <c r="D201" i="1" s="1"/>
  <c r="E195" i="1"/>
  <c r="D195" i="1" s="1"/>
  <c r="E305" i="1"/>
  <c r="D305" i="1" s="1"/>
  <c r="E318" i="1"/>
  <c r="D318" i="1" s="1"/>
  <c r="E317" i="1"/>
  <c r="D317" i="1" s="1"/>
  <c r="E307" i="1"/>
  <c r="D307" i="1" s="1"/>
  <c r="E25" i="1"/>
  <c r="D25" i="1" s="1"/>
  <c r="G30" i="1"/>
  <c r="F30" i="1" s="1"/>
  <c r="E33" i="1"/>
  <c r="D33" i="1" s="1"/>
  <c r="G38" i="1"/>
  <c r="F38" i="1" s="1"/>
  <c r="E41" i="1"/>
  <c r="D41" i="1" s="1"/>
  <c r="E63" i="1"/>
  <c r="D63" i="1" s="1"/>
  <c r="I68" i="1"/>
  <c r="H68" i="1" s="1"/>
  <c r="C74" i="1"/>
  <c r="B74" i="1" s="1"/>
  <c r="G74" i="1"/>
  <c r="F74" i="1" s="1"/>
  <c r="E79" i="1"/>
  <c r="D79" i="1" s="1"/>
  <c r="I84" i="1"/>
  <c r="H84" i="1" s="1"/>
  <c r="C90" i="1"/>
  <c r="B90" i="1" s="1"/>
  <c r="G90" i="1"/>
  <c r="F90" i="1" s="1"/>
  <c r="E95" i="1"/>
  <c r="D95" i="1" s="1"/>
  <c r="I100" i="1"/>
  <c r="H100" i="1" s="1"/>
  <c r="C106" i="1"/>
  <c r="B106" i="1" s="1"/>
  <c r="G106" i="1"/>
  <c r="F106" i="1" s="1"/>
  <c r="E111" i="1"/>
  <c r="D111" i="1" s="1"/>
  <c r="I116" i="1"/>
  <c r="H116" i="1" s="1"/>
  <c r="E127" i="1"/>
  <c r="D127" i="1" s="1"/>
  <c r="E129" i="1"/>
  <c r="D129" i="1" s="1"/>
  <c r="E137" i="1"/>
  <c r="D137" i="1" s="1"/>
  <c r="C138" i="1"/>
  <c r="B138" i="1" s="1"/>
  <c r="G139" i="1"/>
  <c r="F139" i="1" s="1"/>
  <c r="E153" i="1"/>
  <c r="D153" i="1" s="1"/>
  <c r="C154" i="1"/>
  <c r="B154" i="1" s="1"/>
  <c r="G155" i="1"/>
  <c r="F155" i="1" s="1"/>
  <c r="E169" i="1"/>
  <c r="D169" i="1" s="1"/>
  <c r="C170" i="1"/>
  <c r="B170" i="1" s="1"/>
  <c r="G171" i="1"/>
  <c r="F171" i="1" s="1"/>
  <c r="E185" i="1"/>
  <c r="D185" i="1" s="1"/>
  <c r="C186" i="1"/>
  <c r="B186" i="1" s="1"/>
  <c r="G187" i="1"/>
  <c r="F187" i="1" s="1"/>
  <c r="E189" i="1"/>
  <c r="D189" i="1" s="1"/>
  <c r="I195" i="1"/>
  <c r="H195" i="1" s="1"/>
  <c r="E199" i="1"/>
  <c r="D199" i="1" s="1"/>
  <c r="I214" i="1"/>
  <c r="H214" i="1" s="1"/>
  <c r="G216" i="1"/>
  <c r="F216" i="1" s="1"/>
  <c r="C220" i="1"/>
  <c r="B220" i="1" s="1"/>
  <c r="C221" i="1"/>
  <c r="B221" i="1" s="1"/>
  <c r="C21" i="1"/>
  <c r="B21" i="1" s="1"/>
  <c r="C43" i="1"/>
  <c r="B43" i="1" s="1"/>
  <c r="C15" i="1"/>
  <c r="B15" i="1" s="1"/>
  <c r="G34" i="1"/>
  <c r="F34" i="1" s="1"/>
  <c r="G46" i="1"/>
  <c r="F46" i="1" s="1"/>
  <c r="G64" i="1"/>
  <c r="F64" i="1" s="1"/>
  <c r="E77" i="1"/>
  <c r="D77" i="1" s="1"/>
  <c r="E83" i="1"/>
  <c r="D83" i="1" s="1"/>
  <c r="C88" i="1"/>
  <c r="B88" i="1" s="1"/>
  <c r="I89" i="1"/>
  <c r="H89" i="1" s="1"/>
  <c r="E93" i="1"/>
  <c r="D93" i="1" s="1"/>
  <c r="G94" i="1"/>
  <c r="F94" i="1" s="1"/>
  <c r="G96" i="1"/>
  <c r="F96" i="1" s="1"/>
  <c r="C97" i="1"/>
  <c r="B97" i="1" s="1"/>
  <c r="I98" i="1"/>
  <c r="H98" i="1" s="1"/>
  <c r="E99" i="1"/>
  <c r="D99" i="1" s="1"/>
  <c r="C104" i="1"/>
  <c r="B104" i="1" s="1"/>
  <c r="I105" i="1"/>
  <c r="H105" i="1" s="1"/>
  <c r="E109" i="1"/>
  <c r="D109" i="1" s="1"/>
  <c r="G110" i="1"/>
  <c r="F110" i="1" s="1"/>
  <c r="G112" i="1"/>
  <c r="F112" i="1" s="1"/>
  <c r="C113" i="1"/>
  <c r="B113" i="1" s="1"/>
  <c r="I114" i="1"/>
  <c r="H114" i="1" s="1"/>
  <c r="E115" i="1"/>
  <c r="D115" i="1" s="1"/>
  <c r="C120" i="1"/>
  <c r="B120" i="1" s="1"/>
  <c r="I120" i="1"/>
  <c r="H120" i="1" s="1"/>
  <c r="E123" i="1"/>
  <c r="D123" i="1" s="1"/>
  <c r="E124" i="1"/>
  <c r="D124" i="1" s="1"/>
  <c r="I125" i="1"/>
  <c r="H125" i="1" s="1"/>
  <c r="E126" i="1"/>
  <c r="D126" i="1" s="1"/>
  <c r="G129" i="1"/>
  <c r="F129" i="1" s="1"/>
  <c r="G130" i="1"/>
  <c r="F130" i="1" s="1"/>
  <c r="C133" i="1"/>
  <c r="B133" i="1" s="1"/>
  <c r="G134" i="1"/>
  <c r="F134" i="1" s="1"/>
  <c r="E135" i="1"/>
  <c r="D135" i="1" s="1"/>
  <c r="C144" i="1"/>
  <c r="B144" i="1" s="1"/>
  <c r="I144" i="1"/>
  <c r="H144" i="1" s="1"/>
  <c r="I147" i="1"/>
  <c r="H147" i="1" s="1"/>
  <c r="C149" i="1"/>
  <c r="B149" i="1" s="1"/>
  <c r="G150" i="1"/>
  <c r="F150" i="1" s="1"/>
  <c r="E151" i="1"/>
  <c r="D151" i="1" s="1"/>
  <c r="C160" i="1"/>
  <c r="B160" i="1" s="1"/>
  <c r="I160" i="1"/>
  <c r="H160" i="1" s="1"/>
  <c r="I163" i="1"/>
  <c r="H163" i="1" s="1"/>
  <c r="C165" i="1"/>
  <c r="B165" i="1" s="1"/>
  <c r="G166" i="1"/>
  <c r="F166" i="1" s="1"/>
  <c r="E167" i="1"/>
  <c r="D167" i="1" s="1"/>
  <c r="C176" i="1"/>
  <c r="B176" i="1" s="1"/>
  <c r="I176" i="1"/>
  <c r="H176" i="1" s="1"/>
  <c r="I179" i="1"/>
  <c r="H179" i="1" s="1"/>
  <c r="C181" i="1"/>
  <c r="B181" i="1" s="1"/>
  <c r="G182" i="1"/>
  <c r="F182" i="1" s="1"/>
  <c r="E183" i="1"/>
  <c r="D183" i="1" s="1"/>
  <c r="G188" i="1"/>
  <c r="F188" i="1" s="1"/>
  <c r="G189" i="1"/>
  <c r="F189" i="1" s="1"/>
  <c r="E191" i="1"/>
  <c r="D191" i="1" s="1"/>
  <c r="I194" i="1"/>
  <c r="H194" i="1" s="1"/>
  <c r="E197" i="1"/>
  <c r="D197" i="1" s="1"/>
  <c r="G199" i="1"/>
  <c r="F199" i="1" s="1"/>
  <c r="I202" i="1"/>
  <c r="H202" i="1" s="1"/>
  <c r="E206" i="1"/>
  <c r="D206" i="1" s="1"/>
  <c r="C207" i="1"/>
  <c r="B207" i="1" s="1"/>
  <c r="E208" i="1"/>
  <c r="D208" i="1" s="1"/>
  <c r="G209" i="1"/>
  <c r="F209" i="1" s="1"/>
  <c r="G212" i="1"/>
  <c r="F212" i="1" s="1"/>
  <c r="C213" i="1"/>
  <c r="B213" i="1" s="1"/>
  <c r="G222" i="1"/>
  <c r="F222" i="1" s="1"/>
  <c r="E224" i="1"/>
  <c r="D224" i="1" s="1"/>
  <c r="G225" i="1"/>
  <c r="F225" i="1" s="1"/>
  <c r="E232" i="1"/>
  <c r="D232" i="1" s="1"/>
  <c r="C235" i="1"/>
  <c r="B235" i="1" s="1"/>
  <c r="I236" i="1"/>
  <c r="H236" i="1" s="1"/>
  <c r="G241" i="1"/>
  <c r="F241" i="1" s="1"/>
  <c r="I244" i="1"/>
  <c r="H244" i="1" s="1"/>
  <c r="E254" i="1"/>
  <c r="D254" i="1" s="1"/>
  <c r="E262" i="1"/>
  <c r="D262" i="1" s="1"/>
  <c r="E270" i="1"/>
  <c r="D270" i="1" s="1"/>
  <c r="E278" i="1"/>
  <c r="D278" i="1" s="1"/>
  <c r="C27" i="1"/>
  <c r="B27" i="1" s="1"/>
  <c r="E46" i="1"/>
  <c r="D46" i="1" s="1"/>
  <c r="G1434" i="1"/>
  <c r="F1434" i="1" s="1"/>
  <c r="G1426" i="1"/>
  <c r="F1426" i="1" s="1"/>
  <c r="G1437" i="1"/>
  <c r="F1437" i="1" s="1"/>
  <c r="G1429" i="1"/>
  <c r="F1429" i="1" s="1"/>
  <c r="G1421" i="1"/>
  <c r="F1421" i="1" s="1"/>
  <c r="G1413" i="1"/>
  <c r="F1413" i="1" s="1"/>
  <c r="G1405" i="1"/>
  <c r="F1405" i="1" s="1"/>
  <c r="G1435" i="1"/>
  <c r="F1435" i="1" s="1"/>
  <c r="G1427" i="1"/>
  <c r="F1427" i="1" s="1"/>
  <c r="G1419" i="1"/>
  <c r="F1419" i="1" s="1"/>
  <c r="G1411" i="1"/>
  <c r="F1411" i="1" s="1"/>
  <c r="G1403" i="1"/>
  <c r="F1403" i="1" s="1"/>
  <c r="G1395" i="1"/>
  <c r="F1395" i="1" s="1"/>
  <c r="G1387" i="1"/>
  <c r="F1387" i="1" s="1"/>
  <c r="G1436" i="1"/>
  <c r="F1436" i="1" s="1"/>
  <c r="G1416" i="1"/>
  <c r="F1416" i="1" s="1"/>
  <c r="G1408" i="1"/>
  <c r="F1408" i="1" s="1"/>
  <c r="G1399" i="1"/>
  <c r="F1399" i="1" s="1"/>
  <c r="G1391" i="1"/>
  <c r="F1391" i="1" s="1"/>
  <c r="G1418" i="1"/>
  <c r="F1418" i="1" s="1"/>
  <c r="G1410" i="1"/>
  <c r="F1410" i="1" s="1"/>
  <c r="G1400" i="1"/>
  <c r="F1400" i="1" s="1"/>
  <c r="G1392" i="1"/>
  <c r="F1392" i="1" s="1"/>
  <c r="G1381" i="1"/>
  <c r="F1381" i="1" s="1"/>
  <c r="G1432" i="1"/>
  <c r="F1432" i="1" s="1"/>
  <c r="G1424" i="1"/>
  <c r="F1424" i="1" s="1"/>
  <c r="G1368" i="1"/>
  <c r="F1368" i="1" s="1"/>
  <c r="G1384" i="1"/>
  <c r="F1384" i="1" s="1"/>
  <c r="G1376" i="1"/>
  <c r="F1376" i="1" s="1"/>
  <c r="G1397" i="1"/>
  <c r="F1397" i="1" s="1"/>
  <c r="G1389" i="1"/>
  <c r="F1389" i="1" s="1"/>
  <c r="G1379" i="1"/>
  <c r="F1379" i="1" s="1"/>
  <c r="G1402" i="1"/>
  <c r="F1402" i="1" s="1"/>
  <c r="G1394" i="1"/>
  <c r="F1394" i="1" s="1"/>
  <c r="G1386" i="1"/>
  <c r="F1386" i="1" s="1"/>
  <c r="G1360" i="1"/>
  <c r="F1360" i="1" s="1"/>
  <c r="G1364" i="1"/>
  <c r="F1364" i="1" s="1"/>
  <c r="G1354" i="1"/>
  <c r="F1354" i="1" s="1"/>
  <c r="G1378" i="1"/>
  <c r="F1378" i="1" s="1"/>
  <c r="G1346" i="1"/>
  <c r="F1346" i="1" s="1"/>
  <c r="G1344" i="1"/>
  <c r="F1344" i="1" s="1"/>
  <c r="G1342" i="1"/>
  <c r="F1342" i="1" s="1"/>
  <c r="G1338" i="1"/>
  <c r="F1338" i="1" s="1"/>
  <c r="G1336" i="1"/>
  <c r="F1336" i="1" s="1"/>
  <c r="G1334" i="1"/>
  <c r="F1334" i="1" s="1"/>
  <c r="G1358" i="1"/>
  <c r="F1358" i="1" s="1"/>
  <c r="G1350" i="1"/>
  <c r="F1350" i="1" s="1"/>
  <c r="G1374" i="1"/>
  <c r="F1374" i="1" s="1"/>
  <c r="G1371" i="1"/>
  <c r="F1371" i="1" s="1"/>
  <c r="G1362" i="1"/>
  <c r="F1362" i="1" s="1"/>
  <c r="G1356" i="1"/>
  <c r="F1356" i="1" s="1"/>
  <c r="G1343" i="1"/>
  <c r="F1343" i="1" s="1"/>
  <c r="G1335" i="1"/>
  <c r="F1335" i="1" s="1"/>
  <c r="G1327" i="1"/>
  <c r="F1327" i="1" s="1"/>
  <c r="G1352" i="1"/>
  <c r="F1352" i="1" s="1"/>
  <c r="G1347" i="1"/>
  <c r="F1347" i="1" s="1"/>
  <c r="G1341" i="1"/>
  <c r="F1341" i="1" s="1"/>
  <c r="G1339" i="1"/>
  <c r="F1339" i="1" s="1"/>
  <c r="G1366" i="1"/>
  <c r="F1366" i="1" s="1"/>
  <c r="G1322" i="1"/>
  <c r="F1322" i="1" s="1"/>
  <c r="G1311" i="1"/>
  <c r="F1311" i="1" s="1"/>
  <c r="G1303" i="1"/>
  <c r="F1303" i="1" s="1"/>
  <c r="G1295" i="1"/>
  <c r="F1295" i="1" s="1"/>
  <c r="G1330" i="1"/>
  <c r="F1330" i="1" s="1"/>
  <c r="G1317" i="1"/>
  <c r="F1317" i="1" s="1"/>
  <c r="G1308" i="1"/>
  <c r="F1308" i="1" s="1"/>
  <c r="G1300" i="1"/>
  <c r="F1300" i="1" s="1"/>
  <c r="G1331" i="1"/>
  <c r="F1331" i="1" s="1"/>
  <c r="G1328" i="1"/>
  <c r="F1328" i="1" s="1"/>
  <c r="G1313" i="1"/>
  <c r="F1313" i="1" s="1"/>
  <c r="G1305" i="1"/>
  <c r="F1305" i="1" s="1"/>
  <c r="G1333" i="1"/>
  <c r="F1333" i="1" s="1"/>
  <c r="G1326" i="1"/>
  <c r="F1326" i="1" s="1"/>
  <c r="G1320" i="1"/>
  <c r="F1320" i="1" s="1"/>
  <c r="G1281" i="1"/>
  <c r="F1281" i="1" s="1"/>
  <c r="G1325" i="1"/>
  <c r="F1325" i="1" s="1"/>
  <c r="G1319" i="1"/>
  <c r="F1319" i="1" s="1"/>
  <c r="G1315" i="1"/>
  <c r="F1315" i="1" s="1"/>
  <c r="G1323" i="1"/>
  <c r="F1323" i="1" s="1"/>
  <c r="G1318" i="1"/>
  <c r="F1318" i="1" s="1"/>
  <c r="G1287" i="1"/>
  <c r="F1287" i="1" s="1"/>
  <c r="G1278" i="1"/>
  <c r="F1278" i="1" s="1"/>
  <c r="G1270" i="1"/>
  <c r="F1270" i="1" s="1"/>
  <c r="G1262" i="1"/>
  <c r="F1262" i="1" s="1"/>
  <c r="G1254" i="1"/>
  <c r="F1254" i="1" s="1"/>
  <c r="G1286" i="1"/>
  <c r="F1286" i="1" s="1"/>
  <c r="G1241" i="1"/>
  <c r="F1241" i="1" s="1"/>
  <c r="G1285" i="1"/>
  <c r="F1285" i="1" s="1"/>
  <c r="G1277" i="1"/>
  <c r="F1277" i="1" s="1"/>
  <c r="G1294" i="1"/>
  <c r="F1294" i="1" s="1"/>
  <c r="G1289" i="1"/>
  <c r="F1289" i="1" s="1"/>
  <c r="G1275" i="1"/>
  <c r="F1275" i="1" s="1"/>
  <c r="G1273" i="1"/>
  <c r="F1273" i="1" s="1"/>
  <c r="G1267" i="1"/>
  <c r="F1267" i="1" s="1"/>
  <c r="G1265" i="1"/>
  <c r="F1265" i="1" s="1"/>
  <c r="G1261" i="1"/>
  <c r="F1261" i="1" s="1"/>
  <c r="G1253" i="1"/>
  <c r="F1253" i="1" s="1"/>
  <c r="G1243" i="1"/>
  <c r="F1243" i="1" s="1"/>
  <c r="G1297" i="1"/>
  <c r="F1297" i="1" s="1"/>
  <c r="G1259" i="1"/>
  <c r="F1259" i="1" s="1"/>
  <c r="G1257" i="1"/>
  <c r="F1257" i="1" s="1"/>
  <c r="G1251" i="1"/>
  <c r="F1251" i="1" s="1"/>
  <c r="G1249" i="1"/>
  <c r="F1249" i="1" s="1"/>
  <c r="G1247" i="1"/>
  <c r="F1247" i="1" s="1"/>
  <c r="G1231" i="1"/>
  <c r="F1231" i="1" s="1"/>
  <c r="G1226" i="1"/>
  <c r="F1226" i="1" s="1"/>
  <c r="G1220" i="1"/>
  <c r="F1220" i="1" s="1"/>
  <c r="G1269" i="1"/>
  <c r="F1269" i="1" s="1"/>
  <c r="G1245" i="1"/>
  <c r="F1245" i="1" s="1"/>
  <c r="G1227" i="1"/>
  <c r="F1227" i="1" s="1"/>
  <c r="G1219" i="1"/>
  <c r="F1219" i="1" s="1"/>
  <c r="G1225" i="1"/>
  <c r="F1225" i="1" s="1"/>
  <c r="G1192" i="1"/>
  <c r="F1192" i="1" s="1"/>
  <c r="G1184" i="1"/>
  <c r="F1184" i="1" s="1"/>
  <c r="G1178" i="1"/>
  <c r="F1178" i="1" s="1"/>
  <c r="G1176" i="1"/>
  <c r="F1176" i="1" s="1"/>
  <c r="G1218" i="1"/>
  <c r="F1218" i="1" s="1"/>
  <c r="G1210" i="1"/>
  <c r="F1210" i="1" s="1"/>
  <c r="G1202" i="1"/>
  <c r="F1202" i="1" s="1"/>
  <c r="G1201" i="1"/>
  <c r="F1201" i="1" s="1"/>
  <c r="G1244" i="1"/>
  <c r="F1244" i="1" s="1"/>
  <c r="G1233" i="1"/>
  <c r="F1233" i="1" s="1"/>
  <c r="G1194" i="1"/>
  <c r="F1194" i="1" s="1"/>
  <c r="G1186" i="1"/>
  <c r="F1186" i="1" s="1"/>
  <c r="G1217" i="1"/>
  <c r="F1217" i="1" s="1"/>
  <c r="G1205" i="1"/>
  <c r="F1205" i="1" s="1"/>
  <c r="G1197" i="1"/>
  <c r="F1197" i="1" s="1"/>
  <c r="G1221" i="1"/>
  <c r="F1221" i="1" s="1"/>
  <c r="G1181" i="1"/>
  <c r="F1181" i="1" s="1"/>
  <c r="G1173" i="1"/>
  <c r="F1173" i="1" s="1"/>
  <c r="G1165" i="1"/>
  <c r="F1165" i="1" s="1"/>
  <c r="G1157" i="1"/>
  <c r="F1157" i="1" s="1"/>
  <c r="G1230" i="1"/>
  <c r="F1230" i="1" s="1"/>
  <c r="G1215" i="1"/>
  <c r="F1215" i="1" s="1"/>
  <c r="G1239" i="1"/>
  <c r="F1239" i="1" s="1"/>
  <c r="G1235" i="1"/>
  <c r="F1235" i="1" s="1"/>
  <c r="G1223" i="1"/>
  <c r="F1223" i="1" s="1"/>
  <c r="G1236" i="1"/>
  <c r="F1236" i="1" s="1"/>
  <c r="G1213" i="1"/>
  <c r="F1213" i="1" s="1"/>
  <c r="G1207" i="1"/>
  <c r="F1207" i="1" s="1"/>
  <c r="G1199" i="1"/>
  <c r="F1199" i="1" s="1"/>
  <c r="G1180" i="1"/>
  <c r="F1180" i="1" s="1"/>
  <c r="G1154" i="1"/>
  <c r="F1154" i="1" s="1"/>
  <c r="G1153" i="1"/>
  <c r="F1153" i="1" s="1"/>
  <c r="G1149" i="1"/>
  <c r="F1149" i="1" s="1"/>
  <c r="G1141" i="1"/>
  <c r="F1141" i="1" s="1"/>
  <c r="G1132" i="1"/>
  <c r="F1132" i="1" s="1"/>
  <c r="G1124" i="1"/>
  <c r="F1124" i="1" s="1"/>
  <c r="G1172" i="1"/>
  <c r="F1172" i="1" s="1"/>
  <c r="G1146" i="1"/>
  <c r="F1146" i="1" s="1"/>
  <c r="G1138" i="1"/>
  <c r="F1138" i="1" s="1"/>
  <c r="G1136" i="1"/>
  <c r="F1136" i="1" s="1"/>
  <c r="G1130" i="1"/>
  <c r="F1130" i="1" s="1"/>
  <c r="G1128" i="1"/>
  <c r="F1128" i="1" s="1"/>
  <c r="G1122" i="1"/>
  <c r="F1122" i="1" s="1"/>
  <c r="G1120" i="1"/>
  <c r="F1120" i="1" s="1"/>
  <c r="G1114" i="1"/>
  <c r="F1114" i="1" s="1"/>
  <c r="G1189" i="1"/>
  <c r="F1189" i="1" s="1"/>
  <c r="G1135" i="1"/>
  <c r="F1135" i="1" s="1"/>
  <c r="G1127" i="1"/>
  <c r="F1127" i="1" s="1"/>
  <c r="G1125" i="1"/>
  <c r="F1125" i="1" s="1"/>
  <c r="G1123" i="1"/>
  <c r="F1123" i="1" s="1"/>
  <c r="G1111" i="1"/>
  <c r="F1111" i="1" s="1"/>
  <c r="G1086" i="1"/>
  <c r="F1086" i="1" s="1"/>
  <c r="G1078" i="1"/>
  <c r="F1078" i="1" s="1"/>
  <c r="G1148" i="1"/>
  <c r="F1148" i="1" s="1"/>
  <c r="G1145" i="1"/>
  <c r="F1145" i="1" s="1"/>
  <c r="G1117" i="1"/>
  <c r="F1117" i="1" s="1"/>
  <c r="G1131" i="1"/>
  <c r="F1131" i="1" s="1"/>
  <c r="G1116" i="1"/>
  <c r="F1116" i="1" s="1"/>
  <c r="G1156" i="1"/>
  <c r="F1156" i="1" s="1"/>
  <c r="G1085" i="1"/>
  <c r="F1085" i="1" s="1"/>
  <c r="G1140" i="1"/>
  <c r="F1140" i="1" s="1"/>
  <c r="G1107" i="1"/>
  <c r="F1107" i="1" s="1"/>
  <c r="G1105" i="1"/>
  <c r="F1105" i="1" s="1"/>
  <c r="G1103" i="1"/>
  <c r="F1103" i="1" s="1"/>
  <c r="G1099" i="1"/>
  <c r="F1099" i="1" s="1"/>
  <c r="G1097" i="1"/>
  <c r="F1097" i="1" s="1"/>
  <c r="G1095" i="1"/>
  <c r="F1095" i="1" s="1"/>
  <c r="G1048" i="1"/>
  <c r="F1048" i="1" s="1"/>
  <c r="G1040" i="1"/>
  <c r="F1040" i="1" s="1"/>
  <c r="G1032" i="1"/>
  <c r="F1032" i="1" s="1"/>
  <c r="G1024" i="1"/>
  <c r="F1024" i="1" s="1"/>
  <c r="G1016" i="1"/>
  <c r="F1016" i="1" s="1"/>
  <c r="G1115" i="1"/>
  <c r="F1115" i="1" s="1"/>
  <c r="G1075" i="1"/>
  <c r="F1075" i="1" s="1"/>
  <c r="G1067" i="1"/>
  <c r="F1067" i="1" s="1"/>
  <c r="G1059" i="1"/>
  <c r="F1059" i="1" s="1"/>
  <c r="G1051" i="1"/>
  <c r="F1051" i="1" s="1"/>
  <c r="G1045" i="1"/>
  <c r="F1045" i="1" s="1"/>
  <c r="G1133" i="1"/>
  <c r="F1133" i="1" s="1"/>
  <c r="G1112" i="1"/>
  <c r="F1112" i="1" s="1"/>
  <c r="G1080" i="1"/>
  <c r="F1080" i="1" s="1"/>
  <c r="G956" i="1"/>
  <c r="F956" i="1" s="1"/>
  <c r="G948" i="1"/>
  <c r="F948" i="1" s="1"/>
  <c r="G1119" i="1"/>
  <c r="F1119" i="1" s="1"/>
  <c r="G1109" i="1"/>
  <c r="F1109" i="1" s="1"/>
  <c r="G1101" i="1"/>
  <c r="F1101" i="1" s="1"/>
  <c r="G1091" i="1"/>
  <c r="F1091" i="1" s="1"/>
  <c r="G1083" i="1"/>
  <c r="F1083" i="1" s="1"/>
  <c r="G1077" i="1"/>
  <c r="F1077" i="1" s="1"/>
  <c r="G1070" i="1"/>
  <c r="F1070" i="1" s="1"/>
  <c r="G1069" i="1"/>
  <c r="F1069" i="1" s="1"/>
  <c r="G1062" i="1"/>
  <c r="F1062" i="1" s="1"/>
  <c r="G1061" i="1"/>
  <c r="F1061" i="1" s="1"/>
  <c r="G1054" i="1"/>
  <c r="F1054" i="1" s="1"/>
  <c r="G1053" i="1"/>
  <c r="F1053" i="1" s="1"/>
  <c r="G1047" i="1"/>
  <c r="F1047" i="1" s="1"/>
  <c r="G1039" i="1"/>
  <c r="F1039" i="1" s="1"/>
  <c r="G1093" i="1"/>
  <c r="F1093" i="1" s="1"/>
  <c r="G1008" i="1"/>
  <c r="F1008" i="1" s="1"/>
  <c r="G1000" i="1"/>
  <c r="F1000" i="1" s="1"/>
  <c r="G998" i="1"/>
  <c r="F998" i="1" s="1"/>
  <c r="G994" i="1"/>
  <c r="F994" i="1" s="1"/>
  <c r="G992" i="1"/>
  <c r="F992" i="1" s="1"/>
  <c r="G990" i="1"/>
  <c r="F990" i="1" s="1"/>
  <c r="G986" i="1"/>
  <c r="F986" i="1" s="1"/>
  <c r="G984" i="1"/>
  <c r="F984" i="1" s="1"/>
  <c r="G1088" i="1"/>
  <c r="F1088" i="1" s="1"/>
  <c r="G1030" i="1"/>
  <c r="F1030" i="1" s="1"/>
  <c r="G1022" i="1"/>
  <c r="F1022" i="1" s="1"/>
  <c r="G1014" i="1"/>
  <c r="F1014" i="1" s="1"/>
  <c r="G955" i="1"/>
  <c r="F955" i="1" s="1"/>
  <c r="G1072" i="1"/>
  <c r="F1072" i="1" s="1"/>
  <c r="G1056" i="1"/>
  <c r="F1056" i="1" s="1"/>
  <c r="G974" i="1"/>
  <c r="F974" i="1" s="1"/>
  <c r="G1037" i="1"/>
  <c r="F1037" i="1" s="1"/>
  <c r="G1015" i="1"/>
  <c r="F1015" i="1" s="1"/>
  <c r="G968" i="1"/>
  <c r="F968" i="1" s="1"/>
  <c r="G940" i="1"/>
  <c r="F940" i="1" s="1"/>
  <c r="G932" i="1"/>
  <c r="F932" i="1" s="1"/>
  <c r="G924" i="1"/>
  <c r="F924" i="1" s="1"/>
  <c r="G1076" i="1"/>
  <c r="F1076" i="1" s="1"/>
  <c r="G1060" i="1"/>
  <c r="F1060" i="1" s="1"/>
  <c r="G1004" i="1"/>
  <c r="F1004" i="1" s="1"/>
  <c r="G978" i="1"/>
  <c r="F978" i="1" s="1"/>
  <c r="G972" i="1"/>
  <c r="F972" i="1" s="1"/>
  <c r="G962" i="1"/>
  <c r="F962" i="1" s="1"/>
  <c r="G954" i="1"/>
  <c r="F954" i="1" s="1"/>
  <c r="G1029" i="1"/>
  <c r="F1029" i="1" s="1"/>
  <c r="G997" i="1"/>
  <c r="F997" i="1" s="1"/>
  <c r="G996" i="1"/>
  <c r="F996" i="1" s="1"/>
  <c r="G1064" i="1"/>
  <c r="F1064" i="1" s="1"/>
  <c r="G982" i="1"/>
  <c r="F982" i="1" s="1"/>
  <c r="G971" i="1"/>
  <c r="F971" i="1" s="1"/>
  <c r="G966" i="1"/>
  <c r="F966" i="1" s="1"/>
  <c r="G961" i="1"/>
  <c r="F961" i="1" s="1"/>
  <c r="G953" i="1"/>
  <c r="F953" i="1" s="1"/>
  <c r="G950" i="1"/>
  <c r="F950" i="1" s="1"/>
  <c r="G1031" i="1"/>
  <c r="F1031" i="1" s="1"/>
  <c r="G1021" i="1"/>
  <c r="F1021" i="1" s="1"/>
  <c r="G981" i="1"/>
  <c r="F981" i="1" s="1"/>
  <c r="G976" i="1"/>
  <c r="F976" i="1" s="1"/>
  <c r="G965" i="1"/>
  <c r="F965" i="1" s="1"/>
  <c r="G1143" i="1"/>
  <c r="F1143" i="1" s="1"/>
  <c r="G1068" i="1"/>
  <c r="F1068" i="1" s="1"/>
  <c r="G1052" i="1"/>
  <c r="F1052" i="1" s="1"/>
  <c r="G980" i="1"/>
  <c r="F980" i="1" s="1"/>
  <c r="G970" i="1"/>
  <c r="F970" i="1" s="1"/>
  <c r="G964" i="1"/>
  <c r="F964" i="1" s="1"/>
  <c r="G960" i="1"/>
  <c r="F960" i="1" s="1"/>
  <c r="G952" i="1"/>
  <c r="F952" i="1" s="1"/>
  <c r="G1023" i="1"/>
  <c r="F1023" i="1" s="1"/>
  <c r="G1013" i="1"/>
  <c r="F1013" i="1" s="1"/>
  <c r="G989" i="1"/>
  <c r="F989" i="1" s="1"/>
  <c r="G988" i="1"/>
  <c r="F988" i="1" s="1"/>
  <c r="G916" i="1"/>
  <c r="F916" i="1" s="1"/>
  <c r="G908" i="1"/>
  <c r="F908" i="1" s="1"/>
  <c r="G900" i="1"/>
  <c r="F900" i="1" s="1"/>
  <c r="G931" i="1"/>
  <c r="F931" i="1" s="1"/>
  <c r="G937" i="1"/>
  <c r="F937" i="1" s="1"/>
  <c r="G920" i="1"/>
  <c r="F920" i="1" s="1"/>
  <c r="G912" i="1"/>
  <c r="F912" i="1" s="1"/>
  <c r="G904" i="1"/>
  <c r="F904" i="1" s="1"/>
  <c r="G936" i="1"/>
  <c r="F936" i="1" s="1"/>
  <c r="G894" i="1"/>
  <c r="F894" i="1" s="1"/>
  <c r="G886" i="1"/>
  <c r="F886" i="1" s="1"/>
  <c r="G878" i="1"/>
  <c r="F878" i="1" s="1"/>
  <c r="G870" i="1"/>
  <c r="F870" i="1" s="1"/>
  <c r="G935" i="1"/>
  <c r="F935" i="1" s="1"/>
  <c r="G896" i="1"/>
  <c r="F896" i="1" s="1"/>
  <c r="G892" i="1"/>
  <c r="F892" i="1" s="1"/>
  <c r="G890" i="1"/>
  <c r="F890" i="1" s="1"/>
  <c r="G888" i="1"/>
  <c r="F888" i="1" s="1"/>
  <c r="G884" i="1"/>
  <c r="F884" i="1" s="1"/>
  <c r="G882" i="1"/>
  <c r="F882" i="1" s="1"/>
  <c r="G906" i="1"/>
  <c r="F906" i="1" s="1"/>
  <c r="G872" i="1"/>
  <c r="F872" i="1" s="1"/>
  <c r="G862" i="1"/>
  <c r="F862" i="1" s="1"/>
  <c r="G852" i="1"/>
  <c r="F852" i="1" s="1"/>
  <c r="G846" i="1"/>
  <c r="F846" i="1" s="1"/>
  <c r="G903" i="1"/>
  <c r="F903" i="1" s="1"/>
  <c r="G874" i="1"/>
  <c r="F874" i="1" s="1"/>
  <c r="G914" i="1"/>
  <c r="F914" i="1" s="1"/>
  <c r="G876" i="1"/>
  <c r="F876" i="1" s="1"/>
  <c r="G856" i="1"/>
  <c r="F856" i="1" s="1"/>
  <c r="G840" i="1"/>
  <c r="F840" i="1" s="1"/>
  <c r="G832" i="1"/>
  <c r="F832" i="1" s="1"/>
  <c r="G824" i="1"/>
  <c r="F824" i="1" s="1"/>
  <c r="G911" i="1"/>
  <c r="F911" i="1" s="1"/>
  <c r="G850" i="1"/>
  <c r="F850" i="1" s="1"/>
  <c r="G817" i="1"/>
  <c r="F817" i="1" s="1"/>
  <c r="G809" i="1"/>
  <c r="F809" i="1" s="1"/>
  <c r="G801" i="1"/>
  <c r="F801" i="1" s="1"/>
  <c r="G793" i="1"/>
  <c r="F793" i="1" s="1"/>
  <c r="G922" i="1"/>
  <c r="F922" i="1" s="1"/>
  <c r="G880" i="1"/>
  <c r="F880" i="1" s="1"/>
  <c r="G860" i="1"/>
  <c r="F860" i="1" s="1"/>
  <c r="G854" i="1"/>
  <c r="F854" i="1" s="1"/>
  <c r="G844" i="1"/>
  <c r="F844" i="1" s="1"/>
  <c r="G835" i="1"/>
  <c r="F835" i="1" s="1"/>
  <c r="G827" i="1"/>
  <c r="F827" i="1" s="1"/>
  <c r="G814" i="1"/>
  <c r="F814" i="1" s="1"/>
  <c r="G929" i="1"/>
  <c r="F929" i="1" s="1"/>
  <c r="G919" i="1"/>
  <c r="F919" i="1" s="1"/>
  <c r="G866" i="1"/>
  <c r="F866" i="1" s="1"/>
  <c r="G819" i="1"/>
  <c r="F819" i="1" s="1"/>
  <c r="G811" i="1"/>
  <c r="F811" i="1" s="1"/>
  <c r="G803" i="1"/>
  <c r="F803" i="1" s="1"/>
  <c r="G898" i="1"/>
  <c r="F898" i="1" s="1"/>
  <c r="G868" i="1"/>
  <c r="F868" i="1" s="1"/>
  <c r="G864" i="1"/>
  <c r="F864" i="1" s="1"/>
  <c r="G848" i="1"/>
  <c r="F848" i="1" s="1"/>
  <c r="G838" i="1"/>
  <c r="F838" i="1" s="1"/>
  <c r="G830" i="1"/>
  <c r="F830" i="1" s="1"/>
  <c r="G822" i="1"/>
  <c r="F822" i="1" s="1"/>
  <c r="G766" i="1"/>
  <c r="F766" i="1" s="1"/>
  <c r="G758" i="1"/>
  <c r="F758" i="1" s="1"/>
  <c r="G750" i="1"/>
  <c r="F750" i="1" s="1"/>
  <c r="G742" i="1"/>
  <c r="F742" i="1" s="1"/>
  <c r="G734" i="1"/>
  <c r="F734" i="1" s="1"/>
  <c r="G726" i="1"/>
  <c r="F726" i="1" s="1"/>
  <c r="G718" i="1"/>
  <c r="F718" i="1" s="1"/>
  <c r="G795" i="1"/>
  <c r="F795" i="1" s="1"/>
  <c r="G782" i="1"/>
  <c r="F782" i="1" s="1"/>
  <c r="G754" i="1"/>
  <c r="F754" i="1" s="1"/>
  <c r="G787" i="1"/>
  <c r="F787" i="1" s="1"/>
  <c r="G771" i="1"/>
  <c r="F771" i="1" s="1"/>
  <c r="G837" i="1"/>
  <c r="F837" i="1" s="1"/>
  <c r="G821" i="1"/>
  <c r="F821" i="1" s="1"/>
  <c r="G785" i="1"/>
  <c r="F785" i="1" s="1"/>
  <c r="G769" i="1"/>
  <c r="F769" i="1" s="1"/>
  <c r="G790" i="1"/>
  <c r="F790" i="1" s="1"/>
  <c r="G774" i="1"/>
  <c r="F774" i="1" s="1"/>
  <c r="G779" i="1"/>
  <c r="F779" i="1" s="1"/>
  <c r="G749" i="1"/>
  <c r="F749" i="1" s="1"/>
  <c r="G858" i="1"/>
  <c r="F858" i="1" s="1"/>
  <c r="G842" i="1"/>
  <c r="F842" i="1" s="1"/>
  <c r="G829" i="1"/>
  <c r="F829" i="1" s="1"/>
  <c r="G806" i="1"/>
  <c r="F806" i="1" s="1"/>
  <c r="G798" i="1"/>
  <c r="F798" i="1" s="1"/>
  <c r="G777" i="1"/>
  <c r="F777" i="1" s="1"/>
  <c r="G717" i="1"/>
  <c r="F717" i="1" s="1"/>
  <c r="G699" i="1"/>
  <c r="F699" i="1" s="1"/>
  <c r="G616" i="1"/>
  <c r="F616" i="1" s="1"/>
  <c r="G608" i="1"/>
  <c r="F608" i="1" s="1"/>
  <c r="G600" i="1"/>
  <c r="F600" i="1" s="1"/>
  <c r="G708" i="1"/>
  <c r="F708" i="1" s="1"/>
  <c r="G691" i="1"/>
  <c r="F691" i="1" s="1"/>
  <c r="G683" i="1"/>
  <c r="F683" i="1" s="1"/>
  <c r="G675" i="1"/>
  <c r="F675" i="1" s="1"/>
  <c r="G667" i="1"/>
  <c r="F667" i="1" s="1"/>
  <c r="G659" i="1"/>
  <c r="F659" i="1" s="1"/>
  <c r="G761" i="1"/>
  <c r="F761" i="1" s="1"/>
  <c r="G733" i="1"/>
  <c r="F733" i="1" s="1"/>
  <c r="G689" i="1"/>
  <c r="F689" i="1" s="1"/>
  <c r="G687" i="1"/>
  <c r="F687" i="1" s="1"/>
  <c r="G681" i="1"/>
  <c r="F681" i="1" s="1"/>
  <c r="G679" i="1"/>
  <c r="F679" i="1" s="1"/>
  <c r="G673" i="1"/>
  <c r="F673" i="1" s="1"/>
  <c r="G671" i="1"/>
  <c r="F671" i="1" s="1"/>
  <c r="G665" i="1"/>
  <c r="F665" i="1" s="1"/>
  <c r="G663" i="1"/>
  <c r="F663" i="1" s="1"/>
  <c r="G657" i="1"/>
  <c r="F657" i="1" s="1"/>
  <c r="G655" i="1"/>
  <c r="F655" i="1" s="1"/>
  <c r="G649" i="1"/>
  <c r="F649" i="1" s="1"/>
  <c r="G647" i="1"/>
  <c r="F647" i="1" s="1"/>
  <c r="G701" i="1"/>
  <c r="F701" i="1" s="1"/>
  <c r="G745" i="1"/>
  <c r="F745" i="1" s="1"/>
  <c r="G741" i="1"/>
  <c r="F741" i="1" s="1"/>
  <c r="G707" i="1"/>
  <c r="F707" i="1" s="1"/>
  <c r="G695" i="1"/>
  <c r="F695" i="1" s="1"/>
  <c r="G753" i="1"/>
  <c r="F753" i="1" s="1"/>
  <c r="G697" i="1"/>
  <c r="F697" i="1" s="1"/>
  <c r="G692" i="1"/>
  <c r="F692" i="1" s="1"/>
  <c r="G684" i="1"/>
  <c r="F684" i="1" s="1"/>
  <c r="G676" i="1"/>
  <c r="F676" i="1" s="1"/>
  <c r="G668" i="1"/>
  <c r="F668" i="1" s="1"/>
  <c r="G660" i="1"/>
  <c r="F660" i="1" s="1"/>
  <c r="G652" i="1"/>
  <c r="F652" i="1" s="1"/>
  <c r="G644" i="1"/>
  <c r="F644" i="1" s="1"/>
  <c r="G636" i="1"/>
  <c r="F636" i="1" s="1"/>
  <c r="G628" i="1"/>
  <c r="F628" i="1" s="1"/>
  <c r="G620" i="1"/>
  <c r="F620" i="1" s="1"/>
  <c r="G729" i="1"/>
  <c r="F729" i="1" s="1"/>
  <c r="G709" i="1"/>
  <c r="F709" i="1" s="1"/>
  <c r="G643" i="1"/>
  <c r="F643" i="1" s="1"/>
  <c r="G635" i="1"/>
  <c r="F635" i="1" s="1"/>
  <c r="G627" i="1"/>
  <c r="F627" i="1" s="1"/>
  <c r="G641" i="1"/>
  <c r="F641" i="1" s="1"/>
  <c r="G639" i="1"/>
  <c r="F639" i="1" s="1"/>
  <c r="G633" i="1"/>
  <c r="F633" i="1" s="1"/>
  <c r="G631" i="1"/>
  <c r="F631" i="1" s="1"/>
  <c r="G625" i="1"/>
  <c r="F625" i="1" s="1"/>
  <c r="G623" i="1"/>
  <c r="F623" i="1" s="1"/>
  <c r="G612" i="1"/>
  <c r="F612" i="1" s="1"/>
  <c r="G604" i="1"/>
  <c r="F604" i="1" s="1"/>
  <c r="G619" i="1"/>
  <c r="F619" i="1" s="1"/>
  <c r="G611" i="1"/>
  <c r="F611" i="1" s="1"/>
  <c r="G603" i="1"/>
  <c r="F603" i="1" s="1"/>
  <c r="G615" i="1"/>
  <c r="F615" i="1" s="1"/>
  <c r="G607" i="1"/>
  <c r="F607" i="1" s="1"/>
  <c r="G599" i="1"/>
  <c r="F599" i="1" s="1"/>
  <c r="G591" i="1"/>
  <c r="F591" i="1" s="1"/>
  <c r="G583" i="1"/>
  <c r="F583" i="1" s="1"/>
  <c r="G575" i="1"/>
  <c r="F575" i="1" s="1"/>
  <c r="G567" i="1"/>
  <c r="F567" i="1" s="1"/>
  <c r="G560" i="1"/>
  <c r="F560" i="1" s="1"/>
  <c r="G596" i="1"/>
  <c r="F596" i="1" s="1"/>
  <c r="G588" i="1"/>
  <c r="F588" i="1" s="1"/>
  <c r="G580" i="1"/>
  <c r="F580" i="1" s="1"/>
  <c r="G572" i="1"/>
  <c r="F572" i="1" s="1"/>
  <c r="G564" i="1"/>
  <c r="F564" i="1" s="1"/>
  <c r="G651" i="1"/>
  <c r="F651" i="1" s="1"/>
  <c r="G618" i="1"/>
  <c r="F618" i="1" s="1"/>
  <c r="G610" i="1"/>
  <c r="F610" i="1" s="1"/>
  <c r="G584" i="1"/>
  <c r="F584" i="1" s="1"/>
  <c r="G554" i="1"/>
  <c r="F554" i="1" s="1"/>
  <c r="G482" i="1"/>
  <c r="F482" i="1" s="1"/>
  <c r="G474" i="1"/>
  <c r="F474" i="1" s="1"/>
  <c r="G466" i="1"/>
  <c r="F466" i="1" s="1"/>
  <c r="G458" i="1"/>
  <c r="F458" i="1" s="1"/>
  <c r="G455" i="1"/>
  <c r="F455" i="1" s="1"/>
  <c r="G444" i="1"/>
  <c r="F444" i="1" s="1"/>
  <c r="G436" i="1"/>
  <c r="F436" i="1" s="1"/>
  <c r="G552" i="1"/>
  <c r="F552" i="1" s="1"/>
  <c r="G543" i="1"/>
  <c r="F543" i="1" s="1"/>
  <c r="G535" i="1"/>
  <c r="F535" i="1" s="1"/>
  <c r="G484" i="1"/>
  <c r="F484" i="1" s="1"/>
  <c r="G476" i="1"/>
  <c r="F476" i="1" s="1"/>
  <c r="G468" i="1"/>
  <c r="F468" i="1" s="1"/>
  <c r="G460" i="1"/>
  <c r="F460" i="1" s="1"/>
  <c r="G452" i="1"/>
  <c r="F452" i="1" s="1"/>
  <c r="G576" i="1"/>
  <c r="F576" i="1" s="1"/>
  <c r="G551" i="1"/>
  <c r="F551" i="1" s="1"/>
  <c r="G550" i="1"/>
  <c r="F550" i="1" s="1"/>
  <c r="G606" i="1"/>
  <c r="F606" i="1" s="1"/>
  <c r="G568" i="1"/>
  <c r="F568" i="1" s="1"/>
  <c r="G528" i="1"/>
  <c r="F528" i="1" s="1"/>
  <c r="G520" i="1"/>
  <c r="F520" i="1" s="1"/>
  <c r="G512" i="1"/>
  <c r="F512" i="1" s="1"/>
  <c r="G504" i="1"/>
  <c r="F504" i="1" s="1"/>
  <c r="G496" i="1"/>
  <c r="F496" i="1" s="1"/>
  <c r="G614" i="1"/>
  <c r="F614" i="1" s="1"/>
  <c r="G602" i="1"/>
  <c r="F602" i="1" s="1"/>
  <c r="G592" i="1"/>
  <c r="F592" i="1" s="1"/>
  <c r="G559" i="1"/>
  <c r="F559" i="1" s="1"/>
  <c r="G558" i="1"/>
  <c r="F558" i="1" s="1"/>
  <c r="G527" i="1"/>
  <c r="F527" i="1" s="1"/>
  <c r="G519" i="1"/>
  <c r="F519" i="1" s="1"/>
  <c r="G511" i="1"/>
  <c r="F511" i="1" s="1"/>
  <c r="G503" i="1"/>
  <c r="F503" i="1" s="1"/>
  <c r="G495" i="1"/>
  <c r="F495" i="1" s="1"/>
  <c r="G488" i="1"/>
  <c r="F488" i="1" s="1"/>
  <c r="G480" i="1"/>
  <c r="F480" i="1" s="1"/>
  <c r="G472" i="1"/>
  <c r="F472" i="1" s="1"/>
  <c r="G464" i="1"/>
  <c r="F464" i="1" s="1"/>
  <c r="G456" i="1"/>
  <c r="F456" i="1" s="1"/>
  <c r="G544" i="1"/>
  <c r="F544" i="1" s="1"/>
  <c r="G536" i="1"/>
  <c r="F536" i="1" s="1"/>
  <c r="G450" i="1"/>
  <c r="F450" i="1" s="1"/>
  <c r="G446" i="1"/>
  <c r="F446" i="1" s="1"/>
  <c r="G442" i="1"/>
  <c r="F442" i="1" s="1"/>
  <c r="G438" i="1"/>
  <c r="F438" i="1" s="1"/>
  <c r="G398" i="1"/>
  <c r="F398" i="1" s="1"/>
  <c r="G390" i="1"/>
  <c r="F390" i="1" s="1"/>
  <c r="G378" i="1"/>
  <c r="F378" i="1" s="1"/>
  <c r="G372" i="1"/>
  <c r="F372" i="1" s="1"/>
  <c r="G362" i="1"/>
  <c r="F362" i="1" s="1"/>
  <c r="G356" i="1"/>
  <c r="F356" i="1" s="1"/>
  <c r="G343" i="1"/>
  <c r="F343" i="1" s="1"/>
  <c r="G396" i="1"/>
  <c r="F396" i="1" s="1"/>
  <c r="G388" i="1"/>
  <c r="F388" i="1" s="1"/>
  <c r="G382" i="1"/>
  <c r="F382" i="1" s="1"/>
  <c r="G366" i="1"/>
  <c r="F366" i="1" s="1"/>
  <c r="G350" i="1"/>
  <c r="F350" i="1" s="1"/>
  <c r="G376" i="1"/>
  <c r="F376" i="1" s="1"/>
  <c r="G360" i="1"/>
  <c r="F360" i="1" s="1"/>
  <c r="G448" i="1"/>
  <c r="F448" i="1" s="1"/>
  <c r="G440" i="1"/>
  <c r="F440" i="1" s="1"/>
  <c r="G428" i="1"/>
  <c r="F428" i="1" s="1"/>
  <c r="G420" i="1"/>
  <c r="F420" i="1" s="1"/>
  <c r="G412" i="1"/>
  <c r="F412" i="1" s="1"/>
  <c r="G404" i="1"/>
  <c r="F404" i="1" s="1"/>
  <c r="G394" i="1"/>
  <c r="F394" i="1" s="1"/>
  <c r="G386" i="1"/>
  <c r="F386" i="1" s="1"/>
  <c r="G380" i="1"/>
  <c r="F380" i="1" s="1"/>
  <c r="G370" i="1"/>
  <c r="F370" i="1" s="1"/>
  <c r="G364" i="1"/>
  <c r="F364" i="1" s="1"/>
  <c r="G354" i="1"/>
  <c r="F354" i="1" s="1"/>
  <c r="G345" i="1"/>
  <c r="F345" i="1" s="1"/>
  <c r="G335" i="1"/>
  <c r="F335" i="1" s="1"/>
  <c r="G327" i="1"/>
  <c r="F327" i="1" s="1"/>
  <c r="G319" i="1"/>
  <c r="F319" i="1" s="1"/>
  <c r="G311" i="1"/>
  <c r="F311" i="1" s="1"/>
  <c r="G303" i="1"/>
  <c r="F303" i="1" s="1"/>
  <c r="G295" i="1"/>
  <c r="F295" i="1" s="1"/>
  <c r="G287" i="1"/>
  <c r="F287" i="1" s="1"/>
  <c r="G434" i="1"/>
  <c r="F434" i="1" s="1"/>
  <c r="G432" i="1"/>
  <c r="F432" i="1" s="1"/>
  <c r="G430" i="1"/>
  <c r="F430" i="1" s="1"/>
  <c r="G426" i="1"/>
  <c r="F426" i="1" s="1"/>
  <c r="G424" i="1"/>
  <c r="F424" i="1" s="1"/>
  <c r="G422" i="1"/>
  <c r="F422" i="1" s="1"/>
  <c r="G418" i="1"/>
  <c r="F418" i="1" s="1"/>
  <c r="G416" i="1"/>
  <c r="F416" i="1" s="1"/>
  <c r="G414" i="1"/>
  <c r="F414" i="1" s="1"/>
  <c r="G410" i="1"/>
  <c r="F410" i="1" s="1"/>
  <c r="G408" i="1"/>
  <c r="F408" i="1" s="1"/>
  <c r="G406" i="1"/>
  <c r="F406" i="1" s="1"/>
  <c r="G402" i="1"/>
  <c r="F402" i="1" s="1"/>
  <c r="G332" i="1"/>
  <c r="F332" i="1" s="1"/>
  <c r="G324" i="1"/>
  <c r="F324" i="1" s="1"/>
  <c r="G316" i="1"/>
  <c r="F316" i="1" s="1"/>
  <c r="G308" i="1"/>
  <c r="F308" i="1" s="1"/>
  <c r="G300" i="1"/>
  <c r="F300" i="1" s="1"/>
  <c r="G292" i="1"/>
  <c r="F292" i="1" s="1"/>
  <c r="G284" i="1"/>
  <c r="F284" i="1" s="1"/>
  <c r="G400" i="1"/>
  <c r="F400" i="1" s="1"/>
  <c r="G392" i="1"/>
  <c r="F392" i="1" s="1"/>
  <c r="G374" i="1"/>
  <c r="F374" i="1" s="1"/>
  <c r="G358" i="1"/>
  <c r="F358" i="1" s="1"/>
  <c r="G348" i="1"/>
  <c r="F348" i="1" s="1"/>
  <c r="G347" i="1"/>
  <c r="F347" i="1" s="1"/>
  <c r="G340" i="1"/>
  <c r="F340" i="1" s="1"/>
  <c r="G339" i="1"/>
  <c r="F339" i="1" s="1"/>
  <c r="G337" i="1"/>
  <c r="F337" i="1" s="1"/>
  <c r="G384" i="1"/>
  <c r="F384" i="1" s="1"/>
  <c r="G368" i="1"/>
  <c r="F368" i="1" s="1"/>
  <c r="G352" i="1"/>
  <c r="F352" i="1" s="1"/>
  <c r="G299" i="1"/>
  <c r="F299" i="1" s="1"/>
  <c r="G235" i="1"/>
  <c r="F235" i="1" s="1"/>
  <c r="G321" i="1"/>
  <c r="F321" i="1" s="1"/>
  <c r="G289" i="1"/>
  <c r="F289" i="1" s="1"/>
  <c r="G280" i="1"/>
  <c r="F280" i="1" s="1"/>
  <c r="G272" i="1"/>
  <c r="F272" i="1" s="1"/>
  <c r="G264" i="1"/>
  <c r="F264" i="1" s="1"/>
  <c r="G256" i="1"/>
  <c r="F256" i="1" s="1"/>
  <c r="G248" i="1"/>
  <c r="F248" i="1" s="1"/>
  <c r="G242" i="1"/>
  <c r="F242" i="1" s="1"/>
  <c r="G228" i="1"/>
  <c r="F228" i="1" s="1"/>
  <c r="G334" i="1"/>
  <c r="F334" i="1" s="1"/>
  <c r="G323" i="1"/>
  <c r="F323" i="1" s="1"/>
  <c r="G291" i="1"/>
  <c r="F291" i="1" s="1"/>
  <c r="G276" i="1"/>
  <c r="F276" i="1" s="1"/>
  <c r="G268" i="1"/>
  <c r="F268" i="1" s="1"/>
  <c r="G260" i="1"/>
  <c r="F260" i="1" s="1"/>
  <c r="G252" i="1"/>
  <c r="F252" i="1" s="1"/>
  <c r="G329" i="1"/>
  <c r="F329" i="1" s="1"/>
  <c r="G313" i="1"/>
  <c r="F313" i="1" s="1"/>
  <c r="G201" i="1"/>
  <c r="F201" i="1" s="1"/>
  <c r="G193" i="1"/>
  <c r="F193" i="1" s="1"/>
  <c r="G185" i="1"/>
  <c r="F185" i="1" s="1"/>
  <c r="G177" i="1"/>
  <c r="F177" i="1" s="1"/>
  <c r="G169" i="1"/>
  <c r="F169" i="1" s="1"/>
  <c r="G161" i="1"/>
  <c r="F161" i="1" s="1"/>
  <c r="G153" i="1"/>
  <c r="F153" i="1" s="1"/>
  <c r="G145" i="1"/>
  <c r="F145" i="1" s="1"/>
  <c r="G137" i="1"/>
  <c r="F137" i="1" s="1"/>
  <c r="G315" i="1"/>
  <c r="F315" i="1" s="1"/>
  <c r="G244" i="1"/>
  <c r="F244" i="1" s="1"/>
  <c r="G331" i="1"/>
  <c r="F331" i="1" s="1"/>
  <c r="G305" i="1"/>
  <c r="F305" i="1" s="1"/>
  <c r="G236" i="1"/>
  <c r="F236" i="1" s="1"/>
  <c r="G220" i="1"/>
  <c r="F220" i="1" s="1"/>
  <c r="G307" i="1"/>
  <c r="F307" i="1" s="1"/>
  <c r="G282" i="1"/>
  <c r="F282" i="1" s="1"/>
  <c r="G278" i="1"/>
  <c r="F278" i="1" s="1"/>
  <c r="G274" i="1"/>
  <c r="F274" i="1" s="1"/>
  <c r="G270" i="1"/>
  <c r="F270" i="1" s="1"/>
  <c r="G266" i="1"/>
  <c r="F266" i="1" s="1"/>
  <c r="G262" i="1"/>
  <c r="F262" i="1" s="1"/>
  <c r="G258" i="1"/>
  <c r="F258" i="1" s="1"/>
  <c r="G254" i="1"/>
  <c r="F254" i="1" s="1"/>
  <c r="G250" i="1"/>
  <c r="F250" i="1" s="1"/>
  <c r="G240" i="1"/>
  <c r="F240" i="1" s="1"/>
  <c r="G224" i="1"/>
  <c r="F224" i="1" s="1"/>
  <c r="G208" i="1"/>
  <c r="F208" i="1" s="1"/>
  <c r="G297" i="1"/>
  <c r="F297" i="1" s="1"/>
  <c r="G281" i="1"/>
  <c r="F281" i="1" s="1"/>
  <c r="G273" i="1"/>
  <c r="F273" i="1" s="1"/>
  <c r="G265" i="1"/>
  <c r="F265" i="1" s="1"/>
  <c r="G257" i="1"/>
  <c r="F257" i="1" s="1"/>
  <c r="G249" i="1"/>
  <c r="F249" i="1" s="1"/>
  <c r="G246" i="1"/>
  <c r="F246" i="1" s="1"/>
  <c r="G19" i="1"/>
  <c r="F19" i="1" s="1"/>
  <c r="C45" i="1"/>
  <c r="B45" i="1" s="1"/>
  <c r="G62" i="1"/>
  <c r="F62" i="1" s="1"/>
  <c r="C81" i="1"/>
  <c r="B81" i="1" s="1"/>
  <c r="I14" i="1"/>
  <c r="H14" i="1" s="1"/>
  <c r="I26" i="1"/>
  <c r="H26" i="1" s="1"/>
  <c r="I44" i="1"/>
  <c r="H44" i="1" s="1"/>
  <c r="C55" i="1"/>
  <c r="B55" i="1" s="1"/>
  <c r="G69" i="1"/>
  <c r="F69" i="1" s="1"/>
  <c r="E84" i="1"/>
  <c r="D84" i="1" s="1"/>
  <c r="G85" i="1"/>
  <c r="F85" i="1" s="1"/>
  <c r="I87" i="1"/>
  <c r="H87" i="1" s="1"/>
  <c r="I88" i="1"/>
  <c r="H88" i="1" s="1"/>
  <c r="E100" i="1"/>
  <c r="D100" i="1" s="1"/>
  <c r="G101" i="1"/>
  <c r="F101" i="1" s="1"/>
  <c r="I103" i="1"/>
  <c r="H103" i="1" s="1"/>
  <c r="I104" i="1"/>
  <c r="H104" i="1" s="1"/>
  <c r="E116" i="1"/>
  <c r="D116" i="1" s="1"/>
  <c r="G117" i="1"/>
  <c r="F117" i="1" s="1"/>
  <c r="I119" i="1"/>
  <c r="H119" i="1" s="1"/>
  <c r="I122" i="1"/>
  <c r="H122" i="1" s="1"/>
  <c r="G124" i="1"/>
  <c r="F124" i="1" s="1"/>
  <c r="C130" i="1"/>
  <c r="B130" i="1" s="1"/>
  <c r="G135" i="1"/>
  <c r="F135" i="1" s="1"/>
  <c r="I137" i="1"/>
  <c r="H137" i="1" s="1"/>
  <c r="G140" i="1"/>
  <c r="F140" i="1" s="1"/>
  <c r="E141" i="1"/>
  <c r="D141" i="1" s="1"/>
  <c r="I142" i="1"/>
  <c r="H142" i="1" s="1"/>
  <c r="G151" i="1"/>
  <c r="F151" i="1" s="1"/>
  <c r="I153" i="1"/>
  <c r="H153" i="1" s="1"/>
  <c r="E154" i="1"/>
  <c r="D154" i="1" s="1"/>
  <c r="G156" i="1"/>
  <c r="F156" i="1" s="1"/>
  <c r="E157" i="1"/>
  <c r="D157" i="1" s="1"/>
  <c r="I158" i="1"/>
  <c r="H158" i="1" s="1"/>
  <c r="G167" i="1"/>
  <c r="F167" i="1" s="1"/>
  <c r="I169" i="1"/>
  <c r="H169" i="1" s="1"/>
  <c r="E170" i="1"/>
  <c r="D170" i="1" s="1"/>
  <c r="G172" i="1"/>
  <c r="F172" i="1" s="1"/>
  <c r="E173" i="1"/>
  <c r="D173" i="1" s="1"/>
  <c r="I174" i="1"/>
  <c r="H174" i="1" s="1"/>
  <c r="G183" i="1"/>
  <c r="F183" i="1" s="1"/>
  <c r="I185" i="1"/>
  <c r="H185" i="1" s="1"/>
  <c r="E186" i="1"/>
  <c r="D186" i="1" s="1"/>
  <c r="G190" i="1"/>
  <c r="F190" i="1" s="1"/>
  <c r="G191" i="1"/>
  <c r="F191" i="1" s="1"/>
  <c r="G197" i="1"/>
  <c r="F197" i="1" s="1"/>
  <c r="G198" i="1"/>
  <c r="F198" i="1" s="1"/>
  <c r="I200" i="1"/>
  <c r="H200" i="1" s="1"/>
  <c r="C205" i="1"/>
  <c r="B205" i="1" s="1"/>
  <c r="I207" i="1"/>
  <c r="H207" i="1" s="1"/>
  <c r="I209" i="1"/>
  <c r="H209" i="1" s="1"/>
  <c r="E214" i="1"/>
  <c r="D214" i="1" s="1"/>
  <c r="G215" i="1"/>
  <c r="F215" i="1" s="1"/>
  <c r="C219" i="1"/>
  <c r="B219" i="1" s="1"/>
  <c r="E220" i="1"/>
  <c r="D220" i="1" s="1"/>
  <c r="I222" i="1"/>
  <c r="H222" i="1" s="1"/>
  <c r="I225" i="1"/>
  <c r="H225" i="1" s="1"/>
  <c r="E228" i="1"/>
  <c r="D228" i="1" s="1"/>
  <c r="I229" i="1"/>
  <c r="H229" i="1" s="1"/>
  <c r="G232" i="1"/>
  <c r="F232" i="1" s="1"/>
  <c r="G238" i="1"/>
  <c r="F238" i="1" s="1"/>
  <c r="I241" i="1"/>
  <c r="H241" i="1" s="1"/>
  <c r="I265" i="1"/>
  <c r="H265" i="1" s="1"/>
  <c r="I273" i="1"/>
  <c r="H273" i="1" s="1"/>
  <c r="I281" i="1"/>
  <c r="H281" i="1" s="1"/>
  <c r="G286" i="1"/>
  <c r="F286" i="1" s="1"/>
  <c r="G294" i="1"/>
  <c r="F294" i="1" s="1"/>
  <c r="G302" i="1"/>
  <c r="F302" i="1" s="1"/>
  <c r="G310" i="1"/>
  <c r="F310" i="1" s="1"/>
  <c r="G318" i="1"/>
  <c r="F318" i="1" s="1"/>
  <c r="G326" i="1"/>
  <c r="F326" i="1" s="1"/>
  <c r="I211" i="1"/>
  <c r="H211" i="1" s="1"/>
  <c r="E223" i="1"/>
  <c r="D223" i="1" s="1"/>
  <c r="I227" i="1"/>
  <c r="H227" i="1" s="1"/>
  <c r="E239" i="1"/>
  <c r="D239" i="1" s="1"/>
  <c r="G251" i="1"/>
  <c r="F251" i="1" s="1"/>
  <c r="G259" i="1"/>
  <c r="F259" i="1" s="1"/>
  <c r="G267" i="1"/>
  <c r="F267" i="1" s="1"/>
  <c r="G275" i="1"/>
  <c r="F275" i="1" s="1"/>
  <c r="G283" i="1"/>
  <c r="F283" i="1" s="1"/>
  <c r="G290" i="1"/>
  <c r="F290" i="1" s="1"/>
  <c r="C298" i="1"/>
  <c r="B298" i="1" s="1"/>
  <c r="E311" i="1"/>
  <c r="D311" i="1" s="1"/>
  <c r="I313" i="1"/>
  <c r="H313" i="1" s="1"/>
  <c r="C320" i="1"/>
  <c r="B320" i="1" s="1"/>
  <c r="G322" i="1"/>
  <c r="F322" i="1" s="1"/>
  <c r="E328" i="1"/>
  <c r="D328" i="1" s="1"/>
  <c r="I329" i="1"/>
  <c r="H329" i="1" s="1"/>
  <c r="E344" i="1"/>
  <c r="D344" i="1" s="1"/>
  <c r="I358" i="1"/>
  <c r="H358" i="1" s="1"/>
  <c r="I374" i="1"/>
  <c r="H374" i="1" s="1"/>
  <c r="E221" i="1"/>
  <c r="D221" i="1" s="1"/>
  <c r="E237" i="1"/>
  <c r="D237" i="1" s="1"/>
  <c r="E245" i="1"/>
  <c r="D245" i="1" s="1"/>
  <c r="I251" i="1"/>
  <c r="H251" i="1" s="1"/>
  <c r="E256" i="1"/>
  <c r="D256" i="1" s="1"/>
  <c r="I259" i="1"/>
  <c r="H259" i="1" s="1"/>
  <c r="E264" i="1"/>
  <c r="D264" i="1" s="1"/>
  <c r="I267" i="1"/>
  <c r="H267" i="1" s="1"/>
  <c r="E272" i="1"/>
  <c r="D272" i="1" s="1"/>
  <c r="I275" i="1"/>
  <c r="H275" i="1" s="1"/>
  <c r="E280" i="1"/>
  <c r="D280" i="1" s="1"/>
  <c r="I283" i="1"/>
  <c r="H283" i="1" s="1"/>
  <c r="E287" i="1"/>
  <c r="D287" i="1" s="1"/>
  <c r="E288" i="1"/>
  <c r="D288" i="1" s="1"/>
  <c r="I291" i="1"/>
  <c r="H291" i="1" s="1"/>
  <c r="C308" i="1"/>
  <c r="B308" i="1" s="1"/>
  <c r="I312" i="1"/>
  <c r="H312" i="1" s="1"/>
  <c r="E320" i="1"/>
  <c r="D320" i="1" s="1"/>
  <c r="I323" i="1"/>
  <c r="H323" i="1" s="1"/>
  <c r="C332" i="1"/>
  <c r="B332" i="1" s="1"/>
  <c r="E349" i="1"/>
  <c r="D349" i="1" s="1"/>
  <c r="C217" i="1"/>
  <c r="B217" i="1" s="1"/>
  <c r="E219" i="1"/>
  <c r="D219" i="1" s="1"/>
  <c r="G221" i="1"/>
  <c r="F221" i="1" s="1"/>
  <c r="C233" i="1"/>
  <c r="B233" i="1" s="1"/>
  <c r="E235" i="1"/>
  <c r="D235" i="1" s="1"/>
  <c r="G237" i="1"/>
  <c r="F237" i="1" s="1"/>
  <c r="G245" i="1"/>
  <c r="F245" i="1" s="1"/>
  <c r="I289" i="1"/>
  <c r="H289" i="1" s="1"/>
  <c r="C296" i="1"/>
  <c r="B296" i="1" s="1"/>
  <c r="G298" i="1"/>
  <c r="F298" i="1" s="1"/>
  <c r="C306" i="1"/>
  <c r="B306" i="1" s="1"/>
  <c r="E319" i="1"/>
  <c r="D319" i="1" s="1"/>
  <c r="I321" i="1"/>
  <c r="H321" i="1" s="1"/>
  <c r="I328" i="1"/>
  <c r="H328" i="1" s="1"/>
  <c r="C336" i="1"/>
  <c r="B336" i="1" s="1"/>
  <c r="I337" i="1"/>
  <c r="H337" i="1" s="1"/>
  <c r="C343" i="1"/>
  <c r="B343" i="1" s="1"/>
  <c r="C351" i="1"/>
  <c r="B351" i="1" s="1"/>
  <c r="C359" i="1"/>
  <c r="B359" i="1" s="1"/>
  <c r="I360" i="1"/>
  <c r="H360" i="1" s="1"/>
  <c r="C367" i="1"/>
  <c r="B367" i="1" s="1"/>
  <c r="C375" i="1"/>
  <c r="B375" i="1" s="1"/>
  <c r="I376" i="1"/>
  <c r="H376" i="1" s="1"/>
  <c r="C383" i="1"/>
  <c r="B383" i="1" s="1"/>
  <c r="I392" i="1"/>
  <c r="H392" i="1" s="1"/>
  <c r="C62" i="1"/>
  <c r="B62" i="1" s="1"/>
  <c r="C70" i="1"/>
  <c r="B70" i="1" s="1"/>
  <c r="C78" i="1"/>
  <c r="B78" i="1" s="1"/>
  <c r="C86" i="1"/>
  <c r="B86" i="1" s="1"/>
  <c r="C94" i="1"/>
  <c r="B94" i="1" s="1"/>
  <c r="C102" i="1"/>
  <c r="B102" i="1" s="1"/>
  <c r="C110" i="1"/>
  <c r="B110" i="1" s="1"/>
  <c r="C118" i="1"/>
  <c r="B118" i="1" s="1"/>
  <c r="C126" i="1"/>
  <c r="B126" i="1" s="1"/>
  <c r="C134" i="1"/>
  <c r="B134" i="1" s="1"/>
  <c r="C142" i="1"/>
  <c r="B142" i="1" s="1"/>
  <c r="C150" i="1"/>
  <c r="B150" i="1" s="1"/>
  <c r="C158" i="1"/>
  <c r="B158" i="1" s="1"/>
  <c r="C166" i="1"/>
  <c r="B166" i="1" s="1"/>
  <c r="C174" i="1"/>
  <c r="B174" i="1" s="1"/>
  <c r="C182" i="1"/>
  <c r="B182" i="1" s="1"/>
  <c r="C190" i="1"/>
  <c r="B190" i="1" s="1"/>
  <c r="C198" i="1"/>
  <c r="B198" i="1" s="1"/>
  <c r="C206" i="1"/>
  <c r="B206" i="1" s="1"/>
  <c r="E253" i="1"/>
  <c r="D253" i="1" s="1"/>
  <c r="E261" i="1"/>
  <c r="D261" i="1" s="1"/>
  <c r="E269" i="1"/>
  <c r="D269" i="1" s="1"/>
  <c r="E277" i="1"/>
  <c r="D277" i="1" s="1"/>
  <c r="I288" i="1"/>
  <c r="H288" i="1" s="1"/>
  <c r="E296" i="1"/>
  <c r="D296" i="1" s="1"/>
  <c r="I299" i="1"/>
  <c r="H299" i="1" s="1"/>
  <c r="C316" i="1"/>
  <c r="B316" i="1" s="1"/>
  <c r="I320" i="1"/>
  <c r="H320" i="1" s="1"/>
  <c r="E336" i="1"/>
  <c r="D336" i="1" s="1"/>
  <c r="I357" i="1"/>
  <c r="H357" i="1" s="1"/>
  <c r="I365" i="1"/>
  <c r="H365" i="1" s="1"/>
  <c r="I381" i="1"/>
  <c r="H381" i="1" s="1"/>
  <c r="I389" i="1"/>
  <c r="H389" i="1" s="1"/>
  <c r="I397" i="1"/>
  <c r="H397" i="1" s="1"/>
  <c r="E132" i="1"/>
  <c r="D132" i="1" s="1"/>
  <c r="E140" i="1"/>
  <c r="D140" i="1" s="1"/>
  <c r="E148" i="1"/>
  <c r="D148" i="1" s="1"/>
  <c r="E156" i="1"/>
  <c r="D156" i="1" s="1"/>
  <c r="E164" i="1"/>
  <c r="D164" i="1" s="1"/>
  <c r="E172" i="1"/>
  <c r="D172" i="1" s="1"/>
  <c r="E180" i="1"/>
  <c r="D180" i="1" s="1"/>
  <c r="E188" i="1"/>
  <c r="D188" i="1" s="1"/>
  <c r="E196" i="1"/>
  <c r="D196" i="1" s="1"/>
  <c r="E204" i="1"/>
  <c r="D204" i="1" s="1"/>
  <c r="E215" i="1"/>
  <c r="D215" i="1" s="1"/>
  <c r="I219" i="1"/>
  <c r="H219" i="1" s="1"/>
  <c r="E231" i="1"/>
  <c r="D231" i="1" s="1"/>
  <c r="I235" i="1"/>
  <c r="H235" i="1" s="1"/>
  <c r="E243" i="1"/>
  <c r="D243" i="1" s="1"/>
  <c r="G253" i="1"/>
  <c r="F253" i="1" s="1"/>
  <c r="G261" i="1"/>
  <c r="F261" i="1" s="1"/>
  <c r="G269" i="1"/>
  <c r="F269" i="1" s="1"/>
  <c r="G277" i="1"/>
  <c r="F277" i="1" s="1"/>
  <c r="E295" i="1"/>
  <c r="D295" i="1" s="1"/>
  <c r="I297" i="1"/>
  <c r="H297" i="1" s="1"/>
  <c r="C304" i="1"/>
  <c r="B304" i="1" s="1"/>
  <c r="G306" i="1"/>
  <c r="F306" i="1" s="1"/>
  <c r="C314" i="1"/>
  <c r="B314" i="1" s="1"/>
  <c r="C330" i="1"/>
  <c r="B330" i="1" s="1"/>
  <c r="I362" i="1"/>
  <c r="H362" i="1" s="1"/>
  <c r="I370" i="1"/>
  <c r="H370" i="1" s="1"/>
  <c r="I386" i="1"/>
  <c r="H386" i="1" s="1"/>
  <c r="I394" i="1"/>
  <c r="H394" i="1" s="1"/>
  <c r="G194" i="1"/>
  <c r="F194" i="1" s="1"/>
  <c r="G202" i="1"/>
  <c r="F202" i="1" s="1"/>
  <c r="E213" i="1"/>
  <c r="D213" i="1" s="1"/>
  <c r="E229" i="1"/>
  <c r="D229" i="1" s="1"/>
  <c r="G243" i="1"/>
  <c r="F243" i="1" s="1"/>
  <c r="E250" i="1"/>
  <c r="D250" i="1" s="1"/>
  <c r="E258" i="1"/>
  <c r="D258" i="1" s="1"/>
  <c r="E266" i="1"/>
  <c r="D266" i="1" s="1"/>
  <c r="E274" i="1"/>
  <c r="D274" i="1" s="1"/>
  <c r="E282" i="1"/>
  <c r="D282" i="1" s="1"/>
  <c r="C292" i="1"/>
  <c r="B292" i="1" s="1"/>
  <c r="I296" i="1"/>
  <c r="H296" i="1" s="1"/>
  <c r="E304" i="1"/>
  <c r="D304" i="1" s="1"/>
  <c r="I307" i="1"/>
  <c r="H307" i="1" s="1"/>
  <c r="C324" i="1"/>
  <c r="B324" i="1" s="1"/>
  <c r="I336" i="1"/>
  <c r="H336" i="1" s="1"/>
  <c r="C338" i="1"/>
  <c r="B338" i="1" s="1"/>
  <c r="C225" i="1"/>
  <c r="B225" i="1" s="1"/>
  <c r="E227" i="1"/>
  <c r="D227" i="1" s="1"/>
  <c r="G229" i="1"/>
  <c r="F229" i="1" s="1"/>
  <c r="C241" i="1"/>
  <c r="B241" i="1" s="1"/>
  <c r="I243" i="1"/>
  <c r="H243" i="1" s="1"/>
  <c r="E247" i="1"/>
  <c r="D247" i="1" s="1"/>
  <c r="C290" i="1"/>
  <c r="B290" i="1" s="1"/>
  <c r="E303" i="1"/>
  <c r="D303" i="1" s="1"/>
  <c r="I305" i="1"/>
  <c r="H305" i="1" s="1"/>
  <c r="C312" i="1"/>
  <c r="B312" i="1" s="1"/>
  <c r="G314" i="1"/>
  <c r="F314" i="1" s="1"/>
  <c r="C322" i="1"/>
  <c r="B322" i="1" s="1"/>
  <c r="G330" i="1"/>
  <c r="F330" i="1" s="1"/>
  <c r="I331" i="1"/>
  <c r="H331" i="1" s="1"/>
  <c r="I339" i="1"/>
  <c r="H339" i="1" s="1"/>
  <c r="G342" i="1"/>
  <c r="F342" i="1" s="1"/>
  <c r="C355" i="1"/>
  <c r="B355" i="1" s="1"/>
  <c r="I356" i="1"/>
  <c r="H356" i="1" s="1"/>
  <c r="C363" i="1"/>
  <c r="B363" i="1" s="1"/>
  <c r="C371" i="1"/>
  <c r="B371" i="1" s="1"/>
  <c r="I372" i="1"/>
  <c r="H372" i="1" s="1"/>
  <c r="C379" i="1"/>
  <c r="B379" i="1" s="1"/>
  <c r="C387" i="1"/>
  <c r="B387" i="1" s="1"/>
  <c r="E251" i="1"/>
  <c r="D251" i="1" s="1"/>
  <c r="E255" i="1"/>
  <c r="D255" i="1" s="1"/>
  <c r="E259" i="1"/>
  <c r="D259" i="1" s="1"/>
  <c r="E263" i="1"/>
  <c r="D263" i="1" s="1"/>
  <c r="E267" i="1"/>
  <c r="D267" i="1" s="1"/>
  <c r="E271" i="1"/>
  <c r="D271" i="1" s="1"/>
  <c r="E275" i="1"/>
  <c r="D275" i="1" s="1"/>
  <c r="E279" i="1"/>
  <c r="D279" i="1" s="1"/>
  <c r="E283" i="1"/>
  <c r="D283" i="1" s="1"/>
  <c r="C284" i="1"/>
  <c r="B284" i="1" s="1"/>
  <c r="C300" i="1"/>
  <c r="B300" i="1" s="1"/>
  <c r="I304" i="1"/>
  <c r="H304" i="1" s="1"/>
  <c r="E312" i="1"/>
  <c r="D312" i="1" s="1"/>
  <c r="I315" i="1"/>
  <c r="H315" i="1" s="1"/>
  <c r="C328" i="1"/>
  <c r="B328" i="1" s="1"/>
  <c r="G338" i="1"/>
  <c r="F338" i="1" s="1"/>
  <c r="E341" i="1"/>
  <c r="D341" i="1" s="1"/>
  <c r="C344" i="1"/>
  <c r="B344" i="1" s="1"/>
  <c r="I353" i="1"/>
  <c r="H353" i="1" s="1"/>
  <c r="I369" i="1"/>
  <c r="H369" i="1" s="1"/>
  <c r="I385" i="1"/>
  <c r="H385" i="1" s="1"/>
  <c r="E290" i="1"/>
  <c r="D290" i="1" s="1"/>
  <c r="E298" i="1"/>
  <c r="D298" i="1" s="1"/>
  <c r="E306" i="1"/>
  <c r="D306" i="1" s="1"/>
  <c r="E314" i="1"/>
  <c r="D314" i="1" s="1"/>
  <c r="E322" i="1"/>
  <c r="D322" i="1" s="1"/>
  <c r="E330" i="1"/>
  <c r="D330" i="1" s="1"/>
  <c r="E338" i="1"/>
  <c r="D338" i="1" s="1"/>
  <c r="G341" i="1"/>
  <c r="F341" i="1" s="1"/>
  <c r="G349" i="1"/>
  <c r="F349" i="1" s="1"/>
  <c r="E355" i="1"/>
  <c r="D355" i="1" s="1"/>
  <c r="I359" i="1"/>
  <c r="H359" i="1" s="1"/>
  <c r="G365" i="1"/>
  <c r="F365" i="1" s="1"/>
  <c r="C366" i="1"/>
  <c r="B366" i="1" s="1"/>
  <c r="E371" i="1"/>
  <c r="D371" i="1" s="1"/>
  <c r="I375" i="1"/>
  <c r="H375" i="1" s="1"/>
  <c r="G381" i="1"/>
  <c r="F381" i="1" s="1"/>
  <c r="C382" i="1"/>
  <c r="B382" i="1" s="1"/>
  <c r="E387" i="1"/>
  <c r="D387" i="1" s="1"/>
  <c r="C388" i="1"/>
  <c r="B388" i="1" s="1"/>
  <c r="E395" i="1"/>
  <c r="D395" i="1" s="1"/>
  <c r="C396" i="1"/>
  <c r="B396" i="1" s="1"/>
  <c r="I405" i="1"/>
  <c r="H405" i="1" s="1"/>
  <c r="I407" i="1"/>
  <c r="H407" i="1" s="1"/>
  <c r="I409" i="1"/>
  <c r="H409" i="1" s="1"/>
  <c r="I413" i="1"/>
  <c r="H413" i="1" s="1"/>
  <c r="I415" i="1"/>
  <c r="H415" i="1" s="1"/>
  <c r="I417" i="1"/>
  <c r="H417" i="1" s="1"/>
  <c r="I421" i="1"/>
  <c r="H421" i="1" s="1"/>
  <c r="I423" i="1"/>
  <c r="H423" i="1" s="1"/>
  <c r="I425" i="1"/>
  <c r="H425" i="1" s="1"/>
  <c r="I429" i="1"/>
  <c r="H429" i="1" s="1"/>
  <c r="I431" i="1"/>
  <c r="H431" i="1" s="1"/>
  <c r="I433" i="1"/>
  <c r="H433" i="1" s="1"/>
  <c r="C438" i="1"/>
  <c r="B438" i="1" s="1"/>
  <c r="G439" i="1"/>
  <c r="F439" i="1" s="1"/>
  <c r="G443" i="1"/>
  <c r="F443" i="1" s="1"/>
  <c r="C446" i="1"/>
  <c r="B446" i="1" s="1"/>
  <c r="G447" i="1"/>
  <c r="F447" i="1" s="1"/>
  <c r="G451" i="1"/>
  <c r="F451" i="1" s="1"/>
  <c r="I454" i="1"/>
  <c r="H454" i="1" s="1"/>
  <c r="I462" i="1"/>
  <c r="H462" i="1" s="1"/>
  <c r="I470" i="1"/>
  <c r="H470" i="1" s="1"/>
  <c r="I478" i="1"/>
  <c r="H478" i="1" s="1"/>
  <c r="I486" i="1"/>
  <c r="H486" i="1" s="1"/>
  <c r="E346" i="1"/>
  <c r="D346" i="1" s="1"/>
  <c r="G355" i="1"/>
  <c r="F355" i="1" s="1"/>
  <c r="E361" i="1"/>
  <c r="D361" i="1" s="1"/>
  <c r="G371" i="1"/>
  <c r="F371" i="1" s="1"/>
  <c r="C372" i="1"/>
  <c r="B372" i="1" s="1"/>
  <c r="E377" i="1"/>
  <c r="D377" i="1" s="1"/>
  <c r="G387" i="1"/>
  <c r="F387" i="1" s="1"/>
  <c r="G395" i="1"/>
  <c r="F395" i="1" s="1"/>
  <c r="C249" i="1"/>
  <c r="B249" i="1" s="1"/>
  <c r="C257" i="1"/>
  <c r="B257" i="1" s="1"/>
  <c r="C265" i="1"/>
  <c r="B265" i="1" s="1"/>
  <c r="C273" i="1"/>
  <c r="B273" i="1" s="1"/>
  <c r="C281" i="1"/>
  <c r="B281" i="1" s="1"/>
  <c r="G285" i="1"/>
  <c r="F285" i="1" s="1"/>
  <c r="G293" i="1"/>
  <c r="F293" i="1" s="1"/>
  <c r="G301" i="1"/>
  <c r="F301" i="1" s="1"/>
  <c r="G309" i="1"/>
  <c r="F309" i="1" s="1"/>
  <c r="G317" i="1"/>
  <c r="F317" i="1" s="1"/>
  <c r="G325" i="1"/>
  <c r="F325" i="1" s="1"/>
  <c r="G333" i="1"/>
  <c r="F333" i="1" s="1"/>
  <c r="G346" i="1"/>
  <c r="F346" i="1" s="1"/>
  <c r="E351" i="1"/>
  <c r="D351" i="1" s="1"/>
  <c r="C357" i="1"/>
  <c r="B357" i="1" s="1"/>
  <c r="G361" i="1"/>
  <c r="F361" i="1" s="1"/>
  <c r="E367" i="1"/>
  <c r="D367" i="1" s="1"/>
  <c r="C373" i="1"/>
  <c r="B373" i="1" s="1"/>
  <c r="G377" i="1"/>
  <c r="F377" i="1" s="1"/>
  <c r="E383" i="1"/>
  <c r="D383" i="1" s="1"/>
  <c r="C390" i="1"/>
  <c r="B390" i="1" s="1"/>
  <c r="C398" i="1"/>
  <c r="B398" i="1" s="1"/>
  <c r="C455" i="1"/>
  <c r="B455" i="1" s="1"/>
  <c r="I456" i="1"/>
  <c r="H456" i="1" s="1"/>
  <c r="C463" i="1"/>
  <c r="B463" i="1" s="1"/>
  <c r="C471" i="1"/>
  <c r="B471" i="1" s="1"/>
  <c r="C479" i="1"/>
  <c r="B479" i="1" s="1"/>
  <c r="C487" i="1"/>
  <c r="B487" i="1" s="1"/>
  <c r="I496" i="1"/>
  <c r="H496" i="1" s="1"/>
  <c r="I504" i="1"/>
  <c r="H504" i="1" s="1"/>
  <c r="I512" i="1"/>
  <c r="H512" i="1" s="1"/>
  <c r="I520" i="1"/>
  <c r="H520" i="1" s="1"/>
  <c r="I528" i="1"/>
  <c r="H528" i="1" s="1"/>
  <c r="G288" i="1"/>
  <c r="F288" i="1" s="1"/>
  <c r="G296" i="1"/>
  <c r="F296" i="1" s="1"/>
  <c r="G304" i="1"/>
  <c r="F304" i="1" s="1"/>
  <c r="G312" i="1"/>
  <c r="F312" i="1" s="1"/>
  <c r="G320" i="1"/>
  <c r="F320" i="1" s="1"/>
  <c r="G328" i="1"/>
  <c r="F328" i="1" s="1"/>
  <c r="G336" i="1"/>
  <c r="F336" i="1" s="1"/>
  <c r="I342" i="1"/>
  <c r="H342" i="1" s="1"/>
  <c r="E343" i="1"/>
  <c r="D343" i="1" s="1"/>
  <c r="G351" i="1"/>
  <c r="F351" i="1" s="1"/>
  <c r="G367" i="1"/>
  <c r="F367" i="1" s="1"/>
  <c r="C368" i="1"/>
  <c r="B368" i="1" s="1"/>
  <c r="G383" i="1"/>
  <c r="F383" i="1" s="1"/>
  <c r="C384" i="1"/>
  <c r="B384" i="1" s="1"/>
  <c r="G389" i="1"/>
  <c r="F389" i="1" s="1"/>
  <c r="G397" i="1"/>
  <c r="F397" i="1" s="1"/>
  <c r="C436" i="1"/>
  <c r="B436" i="1" s="1"/>
  <c r="E441" i="1"/>
  <c r="D441" i="1" s="1"/>
  <c r="E449" i="1"/>
  <c r="D449" i="1" s="1"/>
  <c r="C452" i="1"/>
  <c r="B452" i="1" s="1"/>
  <c r="I453" i="1"/>
  <c r="H453" i="1" s="1"/>
  <c r="C460" i="1"/>
  <c r="B460" i="1" s="1"/>
  <c r="I461" i="1"/>
  <c r="H461" i="1" s="1"/>
  <c r="C468" i="1"/>
  <c r="B468" i="1" s="1"/>
  <c r="I469" i="1"/>
  <c r="H469" i="1" s="1"/>
  <c r="C476" i="1"/>
  <c r="B476" i="1" s="1"/>
  <c r="I477" i="1"/>
  <c r="H477" i="1" s="1"/>
  <c r="C484" i="1"/>
  <c r="B484" i="1" s="1"/>
  <c r="I485" i="1"/>
  <c r="H485" i="1" s="1"/>
  <c r="G490" i="1"/>
  <c r="F490" i="1" s="1"/>
  <c r="G498" i="1"/>
  <c r="F498" i="1" s="1"/>
  <c r="G506" i="1"/>
  <c r="F506" i="1" s="1"/>
  <c r="G514" i="1"/>
  <c r="F514" i="1" s="1"/>
  <c r="G522" i="1"/>
  <c r="F522" i="1" s="1"/>
  <c r="G530" i="1"/>
  <c r="F530" i="1" s="1"/>
  <c r="E535" i="1"/>
  <c r="D535" i="1" s="1"/>
  <c r="G538" i="1"/>
  <c r="F538" i="1" s="1"/>
  <c r="E543" i="1"/>
  <c r="D543" i="1" s="1"/>
  <c r="G546" i="1"/>
  <c r="F546" i="1" s="1"/>
  <c r="C556" i="1"/>
  <c r="B556" i="1" s="1"/>
  <c r="E559" i="1"/>
  <c r="D559" i="1" s="1"/>
  <c r="C289" i="1"/>
  <c r="B289" i="1" s="1"/>
  <c r="C297" i="1"/>
  <c r="B297" i="1" s="1"/>
  <c r="C305" i="1"/>
  <c r="B305" i="1" s="1"/>
  <c r="C313" i="1"/>
  <c r="B313" i="1" s="1"/>
  <c r="C321" i="1"/>
  <c r="B321" i="1" s="1"/>
  <c r="C329" i="1"/>
  <c r="B329" i="1" s="1"/>
  <c r="C337" i="1"/>
  <c r="B337" i="1" s="1"/>
  <c r="C340" i="1"/>
  <c r="B340" i="1" s="1"/>
  <c r="C348" i="1"/>
  <c r="B348" i="1" s="1"/>
  <c r="I351" i="1"/>
  <c r="H351" i="1" s="1"/>
  <c r="G357" i="1"/>
  <c r="F357" i="1" s="1"/>
  <c r="C358" i="1"/>
  <c r="B358" i="1" s="1"/>
  <c r="E363" i="1"/>
  <c r="D363" i="1" s="1"/>
  <c r="I367" i="1"/>
  <c r="H367" i="1" s="1"/>
  <c r="G373" i="1"/>
  <c r="F373" i="1" s="1"/>
  <c r="C374" i="1"/>
  <c r="B374" i="1" s="1"/>
  <c r="E379" i="1"/>
  <c r="D379" i="1" s="1"/>
  <c r="I383" i="1"/>
  <c r="H383" i="1" s="1"/>
  <c r="E391" i="1"/>
  <c r="D391" i="1" s="1"/>
  <c r="C392" i="1"/>
  <c r="B392" i="1" s="1"/>
  <c r="E399" i="1"/>
  <c r="D399" i="1" s="1"/>
  <c r="C400" i="1"/>
  <c r="B400" i="1" s="1"/>
  <c r="G437" i="1"/>
  <c r="F437" i="1" s="1"/>
  <c r="C440" i="1"/>
  <c r="B440" i="1" s="1"/>
  <c r="C444" i="1"/>
  <c r="B444" i="1" s="1"/>
  <c r="G445" i="1"/>
  <c r="F445" i="1" s="1"/>
  <c r="C448" i="1"/>
  <c r="B448" i="1" s="1"/>
  <c r="C457" i="1"/>
  <c r="B457" i="1" s="1"/>
  <c r="G463" i="1"/>
  <c r="F463" i="1" s="1"/>
  <c r="C465" i="1"/>
  <c r="B465" i="1" s="1"/>
  <c r="G471" i="1"/>
  <c r="F471" i="1" s="1"/>
  <c r="C473" i="1"/>
  <c r="B473" i="1" s="1"/>
  <c r="G479" i="1"/>
  <c r="F479" i="1" s="1"/>
  <c r="C481" i="1"/>
  <c r="B481" i="1" s="1"/>
  <c r="G487" i="1"/>
  <c r="F487" i="1" s="1"/>
  <c r="C489" i="1"/>
  <c r="B489" i="1" s="1"/>
  <c r="I347" i="1"/>
  <c r="H347" i="1" s="1"/>
  <c r="E353" i="1"/>
  <c r="D353" i="1" s="1"/>
  <c r="G363" i="1"/>
  <c r="F363" i="1" s="1"/>
  <c r="C364" i="1"/>
  <c r="B364" i="1" s="1"/>
  <c r="E369" i="1"/>
  <c r="D369" i="1" s="1"/>
  <c r="G379" i="1"/>
  <c r="F379" i="1" s="1"/>
  <c r="C380" i="1"/>
  <c r="B380" i="1" s="1"/>
  <c r="E385" i="1"/>
  <c r="D385" i="1" s="1"/>
  <c r="G391" i="1"/>
  <c r="F391" i="1" s="1"/>
  <c r="G399" i="1"/>
  <c r="F399" i="1" s="1"/>
  <c r="C404" i="1"/>
  <c r="B404" i="1" s="1"/>
  <c r="C406" i="1"/>
  <c r="B406" i="1" s="1"/>
  <c r="C408" i="1"/>
  <c r="B408" i="1" s="1"/>
  <c r="C412" i="1"/>
  <c r="B412" i="1" s="1"/>
  <c r="C414" i="1"/>
  <c r="B414" i="1" s="1"/>
  <c r="C416" i="1"/>
  <c r="B416" i="1" s="1"/>
  <c r="C420" i="1"/>
  <c r="B420" i="1" s="1"/>
  <c r="C422" i="1"/>
  <c r="B422" i="1" s="1"/>
  <c r="C424" i="1"/>
  <c r="B424" i="1" s="1"/>
  <c r="C428" i="1"/>
  <c r="B428" i="1" s="1"/>
  <c r="C430" i="1"/>
  <c r="B430" i="1" s="1"/>
  <c r="C432" i="1"/>
  <c r="B432" i="1" s="1"/>
  <c r="E435" i="1"/>
  <c r="D435" i="1" s="1"/>
  <c r="I437" i="1"/>
  <c r="H437" i="1" s="1"/>
  <c r="I441" i="1"/>
  <c r="H441" i="1" s="1"/>
  <c r="I445" i="1"/>
  <c r="H445" i="1" s="1"/>
  <c r="I449" i="1"/>
  <c r="H449" i="1" s="1"/>
  <c r="C454" i="1"/>
  <c r="B454" i="1" s="1"/>
  <c r="E457" i="1"/>
  <c r="D457" i="1" s="1"/>
  <c r="C462" i="1"/>
  <c r="B462" i="1" s="1"/>
  <c r="E465" i="1"/>
  <c r="D465" i="1" s="1"/>
  <c r="C470" i="1"/>
  <c r="B470" i="1" s="1"/>
  <c r="E473" i="1"/>
  <c r="D473" i="1" s="1"/>
  <c r="E481" i="1"/>
  <c r="D481" i="1" s="1"/>
  <c r="E489" i="1"/>
  <c r="D489" i="1" s="1"/>
  <c r="C494" i="1"/>
  <c r="B494" i="1" s="1"/>
  <c r="E497" i="1"/>
  <c r="D497" i="1" s="1"/>
  <c r="C502" i="1"/>
  <c r="B502" i="1" s="1"/>
  <c r="E505" i="1"/>
  <c r="D505" i="1" s="1"/>
  <c r="C510" i="1"/>
  <c r="B510" i="1" s="1"/>
  <c r="E513" i="1"/>
  <c r="D513" i="1" s="1"/>
  <c r="C518" i="1"/>
  <c r="B518" i="1" s="1"/>
  <c r="E521" i="1"/>
  <c r="D521" i="1" s="1"/>
  <c r="C526" i="1"/>
  <c r="B526" i="1" s="1"/>
  <c r="E529" i="1"/>
  <c r="D529" i="1" s="1"/>
  <c r="E537" i="1"/>
  <c r="D537" i="1" s="1"/>
  <c r="E545" i="1"/>
  <c r="D545" i="1" s="1"/>
  <c r="E553" i="1"/>
  <c r="D553" i="1" s="1"/>
  <c r="I286" i="1"/>
  <c r="H286" i="1" s="1"/>
  <c r="I294" i="1"/>
  <c r="H294" i="1" s="1"/>
  <c r="I302" i="1"/>
  <c r="H302" i="1" s="1"/>
  <c r="I310" i="1"/>
  <c r="H310" i="1" s="1"/>
  <c r="I318" i="1"/>
  <c r="H318" i="1" s="1"/>
  <c r="I326" i="1"/>
  <c r="H326" i="1" s="1"/>
  <c r="I334" i="1"/>
  <c r="H334" i="1" s="1"/>
  <c r="G344" i="1"/>
  <c r="F344" i="1" s="1"/>
  <c r="C345" i="1"/>
  <c r="B345" i="1" s="1"/>
  <c r="G353" i="1"/>
  <c r="F353" i="1" s="1"/>
  <c r="E359" i="1"/>
  <c r="D359" i="1" s="1"/>
  <c r="C365" i="1"/>
  <c r="B365" i="1" s="1"/>
  <c r="G369" i="1"/>
  <c r="F369" i="1" s="1"/>
  <c r="E375" i="1"/>
  <c r="D375" i="1" s="1"/>
  <c r="C381" i="1"/>
  <c r="B381" i="1" s="1"/>
  <c r="G385" i="1"/>
  <c r="F385" i="1" s="1"/>
  <c r="I391" i="1"/>
  <c r="H391" i="1" s="1"/>
  <c r="E393" i="1"/>
  <c r="D393" i="1" s="1"/>
  <c r="I399" i="1"/>
  <c r="H399" i="1" s="1"/>
  <c r="E401" i="1"/>
  <c r="D401" i="1" s="1"/>
  <c r="E403" i="1"/>
  <c r="D403" i="1" s="1"/>
  <c r="E407" i="1"/>
  <c r="D407" i="1" s="1"/>
  <c r="E409" i="1"/>
  <c r="D409" i="1" s="1"/>
  <c r="E411" i="1"/>
  <c r="D411" i="1" s="1"/>
  <c r="E415" i="1"/>
  <c r="D415" i="1" s="1"/>
  <c r="E417" i="1"/>
  <c r="D417" i="1" s="1"/>
  <c r="E419" i="1"/>
  <c r="D419" i="1" s="1"/>
  <c r="E423" i="1"/>
  <c r="D423" i="1" s="1"/>
  <c r="E425" i="1"/>
  <c r="D425" i="1" s="1"/>
  <c r="E427" i="1"/>
  <c r="D427" i="1" s="1"/>
  <c r="E431" i="1"/>
  <c r="D431" i="1" s="1"/>
  <c r="E433" i="1"/>
  <c r="D433" i="1" s="1"/>
  <c r="G435" i="1"/>
  <c r="F435" i="1" s="1"/>
  <c r="I460" i="1"/>
  <c r="H460" i="1" s="1"/>
  <c r="I468" i="1"/>
  <c r="H468" i="1" s="1"/>
  <c r="I476" i="1"/>
  <c r="H476" i="1" s="1"/>
  <c r="I484" i="1"/>
  <c r="H484" i="1" s="1"/>
  <c r="I492" i="1"/>
  <c r="H492" i="1" s="1"/>
  <c r="I500" i="1"/>
  <c r="H500" i="1" s="1"/>
  <c r="I508" i="1"/>
  <c r="H508" i="1" s="1"/>
  <c r="I516" i="1"/>
  <c r="H516" i="1" s="1"/>
  <c r="I524" i="1"/>
  <c r="H524" i="1" s="1"/>
  <c r="I532" i="1"/>
  <c r="H532" i="1" s="1"/>
  <c r="E327" i="1"/>
  <c r="D327" i="1" s="1"/>
  <c r="E335" i="1"/>
  <c r="D335" i="1" s="1"/>
  <c r="I344" i="1"/>
  <c r="H344" i="1" s="1"/>
  <c r="G359" i="1"/>
  <c r="F359" i="1" s="1"/>
  <c r="C360" i="1"/>
  <c r="B360" i="1" s="1"/>
  <c r="G375" i="1"/>
  <c r="F375" i="1" s="1"/>
  <c r="C376" i="1"/>
  <c r="B376" i="1" s="1"/>
  <c r="G393" i="1"/>
  <c r="F393" i="1" s="1"/>
  <c r="G401" i="1"/>
  <c r="F401" i="1" s="1"/>
  <c r="G403" i="1"/>
  <c r="F403" i="1" s="1"/>
  <c r="G405" i="1"/>
  <c r="F405" i="1" s="1"/>
  <c r="G407" i="1"/>
  <c r="F407" i="1" s="1"/>
  <c r="G409" i="1"/>
  <c r="F409" i="1" s="1"/>
  <c r="G411" i="1"/>
  <c r="F411" i="1" s="1"/>
  <c r="G413" i="1"/>
  <c r="F413" i="1" s="1"/>
  <c r="G415" i="1"/>
  <c r="F415" i="1" s="1"/>
  <c r="G417" i="1"/>
  <c r="F417" i="1" s="1"/>
  <c r="G419" i="1"/>
  <c r="F419" i="1" s="1"/>
  <c r="G421" i="1"/>
  <c r="F421" i="1" s="1"/>
  <c r="G423" i="1"/>
  <c r="F423" i="1" s="1"/>
  <c r="G425" i="1"/>
  <c r="F425" i="1" s="1"/>
  <c r="G427" i="1"/>
  <c r="F427" i="1" s="1"/>
  <c r="G429" i="1"/>
  <c r="F429" i="1" s="1"/>
  <c r="G431" i="1"/>
  <c r="F431" i="1" s="1"/>
  <c r="G433" i="1"/>
  <c r="F433" i="1" s="1"/>
  <c r="E439" i="1"/>
  <c r="D439" i="1" s="1"/>
  <c r="E443" i="1"/>
  <c r="D443" i="1" s="1"/>
  <c r="E447" i="1"/>
  <c r="D447" i="1" s="1"/>
  <c r="E451" i="1"/>
  <c r="D451" i="1" s="1"/>
  <c r="G454" i="1"/>
  <c r="F454" i="1" s="1"/>
  <c r="G462" i="1"/>
  <c r="F462" i="1" s="1"/>
  <c r="G470" i="1"/>
  <c r="F470" i="1" s="1"/>
  <c r="G478" i="1"/>
  <c r="F478" i="1" s="1"/>
  <c r="G486" i="1"/>
  <c r="F486" i="1" s="1"/>
  <c r="G494" i="1"/>
  <c r="F494" i="1" s="1"/>
  <c r="G502" i="1"/>
  <c r="F502" i="1" s="1"/>
  <c r="G510" i="1"/>
  <c r="F510" i="1" s="1"/>
  <c r="G518" i="1"/>
  <c r="F518" i="1" s="1"/>
  <c r="G526" i="1"/>
  <c r="F526" i="1" s="1"/>
  <c r="G534" i="1"/>
  <c r="F534" i="1" s="1"/>
  <c r="C536" i="1"/>
  <c r="B536" i="1" s="1"/>
  <c r="G542" i="1"/>
  <c r="F542" i="1" s="1"/>
  <c r="C544" i="1"/>
  <c r="B544" i="1" s="1"/>
  <c r="C552" i="1"/>
  <c r="B552" i="1" s="1"/>
  <c r="C560" i="1"/>
  <c r="B560" i="1" s="1"/>
  <c r="I439" i="1"/>
  <c r="H439" i="1" s="1"/>
  <c r="I447" i="1"/>
  <c r="H447" i="1" s="1"/>
  <c r="G533" i="1"/>
  <c r="F533" i="1" s="1"/>
  <c r="C535" i="1"/>
  <c r="B535" i="1" s="1"/>
  <c r="I540" i="1"/>
  <c r="H540" i="1" s="1"/>
  <c r="G541" i="1"/>
  <c r="F541" i="1" s="1"/>
  <c r="C543" i="1"/>
  <c r="B543" i="1" s="1"/>
  <c r="I548" i="1"/>
  <c r="H548" i="1" s="1"/>
  <c r="G549" i="1"/>
  <c r="F549" i="1" s="1"/>
  <c r="C553" i="1"/>
  <c r="B553" i="1" s="1"/>
  <c r="C563" i="1"/>
  <c r="B563" i="1" s="1"/>
  <c r="C564" i="1"/>
  <c r="B564" i="1" s="1"/>
  <c r="I578" i="1"/>
  <c r="H578" i="1" s="1"/>
  <c r="C584" i="1"/>
  <c r="B584" i="1" s="1"/>
  <c r="G587" i="1"/>
  <c r="F587" i="1" s="1"/>
  <c r="C595" i="1"/>
  <c r="B595" i="1" s="1"/>
  <c r="C596" i="1"/>
  <c r="B596" i="1" s="1"/>
  <c r="G457" i="1"/>
  <c r="F457" i="1" s="1"/>
  <c r="G465" i="1"/>
  <c r="F465" i="1" s="1"/>
  <c r="G473" i="1"/>
  <c r="F473" i="1" s="1"/>
  <c r="G481" i="1"/>
  <c r="F481" i="1" s="1"/>
  <c r="G493" i="1"/>
  <c r="F493" i="1" s="1"/>
  <c r="G501" i="1"/>
  <c r="F501" i="1" s="1"/>
  <c r="G509" i="1"/>
  <c r="F509" i="1" s="1"/>
  <c r="G517" i="1"/>
  <c r="F517" i="1" s="1"/>
  <c r="G525" i="1"/>
  <c r="F525" i="1" s="1"/>
  <c r="I550" i="1"/>
  <c r="H550" i="1" s="1"/>
  <c r="C555" i="1"/>
  <c r="B555" i="1" s="1"/>
  <c r="G565" i="1"/>
  <c r="F565" i="1" s="1"/>
  <c r="G566" i="1"/>
  <c r="F566" i="1" s="1"/>
  <c r="I567" i="1"/>
  <c r="H567" i="1" s="1"/>
  <c r="E575" i="1"/>
  <c r="D575" i="1" s="1"/>
  <c r="I576" i="1"/>
  <c r="H576" i="1" s="1"/>
  <c r="I577" i="1"/>
  <c r="H577" i="1" s="1"/>
  <c r="E584" i="1"/>
  <c r="D584" i="1" s="1"/>
  <c r="G586" i="1"/>
  <c r="F586" i="1" s="1"/>
  <c r="G597" i="1"/>
  <c r="F597" i="1" s="1"/>
  <c r="G598" i="1"/>
  <c r="F598" i="1" s="1"/>
  <c r="I599" i="1"/>
  <c r="H599" i="1" s="1"/>
  <c r="E608" i="1"/>
  <c r="D608" i="1" s="1"/>
  <c r="G624" i="1"/>
  <c r="F624" i="1" s="1"/>
  <c r="G632" i="1"/>
  <c r="F632" i="1" s="1"/>
  <c r="I534" i="1"/>
  <c r="H534" i="1" s="1"/>
  <c r="C537" i="1"/>
  <c r="B537" i="1" s="1"/>
  <c r="I542" i="1"/>
  <c r="H542" i="1" s="1"/>
  <c r="C545" i="1"/>
  <c r="B545" i="1" s="1"/>
  <c r="I552" i="1"/>
  <c r="H552" i="1" s="1"/>
  <c r="E555" i="1"/>
  <c r="D555" i="1" s="1"/>
  <c r="C561" i="1"/>
  <c r="B561" i="1" s="1"/>
  <c r="G563" i="1"/>
  <c r="F563" i="1" s="1"/>
  <c r="C571" i="1"/>
  <c r="B571" i="1" s="1"/>
  <c r="C572" i="1"/>
  <c r="B572" i="1" s="1"/>
  <c r="I586" i="1"/>
  <c r="H586" i="1" s="1"/>
  <c r="C592" i="1"/>
  <c r="B592" i="1" s="1"/>
  <c r="G595" i="1"/>
  <c r="F595" i="1" s="1"/>
  <c r="C617" i="1"/>
  <c r="B617" i="1" s="1"/>
  <c r="C453" i="1"/>
  <c r="B453" i="1" s="1"/>
  <c r="C461" i="1"/>
  <c r="B461" i="1" s="1"/>
  <c r="C469" i="1"/>
  <c r="B469" i="1" s="1"/>
  <c r="C477" i="1"/>
  <c r="B477" i="1" s="1"/>
  <c r="C485" i="1"/>
  <c r="B485" i="1" s="1"/>
  <c r="C491" i="1"/>
  <c r="B491" i="1" s="1"/>
  <c r="C495" i="1"/>
  <c r="B495" i="1" s="1"/>
  <c r="C499" i="1"/>
  <c r="B499" i="1" s="1"/>
  <c r="C503" i="1"/>
  <c r="B503" i="1" s="1"/>
  <c r="C507" i="1"/>
  <c r="B507" i="1" s="1"/>
  <c r="C511" i="1"/>
  <c r="B511" i="1" s="1"/>
  <c r="C515" i="1"/>
  <c r="B515" i="1" s="1"/>
  <c r="C519" i="1"/>
  <c r="B519" i="1" s="1"/>
  <c r="C523" i="1"/>
  <c r="B523" i="1" s="1"/>
  <c r="C527" i="1"/>
  <c r="B527" i="1" s="1"/>
  <c r="C531" i="1"/>
  <c r="B531" i="1" s="1"/>
  <c r="I554" i="1"/>
  <c r="H554" i="1" s="1"/>
  <c r="G555" i="1"/>
  <c r="F555" i="1" s="1"/>
  <c r="G556" i="1"/>
  <c r="F556" i="1" s="1"/>
  <c r="C559" i="1"/>
  <c r="B559" i="1" s="1"/>
  <c r="G562" i="1"/>
  <c r="F562" i="1" s="1"/>
  <c r="G573" i="1"/>
  <c r="F573" i="1" s="1"/>
  <c r="G574" i="1"/>
  <c r="F574" i="1" s="1"/>
  <c r="I575" i="1"/>
  <c r="H575" i="1" s="1"/>
  <c r="E583" i="1"/>
  <c r="D583" i="1" s="1"/>
  <c r="I584" i="1"/>
  <c r="H584" i="1" s="1"/>
  <c r="I585" i="1"/>
  <c r="H585" i="1" s="1"/>
  <c r="E592" i="1"/>
  <c r="D592" i="1" s="1"/>
  <c r="G594" i="1"/>
  <c r="F594" i="1" s="1"/>
  <c r="C601" i="1"/>
  <c r="B601" i="1" s="1"/>
  <c r="E603" i="1"/>
  <c r="D603" i="1" s="1"/>
  <c r="G626" i="1"/>
  <c r="F626" i="1" s="1"/>
  <c r="G634" i="1"/>
  <c r="F634" i="1" s="1"/>
  <c r="I455" i="1"/>
  <c r="H455" i="1" s="1"/>
  <c r="I463" i="1"/>
  <c r="H463" i="1" s="1"/>
  <c r="I471" i="1"/>
  <c r="H471" i="1" s="1"/>
  <c r="I479" i="1"/>
  <c r="H479" i="1" s="1"/>
  <c r="I487" i="1"/>
  <c r="H487" i="1" s="1"/>
  <c r="E491" i="1"/>
  <c r="D491" i="1" s="1"/>
  <c r="E499" i="1"/>
  <c r="D499" i="1" s="1"/>
  <c r="E507" i="1"/>
  <c r="D507" i="1" s="1"/>
  <c r="E515" i="1"/>
  <c r="D515" i="1" s="1"/>
  <c r="E523" i="1"/>
  <c r="D523" i="1" s="1"/>
  <c r="E531" i="1"/>
  <c r="D531" i="1" s="1"/>
  <c r="I536" i="1"/>
  <c r="H536" i="1" s="1"/>
  <c r="C539" i="1"/>
  <c r="B539" i="1" s="1"/>
  <c r="I544" i="1"/>
  <c r="H544" i="1" s="1"/>
  <c r="C547" i="1"/>
  <c r="B547" i="1" s="1"/>
  <c r="I556" i="1"/>
  <c r="H556" i="1" s="1"/>
  <c r="G557" i="1"/>
  <c r="F557" i="1" s="1"/>
  <c r="I562" i="1"/>
  <c r="H562" i="1" s="1"/>
  <c r="C568" i="1"/>
  <c r="B568" i="1" s="1"/>
  <c r="G571" i="1"/>
  <c r="F571" i="1" s="1"/>
  <c r="C579" i="1"/>
  <c r="B579" i="1" s="1"/>
  <c r="C580" i="1"/>
  <c r="B580" i="1" s="1"/>
  <c r="I594" i="1"/>
  <c r="H594" i="1" s="1"/>
  <c r="C613" i="1"/>
  <c r="B613" i="1" s="1"/>
  <c r="C389" i="1"/>
  <c r="B389" i="1" s="1"/>
  <c r="C397" i="1"/>
  <c r="B397" i="1" s="1"/>
  <c r="C405" i="1"/>
  <c r="B405" i="1" s="1"/>
  <c r="C413" i="1"/>
  <c r="B413" i="1" s="1"/>
  <c r="C421" i="1"/>
  <c r="B421" i="1" s="1"/>
  <c r="C429" i="1"/>
  <c r="B429" i="1" s="1"/>
  <c r="C437" i="1"/>
  <c r="B437" i="1" s="1"/>
  <c r="C445" i="1"/>
  <c r="B445" i="1" s="1"/>
  <c r="G453" i="1"/>
  <c r="F453" i="1" s="1"/>
  <c r="G461" i="1"/>
  <c r="F461" i="1" s="1"/>
  <c r="G469" i="1"/>
  <c r="F469" i="1" s="1"/>
  <c r="G477" i="1"/>
  <c r="F477" i="1" s="1"/>
  <c r="G485" i="1"/>
  <c r="F485" i="1" s="1"/>
  <c r="G491" i="1"/>
  <c r="F491" i="1" s="1"/>
  <c r="G499" i="1"/>
  <c r="F499" i="1" s="1"/>
  <c r="G507" i="1"/>
  <c r="F507" i="1" s="1"/>
  <c r="G515" i="1"/>
  <c r="F515" i="1" s="1"/>
  <c r="G523" i="1"/>
  <c r="F523" i="1" s="1"/>
  <c r="G531" i="1"/>
  <c r="F531" i="1" s="1"/>
  <c r="E539" i="1"/>
  <c r="D539" i="1" s="1"/>
  <c r="E547" i="1"/>
  <c r="D547" i="1" s="1"/>
  <c r="I558" i="1"/>
  <c r="H558" i="1" s="1"/>
  <c r="I560" i="1"/>
  <c r="H560" i="1" s="1"/>
  <c r="E568" i="1"/>
  <c r="D568" i="1" s="1"/>
  <c r="G570" i="1"/>
  <c r="F570" i="1" s="1"/>
  <c r="G581" i="1"/>
  <c r="F581" i="1" s="1"/>
  <c r="G582" i="1"/>
  <c r="F582" i="1" s="1"/>
  <c r="I583" i="1"/>
  <c r="H583" i="1" s="1"/>
  <c r="E591" i="1"/>
  <c r="D591" i="1" s="1"/>
  <c r="I592" i="1"/>
  <c r="H592" i="1" s="1"/>
  <c r="I593" i="1"/>
  <c r="H593" i="1" s="1"/>
  <c r="E600" i="1"/>
  <c r="D600" i="1" s="1"/>
  <c r="C605" i="1"/>
  <c r="B605" i="1" s="1"/>
  <c r="E459" i="1"/>
  <c r="D459" i="1" s="1"/>
  <c r="E467" i="1"/>
  <c r="D467" i="1" s="1"/>
  <c r="E475" i="1"/>
  <c r="D475" i="1" s="1"/>
  <c r="E483" i="1"/>
  <c r="D483" i="1" s="1"/>
  <c r="I495" i="1"/>
  <c r="H495" i="1" s="1"/>
  <c r="I503" i="1"/>
  <c r="H503" i="1" s="1"/>
  <c r="I511" i="1"/>
  <c r="H511" i="1" s="1"/>
  <c r="I519" i="1"/>
  <c r="H519" i="1" s="1"/>
  <c r="I527" i="1"/>
  <c r="H527" i="1" s="1"/>
  <c r="C533" i="1"/>
  <c r="B533" i="1" s="1"/>
  <c r="I538" i="1"/>
  <c r="H538" i="1" s="1"/>
  <c r="G539" i="1"/>
  <c r="F539" i="1" s="1"/>
  <c r="C541" i="1"/>
  <c r="B541" i="1" s="1"/>
  <c r="I546" i="1"/>
  <c r="H546" i="1" s="1"/>
  <c r="G547" i="1"/>
  <c r="F547" i="1" s="1"/>
  <c r="I570" i="1"/>
  <c r="H570" i="1" s="1"/>
  <c r="C576" i="1"/>
  <c r="B576" i="1" s="1"/>
  <c r="G579" i="1"/>
  <c r="F579" i="1" s="1"/>
  <c r="C587" i="1"/>
  <c r="B587" i="1" s="1"/>
  <c r="C588" i="1"/>
  <c r="B588" i="1" s="1"/>
  <c r="I607" i="1"/>
  <c r="H607" i="1" s="1"/>
  <c r="C609" i="1"/>
  <c r="B609" i="1" s="1"/>
  <c r="E616" i="1"/>
  <c r="D616" i="1" s="1"/>
  <c r="G441" i="1"/>
  <c r="F441" i="1" s="1"/>
  <c r="G449" i="1"/>
  <c r="F449" i="1" s="1"/>
  <c r="G459" i="1"/>
  <c r="F459" i="1" s="1"/>
  <c r="G467" i="1"/>
  <c r="F467" i="1" s="1"/>
  <c r="G475" i="1"/>
  <c r="F475" i="1" s="1"/>
  <c r="G483" i="1"/>
  <c r="F483" i="1" s="1"/>
  <c r="G492" i="1"/>
  <c r="F492" i="1" s="1"/>
  <c r="C493" i="1"/>
  <c r="B493" i="1" s="1"/>
  <c r="C497" i="1"/>
  <c r="B497" i="1" s="1"/>
  <c r="G500" i="1"/>
  <c r="F500" i="1" s="1"/>
  <c r="C501" i="1"/>
  <c r="B501" i="1" s="1"/>
  <c r="C505" i="1"/>
  <c r="B505" i="1" s="1"/>
  <c r="G508" i="1"/>
  <c r="F508" i="1" s="1"/>
  <c r="C509" i="1"/>
  <c r="B509" i="1" s="1"/>
  <c r="C513" i="1"/>
  <c r="B513" i="1" s="1"/>
  <c r="G516" i="1"/>
  <c r="F516" i="1" s="1"/>
  <c r="C517" i="1"/>
  <c r="B517" i="1" s="1"/>
  <c r="C521" i="1"/>
  <c r="B521" i="1" s="1"/>
  <c r="G524" i="1"/>
  <c r="F524" i="1" s="1"/>
  <c r="C525" i="1"/>
  <c r="B525" i="1" s="1"/>
  <c r="C529" i="1"/>
  <c r="B529" i="1" s="1"/>
  <c r="G532" i="1"/>
  <c r="F532" i="1" s="1"/>
  <c r="G540" i="1"/>
  <c r="F540" i="1" s="1"/>
  <c r="G548" i="1"/>
  <c r="F548" i="1" s="1"/>
  <c r="C551" i="1"/>
  <c r="B551" i="1" s="1"/>
  <c r="E567" i="1"/>
  <c r="D567" i="1" s="1"/>
  <c r="I568" i="1"/>
  <c r="H568" i="1" s="1"/>
  <c r="I569" i="1"/>
  <c r="H569" i="1" s="1"/>
  <c r="E576" i="1"/>
  <c r="D576" i="1" s="1"/>
  <c r="G578" i="1"/>
  <c r="F578" i="1" s="1"/>
  <c r="G589" i="1"/>
  <c r="F589" i="1" s="1"/>
  <c r="G590" i="1"/>
  <c r="F590" i="1" s="1"/>
  <c r="I591" i="1"/>
  <c r="H591" i="1" s="1"/>
  <c r="E599" i="1"/>
  <c r="D599" i="1" s="1"/>
  <c r="G622" i="1"/>
  <c r="F622" i="1" s="1"/>
  <c r="G630" i="1"/>
  <c r="F630" i="1" s="1"/>
  <c r="G638" i="1"/>
  <c r="F638" i="1" s="1"/>
  <c r="I615" i="1"/>
  <c r="H615" i="1" s="1"/>
  <c r="I619" i="1"/>
  <c r="H619" i="1" s="1"/>
  <c r="E621" i="1"/>
  <c r="D621" i="1" s="1"/>
  <c r="E622" i="1"/>
  <c r="D622" i="1" s="1"/>
  <c r="E624" i="1"/>
  <c r="D624" i="1" s="1"/>
  <c r="E626" i="1"/>
  <c r="D626" i="1" s="1"/>
  <c r="E627" i="1"/>
  <c r="D627" i="1" s="1"/>
  <c r="E628" i="1"/>
  <c r="D628" i="1" s="1"/>
  <c r="E629" i="1"/>
  <c r="D629" i="1" s="1"/>
  <c r="E630" i="1"/>
  <c r="D630" i="1" s="1"/>
  <c r="E632" i="1"/>
  <c r="D632" i="1" s="1"/>
  <c r="E634" i="1"/>
  <c r="D634" i="1" s="1"/>
  <c r="E635" i="1"/>
  <c r="D635" i="1" s="1"/>
  <c r="E636" i="1"/>
  <c r="D636" i="1" s="1"/>
  <c r="E637" i="1"/>
  <c r="D637" i="1" s="1"/>
  <c r="E638" i="1"/>
  <c r="D638" i="1" s="1"/>
  <c r="E640" i="1"/>
  <c r="D640" i="1" s="1"/>
  <c r="E642" i="1"/>
  <c r="D642" i="1" s="1"/>
  <c r="E643" i="1"/>
  <c r="D643" i="1" s="1"/>
  <c r="E644" i="1"/>
  <c r="D644" i="1" s="1"/>
  <c r="E645" i="1"/>
  <c r="D645" i="1" s="1"/>
  <c r="G646" i="1"/>
  <c r="F646" i="1" s="1"/>
  <c r="E652" i="1"/>
  <c r="D652" i="1" s="1"/>
  <c r="I653" i="1"/>
  <c r="H653" i="1" s="1"/>
  <c r="E656" i="1"/>
  <c r="D656" i="1" s="1"/>
  <c r="I657" i="1"/>
  <c r="H657" i="1" s="1"/>
  <c r="E660" i="1"/>
  <c r="D660" i="1" s="1"/>
  <c r="I661" i="1"/>
  <c r="H661" i="1" s="1"/>
  <c r="E664" i="1"/>
  <c r="D664" i="1" s="1"/>
  <c r="I665" i="1"/>
  <c r="H665" i="1" s="1"/>
  <c r="E668" i="1"/>
  <c r="D668" i="1" s="1"/>
  <c r="I669" i="1"/>
  <c r="H669" i="1" s="1"/>
  <c r="E672" i="1"/>
  <c r="D672" i="1" s="1"/>
  <c r="C677" i="1"/>
  <c r="B677" i="1" s="1"/>
  <c r="E680" i="1"/>
  <c r="D680" i="1" s="1"/>
  <c r="C685" i="1"/>
  <c r="B685" i="1" s="1"/>
  <c r="E688" i="1"/>
  <c r="D688" i="1" s="1"/>
  <c r="C693" i="1"/>
  <c r="B693" i="1" s="1"/>
  <c r="I694" i="1"/>
  <c r="H694" i="1" s="1"/>
  <c r="I710" i="1"/>
  <c r="H710" i="1" s="1"/>
  <c r="E712" i="1"/>
  <c r="D712" i="1" s="1"/>
  <c r="E720" i="1"/>
  <c r="D720" i="1" s="1"/>
  <c r="E728" i="1"/>
  <c r="D728" i="1" s="1"/>
  <c r="G640" i="1"/>
  <c r="F640" i="1" s="1"/>
  <c r="G642" i="1"/>
  <c r="F642" i="1" s="1"/>
  <c r="C655" i="1"/>
  <c r="B655" i="1" s="1"/>
  <c r="G656" i="1"/>
  <c r="F656" i="1" s="1"/>
  <c r="C663" i="1"/>
  <c r="B663" i="1" s="1"/>
  <c r="G664" i="1"/>
  <c r="F664" i="1" s="1"/>
  <c r="C667" i="1"/>
  <c r="B667" i="1" s="1"/>
  <c r="C671" i="1"/>
  <c r="B671" i="1" s="1"/>
  <c r="G672" i="1"/>
  <c r="F672" i="1" s="1"/>
  <c r="E677" i="1"/>
  <c r="D677" i="1" s="1"/>
  <c r="G680" i="1"/>
  <c r="F680" i="1" s="1"/>
  <c r="E685" i="1"/>
  <c r="D685" i="1" s="1"/>
  <c r="G688" i="1"/>
  <c r="F688" i="1" s="1"/>
  <c r="E693" i="1"/>
  <c r="D693" i="1" s="1"/>
  <c r="G696" i="1"/>
  <c r="F696" i="1" s="1"/>
  <c r="C698" i="1"/>
  <c r="B698" i="1" s="1"/>
  <c r="I699" i="1"/>
  <c r="H699" i="1" s="1"/>
  <c r="I715" i="1"/>
  <c r="H715" i="1" s="1"/>
  <c r="I731" i="1"/>
  <c r="H731" i="1" s="1"/>
  <c r="C549" i="1"/>
  <c r="B549" i="1" s="1"/>
  <c r="C557" i="1"/>
  <c r="B557" i="1" s="1"/>
  <c r="E563" i="1"/>
  <c r="D563" i="1" s="1"/>
  <c r="E571" i="1"/>
  <c r="D571" i="1" s="1"/>
  <c r="E579" i="1"/>
  <c r="D579" i="1" s="1"/>
  <c r="E587" i="1"/>
  <c r="D587" i="1" s="1"/>
  <c r="E595" i="1"/>
  <c r="D595" i="1" s="1"/>
  <c r="I621" i="1"/>
  <c r="H621" i="1" s="1"/>
  <c r="I625" i="1"/>
  <c r="H625" i="1" s="1"/>
  <c r="I627" i="1"/>
  <c r="H627" i="1" s="1"/>
  <c r="I629" i="1"/>
  <c r="H629" i="1" s="1"/>
  <c r="I633" i="1"/>
  <c r="H633" i="1" s="1"/>
  <c r="I635" i="1"/>
  <c r="H635" i="1" s="1"/>
  <c r="I637" i="1"/>
  <c r="H637" i="1" s="1"/>
  <c r="I641" i="1"/>
  <c r="H641" i="1" s="1"/>
  <c r="I643" i="1"/>
  <c r="H643" i="1" s="1"/>
  <c r="I645" i="1"/>
  <c r="H645" i="1" s="1"/>
  <c r="E651" i="1"/>
  <c r="D651" i="1" s="1"/>
  <c r="E659" i="1"/>
  <c r="D659" i="1" s="1"/>
  <c r="E667" i="1"/>
  <c r="D667" i="1" s="1"/>
  <c r="E674" i="1"/>
  <c r="D674" i="1" s="1"/>
  <c r="C679" i="1"/>
  <c r="B679" i="1" s="1"/>
  <c r="E682" i="1"/>
  <c r="D682" i="1" s="1"/>
  <c r="C687" i="1"/>
  <c r="B687" i="1" s="1"/>
  <c r="E690" i="1"/>
  <c r="D690" i="1" s="1"/>
  <c r="C695" i="1"/>
  <c r="B695" i="1" s="1"/>
  <c r="E698" i="1"/>
  <c r="D698" i="1" s="1"/>
  <c r="G725" i="1"/>
  <c r="F725" i="1" s="1"/>
  <c r="C569" i="1"/>
  <c r="B569" i="1" s="1"/>
  <c r="C577" i="1"/>
  <c r="B577" i="1" s="1"/>
  <c r="C585" i="1"/>
  <c r="B585" i="1" s="1"/>
  <c r="C593" i="1"/>
  <c r="B593" i="1" s="1"/>
  <c r="G601" i="1"/>
  <c r="F601" i="1" s="1"/>
  <c r="G605" i="1"/>
  <c r="F605" i="1" s="1"/>
  <c r="G609" i="1"/>
  <c r="F609" i="1" s="1"/>
  <c r="G613" i="1"/>
  <c r="F613" i="1" s="1"/>
  <c r="G617" i="1"/>
  <c r="F617" i="1" s="1"/>
  <c r="E650" i="1"/>
  <c r="D650" i="1" s="1"/>
  <c r="G674" i="1"/>
  <c r="F674" i="1" s="1"/>
  <c r="I677" i="1"/>
  <c r="H677" i="1" s="1"/>
  <c r="G682" i="1"/>
  <c r="F682" i="1" s="1"/>
  <c r="I685" i="1"/>
  <c r="H685" i="1" s="1"/>
  <c r="G690" i="1"/>
  <c r="F690" i="1" s="1"/>
  <c r="I693" i="1"/>
  <c r="H693" i="1" s="1"/>
  <c r="C708" i="1"/>
  <c r="B708" i="1" s="1"/>
  <c r="I709" i="1"/>
  <c r="H709" i="1" s="1"/>
  <c r="G714" i="1"/>
  <c r="F714" i="1" s="1"/>
  <c r="G722" i="1"/>
  <c r="F722" i="1" s="1"/>
  <c r="G730" i="1"/>
  <c r="F730" i="1" s="1"/>
  <c r="G738" i="1"/>
  <c r="F738" i="1" s="1"/>
  <c r="G489" i="1"/>
  <c r="F489" i="1" s="1"/>
  <c r="G497" i="1"/>
  <c r="F497" i="1" s="1"/>
  <c r="G505" i="1"/>
  <c r="F505" i="1" s="1"/>
  <c r="G513" i="1"/>
  <c r="F513" i="1" s="1"/>
  <c r="G521" i="1"/>
  <c r="F521" i="1" s="1"/>
  <c r="G529" i="1"/>
  <c r="F529" i="1" s="1"/>
  <c r="G537" i="1"/>
  <c r="F537" i="1" s="1"/>
  <c r="G545" i="1"/>
  <c r="F545" i="1" s="1"/>
  <c r="G553" i="1"/>
  <c r="F553" i="1" s="1"/>
  <c r="G561" i="1"/>
  <c r="F561" i="1" s="1"/>
  <c r="E602" i="1"/>
  <c r="D602" i="1" s="1"/>
  <c r="E610" i="1"/>
  <c r="D610" i="1" s="1"/>
  <c r="E618" i="1"/>
  <c r="D618" i="1" s="1"/>
  <c r="G650" i="1"/>
  <c r="F650" i="1" s="1"/>
  <c r="I651" i="1"/>
  <c r="H651" i="1" s="1"/>
  <c r="E654" i="1"/>
  <c r="D654" i="1" s="1"/>
  <c r="E658" i="1"/>
  <c r="D658" i="1" s="1"/>
  <c r="I659" i="1"/>
  <c r="H659" i="1" s="1"/>
  <c r="E662" i="1"/>
  <c r="D662" i="1" s="1"/>
  <c r="E666" i="1"/>
  <c r="D666" i="1" s="1"/>
  <c r="I667" i="1"/>
  <c r="H667" i="1" s="1"/>
  <c r="E670" i="1"/>
  <c r="D670" i="1" s="1"/>
  <c r="E676" i="1"/>
  <c r="D676" i="1" s="1"/>
  <c r="E684" i="1"/>
  <c r="D684" i="1" s="1"/>
  <c r="E692" i="1"/>
  <c r="D692" i="1" s="1"/>
  <c r="G703" i="1"/>
  <c r="F703" i="1" s="1"/>
  <c r="I706" i="1"/>
  <c r="H706" i="1" s="1"/>
  <c r="I722" i="1"/>
  <c r="H722" i="1" s="1"/>
  <c r="C729" i="1"/>
  <c r="B729" i="1" s="1"/>
  <c r="I535" i="1"/>
  <c r="H535" i="1" s="1"/>
  <c r="I543" i="1"/>
  <c r="H543" i="1" s="1"/>
  <c r="I551" i="1"/>
  <c r="H551" i="1" s="1"/>
  <c r="I559" i="1"/>
  <c r="H559" i="1" s="1"/>
  <c r="G569" i="1"/>
  <c r="F569" i="1" s="1"/>
  <c r="G577" i="1"/>
  <c r="F577" i="1" s="1"/>
  <c r="G585" i="1"/>
  <c r="F585" i="1" s="1"/>
  <c r="G593" i="1"/>
  <c r="F593" i="1" s="1"/>
  <c r="E648" i="1"/>
  <c r="D648" i="1" s="1"/>
  <c r="G654" i="1"/>
  <c r="F654" i="1" s="1"/>
  <c r="G658" i="1"/>
  <c r="F658" i="1" s="1"/>
  <c r="C661" i="1"/>
  <c r="B661" i="1" s="1"/>
  <c r="G662" i="1"/>
  <c r="F662" i="1" s="1"/>
  <c r="G666" i="1"/>
  <c r="F666" i="1" s="1"/>
  <c r="C669" i="1"/>
  <c r="B669" i="1" s="1"/>
  <c r="G670" i="1"/>
  <c r="F670" i="1" s="1"/>
  <c r="G700" i="1"/>
  <c r="F700" i="1" s="1"/>
  <c r="C710" i="1"/>
  <c r="B710" i="1" s="1"/>
  <c r="C718" i="1"/>
  <c r="B718" i="1" s="1"/>
  <c r="I719" i="1"/>
  <c r="H719" i="1" s="1"/>
  <c r="I735" i="1"/>
  <c r="H735" i="1" s="1"/>
  <c r="I606" i="1"/>
  <c r="H606" i="1" s="1"/>
  <c r="E607" i="1"/>
  <c r="D607" i="1" s="1"/>
  <c r="E611" i="1"/>
  <c r="D611" i="1" s="1"/>
  <c r="I614" i="1"/>
  <c r="H614" i="1" s="1"/>
  <c r="E615" i="1"/>
  <c r="D615" i="1" s="1"/>
  <c r="E619" i="1"/>
  <c r="D619" i="1" s="1"/>
  <c r="G648" i="1"/>
  <c r="F648" i="1" s="1"/>
  <c r="I649" i="1"/>
  <c r="H649" i="1" s="1"/>
  <c r="E653" i="1"/>
  <c r="D653" i="1" s="1"/>
  <c r="E661" i="1"/>
  <c r="D661" i="1" s="1"/>
  <c r="E669" i="1"/>
  <c r="D669" i="1" s="1"/>
  <c r="C675" i="1"/>
  <c r="B675" i="1" s="1"/>
  <c r="E678" i="1"/>
  <c r="D678" i="1" s="1"/>
  <c r="C683" i="1"/>
  <c r="B683" i="1" s="1"/>
  <c r="E686" i="1"/>
  <c r="D686" i="1" s="1"/>
  <c r="C691" i="1"/>
  <c r="B691" i="1" s="1"/>
  <c r="G705" i="1"/>
  <c r="F705" i="1" s="1"/>
  <c r="G713" i="1"/>
  <c r="F713" i="1" s="1"/>
  <c r="G721" i="1"/>
  <c r="F721" i="1" s="1"/>
  <c r="G737" i="1"/>
  <c r="F737" i="1" s="1"/>
  <c r="C565" i="1"/>
  <c r="B565" i="1" s="1"/>
  <c r="C573" i="1"/>
  <c r="B573" i="1" s="1"/>
  <c r="C581" i="1"/>
  <c r="B581" i="1" s="1"/>
  <c r="C589" i="1"/>
  <c r="B589" i="1" s="1"/>
  <c r="C597" i="1"/>
  <c r="B597" i="1" s="1"/>
  <c r="C604" i="1"/>
  <c r="B604" i="1" s="1"/>
  <c r="C612" i="1"/>
  <c r="B612" i="1" s="1"/>
  <c r="E620" i="1"/>
  <c r="D620" i="1" s="1"/>
  <c r="E646" i="1"/>
  <c r="D646" i="1" s="1"/>
  <c r="I673" i="1"/>
  <c r="H673" i="1" s="1"/>
  <c r="E675" i="1"/>
  <c r="D675" i="1" s="1"/>
  <c r="G678" i="1"/>
  <c r="F678" i="1" s="1"/>
  <c r="I681" i="1"/>
  <c r="H681" i="1" s="1"/>
  <c r="E683" i="1"/>
  <c r="D683" i="1" s="1"/>
  <c r="G686" i="1"/>
  <c r="F686" i="1" s="1"/>
  <c r="I689" i="1"/>
  <c r="H689" i="1" s="1"/>
  <c r="E691" i="1"/>
  <c r="D691" i="1" s="1"/>
  <c r="G694" i="1"/>
  <c r="F694" i="1" s="1"/>
  <c r="C696" i="1"/>
  <c r="B696" i="1" s="1"/>
  <c r="C704" i="1"/>
  <c r="B704" i="1" s="1"/>
  <c r="C625" i="1"/>
  <c r="B625" i="1" s="1"/>
  <c r="C633" i="1"/>
  <c r="B633" i="1" s="1"/>
  <c r="C641" i="1"/>
  <c r="B641" i="1" s="1"/>
  <c r="C649" i="1"/>
  <c r="B649" i="1" s="1"/>
  <c r="C657" i="1"/>
  <c r="B657" i="1" s="1"/>
  <c r="C665" i="1"/>
  <c r="B665" i="1" s="1"/>
  <c r="C673" i="1"/>
  <c r="B673" i="1" s="1"/>
  <c r="C681" i="1"/>
  <c r="B681" i="1" s="1"/>
  <c r="C689" i="1"/>
  <c r="B689" i="1" s="1"/>
  <c r="G704" i="1"/>
  <c r="F704" i="1" s="1"/>
  <c r="E734" i="1"/>
  <c r="D734" i="1" s="1"/>
  <c r="C735" i="1"/>
  <c r="B735" i="1" s="1"/>
  <c r="E623" i="1"/>
  <c r="D623" i="1" s="1"/>
  <c r="E631" i="1"/>
  <c r="D631" i="1" s="1"/>
  <c r="E639" i="1"/>
  <c r="D639" i="1" s="1"/>
  <c r="E647" i="1"/>
  <c r="D647" i="1" s="1"/>
  <c r="E655" i="1"/>
  <c r="D655" i="1" s="1"/>
  <c r="E663" i="1"/>
  <c r="D663" i="1" s="1"/>
  <c r="E671" i="1"/>
  <c r="D671" i="1" s="1"/>
  <c r="E679" i="1"/>
  <c r="D679" i="1" s="1"/>
  <c r="E687" i="1"/>
  <c r="D687" i="1" s="1"/>
  <c r="G698" i="1"/>
  <c r="F698" i="1" s="1"/>
  <c r="E708" i="1"/>
  <c r="D708" i="1" s="1"/>
  <c r="G723" i="1"/>
  <c r="F723" i="1" s="1"/>
  <c r="G739" i="1"/>
  <c r="F739" i="1" s="1"/>
  <c r="C743" i="1"/>
  <c r="B743" i="1" s="1"/>
  <c r="I744" i="1"/>
  <c r="H744" i="1" s="1"/>
  <c r="E754" i="1"/>
  <c r="D754" i="1" s="1"/>
  <c r="G767" i="1"/>
  <c r="F767" i="1" s="1"/>
  <c r="E773" i="1"/>
  <c r="D773" i="1" s="1"/>
  <c r="I779" i="1"/>
  <c r="H779" i="1" s="1"/>
  <c r="C786" i="1"/>
  <c r="B786" i="1" s="1"/>
  <c r="C794" i="1"/>
  <c r="B794" i="1" s="1"/>
  <c r="G621" i="1"/>
  <c r="F621" i="1" s="1"/>
  <c r="G629" i="1"/>
  <c r="F629" i="1" s="1"/>
  <c r="G637" i="1"/>
  <c r="F637" i="1" s="1"/>
  <c r="G645" i="1"/>
  <c r="F645" i="1" s="1"/>
  <c r="G653" i="1"/>
  <c r="F653" i="1" s="1"/>
  <c r="G661" i="1"/>
  <c r="F661" i="1" s="1"/>
  <c r="G669" i="1"/>
  <c r="F669" i="1" s="1"/>
  <c r="G677" i="1"/>
  <c r="F677" i="1" s="1"/>
  <c r="G685" i="1"/>
  <c r="F685" i="1" s="1"/>
  <c r="G693" i="1"/>
  <c r="F693" i="1" s="1"/>
  <c r="E702" i="1"/>
  <c r="D702" i="1" s="1"/>
  <c r="G712" i="1"/>
  <c r="F712" i="1" s="1"/>
  <c r="E718" i="1"/>
  <c r="D718" i="1" s="1"/>
  <c r="E726" i="1"/>
  <c r="D726" i="1" s="1"/>
  <c r="C727" i="1"/>
  <c r="B727" i="1" s="1"/>
  <c r="G747" i="1"/>
  <c r="F747" i="1" s="1"/>
  <c r="E750" i="1"/>
  <c r="D750" i="1" s="1"/>
  <c r="I751" i="1"/>
  <c r="H751" i="1" s="1"/>
  <c r="C756" i="1"/>
  <c r="B756" i="1" s="1"/>
  <c r="G757" i="1"/>
  <c r="F757" i="1" s="1"/>
  <c r="I675" i="1"/>
  <c r="H675" i="1" s="1"/>
  <c r="I683" i="1"/>
  <c r="H683" i="1" s="1"/>
  <c r="I691" i="1"/>
  <c r="H691" i="1" s="1"/>
  <c r="G702" i="1"/>
  <c r="F702" i="1" s="1"/>
  <c r="C706" i="1"/>
  <c r="B706" i="1" s="1"/>
  <c r="I708" i="1"/>
  <c r="H708" i="1" s="1"/>
  <c r="I712" i="1"/>
  <c r="H712" i="1" s="1"/>
  <c r="I717" i="1"/>
  <c r="H717" i="1" s="1"/>
  <c r="C719" i="1"/>
  <c r="B719" i="1" s="1"/>
  <c r="I736" i="1"/>
  <c r="H736" i="1" s="1"/>
  <c r="G763" i="1"/>
  <c r="F763" i="1" s="1"/>
  <c r="C772" i="1"/>
  <c r="B772" i="1" s="1"/>
  <c r="E775" i="1"/>
  <c r="D775" i="1" s="1"/>
  <c r="E783" i="1"/>
  <c r="D783" i="1" s="1"/>
  <c r="C788" i="1"/>
  <c r="B788" i="1" s="1"/>
  <c r="E791" i="1"/>
  <c r="D791" i="1" s="1"/>
  <c r="C796" i="1"/>
  <c r="B796" i="1" s="1"/>
  <c r="C804" i="1"/>
  <c r="B804" i="1" s="1"/>
  <c r="I696" i="1"/>
  <c r="H696" i="1" s="1"/>
  <c r="C697" i="1"/>
  <c r="B697" i="1" s="1"/>
  <c r="E742" i="1"/>
  <c r="D742" i="1" s="1"/>
  <c r="I743" i="1"/>
  <c r="H743" i="1" s="1"/>
  <c r="G746" i="1"/>
  <c r="F746" i="1" s="1"/>
  <c r="I750" i="1"/>
  <c r="H750" i="1" s="1"/>
  <c r="E700" i="1"/>
  <c r="D700" i="1" s="1"/>
  <c r="G706" i="1"/>
  <c r="F706" i="1" s="1"/>
  <c r="C715" i="1"/>
  <c r="B715" i="1" s="1"/>
  <c r="I728" i="1"/>
  <c r="H728" i="1" s="1"/>
  <c r="C731" i="1"/>
  <c r="B731" i="1" s="1"/>
  <c r="C732" i="1"/>
  <c r="B732" i="1" s="1"/>
  <c r="C740" i="1"/>
  <c r="B740" i="1" s="1"/>
  <c r="G759" i="1"/>
  <c r="F759" i="1" s="1"/>
  <c r="E762" i="1"/>
  <c r="D762" i="1" s="1"/>
  <c r="G772" i="1"/>
  <c r="F772" i="1" s="1"/>
  <c r="I775" i="1"/>
  <c r="H775" i="1" s="1"/>
  <c r="E710" i="1"/>
  <c r="D710" i="1" s="1"/>
  <c r="C716" i="1"/>
  <c r="B716" i="1" s="1"/>
  <c r="G720" i="1"/>
  <c r="F720" i="1" s="1"/>
  <c r="E740" i="1"/>
  <c r="D740" i="1" s="1"/>
  <c r="I742" i="1"/>
  <c r="H742" i="1" s="1"/>
  <c r="C748" i="1"/>
  <c r="B748" i="1" s="1"/>
  <c r="G762" i="1"/>
  <c r="F762" i="1" s="1"/>
  <c r="C764" i="1"/>
  <c r="B764" i="1" s="1"/>
  <c r="G765" i="1"/>
  <c r="F765" i="1" s="1"/>
  <c r="E695" i="1"/>
  <c r="D695" i="1" s="1"/>
  <c r="I700" i="1"/>
  <c r="H700" i="1" s="1"/>
  <c r="E704" i="1"/>
  <c r="D704" i="1" s="1"/>
  <c r="G710" i="1"/>
  <c r="F710" i="1" s="1"/>
  <c r="C711" i="1"/>
  <c r="B711" i="1" s="1"/>
  <c r="G715" i="1"/>
  <c r="F715" i="1" s="1"/>
  <c r="I720" i="1"/>
  <c r="H720" i="1" s="1"/>
  <c r="C723" i="1"/>
  <c r="B723" i="1" s="1"/>
  <c r="C724" i="1"/>
  <c r="B724" i="1" s="1"/>
  <c r="G731" i="1"/>
  <c r="F731" i="1" s="1"/>
  <c r="E748" i="1"/>
  <c r="D748" i="1" s="1"/>
  <c r="C751" i="1"/>
  <c r="B751" i="1" s="1"/>
  <c r="I752" i="1"/>
  <c r="H752" i="1" s="1"/>
  <c r="G755" i="1"/>
  <c r="F755" i="1" s="1"/>
  <c r="E769" i="1"/>
  <c r="D769" i="1" s="1"/>
  <c r="E785" i="1"/>
  <c r="D785" i="1" s="1"/>
  <c r="I813" i="1"/>
  <c r="H813" i="1" s="1"/>
  <c r="C823" i="1"/>
  <c r="B823" i="1" s="1"/>
  <c r="I824" i="1"/>
  <c r="H824" i="1" s="1"/>
  <c r="C839" i="1"/>
  <c r="B839" i="1" s="1"/>
  <c r="I840" i="1"/>
  <c r="H840" i="1" s="1"/>
  <c r="I847" i="1"/>
  <c r="H847" i="1" s="1"/>
  <c r="C859" i="1"/>
  <c r="B859" i="1" s="1"/>
  <c r="C889" i="1"/>
  <c r="B889" i="1" s="1"/>
  <c r="G963" i="1"/>
  <c r="F963" i="1" s="1"/>
  <c r="E968" i="1"/>
  <c r="D968" i="1" s="1"/>
  <c r="G979" i="1"/>
  <c r="F979" i="1" s="1"/>
  <c r="G987" i="1"/>
  <c r="F987" i="1" s="1"/>
  <c r="G995" i="1"/>
  <c r="F995" i="1" s="1"/>
  <c r="E770" i="1"/>
  <c r="D770" i="1" s="1"/>
  <c r="C771" i="1"/>
  <c r="B771" i="1" s="1"/>
  <c r="G780" i="1"/>
  <c r="F780" i="1" s="1"/>
  <c r="E781" i="1"/>
  <c r="D781" i="1" s="1"/>
  <c r="E786" i="1"/>
  <c r="D786" i="1" s="1"/>
  <c r="C787" i="1"/>
  <c r="B787" i="1" s="1"/>
  <c r="G791" i="1"/>
  <c r="F791" i="1" s="1"/>
  <c r="C795" i="1"/>
  <c r="B795" i="1" s="1"/>
  <c r="I812" i="1"/>
  <c r="H812" i="1" s="1"/>
  <c r="C832" i="1"/>
  <c r="B832" i="1" s="1"/>
  <c r="I856" i="1"/>
  <c r="H856" i="1" s="1"/>
  <c r="I863" i="1"/>
  <c r="H863" i="1" s="1"/>
  <c r="E875" i="1"/>
  <c r="D875" i="1" s="1"/>
  <c r="C913" i="1"/>
  <c r="B913" i="1" s="1"/>
  <c r="I757" i="1"/>
  <c r="H757" i="1" s="1"/>
  <c r="E758" i="1"/>
  <c r="D758" i="1" s="1"/>
  <c r="I765" i="1"/>
  <c r="H765" i="1" s="1"/>
  <c r="E766" i="1"/>
  <c r="D766" i="1" s="1"/>
  <c r="G770" i="1"/>
  <c r="F770" i="1" s="1"/>
  <c r="G775" i="1"/>
  <c r="F775" i="1" s="1"/>
  <c r="I780" i="1"/>
  <c r="H780" i="1" s="1"/>
  <c r="G781" i="1"/>
  <c r="F781" i="1" s="1"/>
  <c r="C782" i="1"/>
  <c r="B782" i="1" s="1"/>
  <c r="G786" i="1"/>
  <c r="F786" i="1" s="1"/>
  <c r="G792" i="1"/>
  <c r="F792" i="1" s="1"/>
  <c r="E793" i="1"/>
  <c r="D793" i="1" s="1"/>
  <c r="E794" i="1"/>
  <c r="D794" i="1" s="1"/>
  <c r="C798" i="1"/>
  <c r="B798" i="1" s="1"/>
  <c r="C803" i="1"/>
  <c r="B803" i="1" s="1"/>
  <c r="C806" i="1"/>
  <c r="B806" i="1" s="1"/>
  <c r="E809" i="1"/>
  <c r="D809" i="1" s="1"/>
  <c r="E810" i="1"/>
  <c r="D810" i="1" s="1"/>
  <c r="I811" i="1"/>
  <c r="H811" i="1" s="1"/>
  <c r="I820" i="1"/>
  <c r="H820" i="1" s="1"/>
  <c r="G823" i="1"/>
  <c r="F823" i="1" s="1"/>
  <c r="E826" i="1"/>
  <c r="D826" i="1" s="1"/>
  <c r="I836" i="1"/>
  <c r="H836" i="1" s="1"/>
  <c r="G839" i="1"/>
  <c r="F839" i="1" s="1"/>
  <c r="E845" i="1"/>
  <c r="D845" i="1" s="1"/>
  <c r="C851" i="1"/>
  <c r="B851" i="1" s="1"/>
  <c r="G716" i="1"/>
  <c r="F716" i="1" s="1"/>
  <c r="G724" i="1"/>
  <c r="F724" i="1" s="1"/>
  <c r="G732" i="1"/>
  <c r="F732" i="1" s="1"/>
  <c r="G740" i="1"/>
  <c r="F740" i="1" s="1"/>
  <c r="G748" i="1"/>
  <c r="F748" i="1" s="1"/>
  <c r="C755" i="1"/>
  <c r="B755" i="1" s="1"/>
  <c r="C763" i="1"/>
  <c r="B763" i="1" s="1"/>
  <c r="I770" i="1"/>
  <c r="H770" i="1" s="1"/>
  <c r="G776" i="1"/>
  <c r="F776" i="1" s="1"/>
  <c r="I781" i="1"/>
  <c r="H781" i="1" s="1"/>
  <c r="I786" i="1"/>
  <c r="H786" i="1" s="1"/>
  <c r="G794" i="1"/>
  <c r="F794" i="1" s="1"/>
  <c r="E797" i="1"/>
  <c r="D797" i="1" s="1"/>
  <c r="E805" i="1"/>
  <c r="D805" i="1" s="1"/>
  <c r="G810" i="1"/>
  <c r="F810" i="1" s="1"/>
  <c r="C814" i="1"/>
  <c r="B814" i="1" s="1"/>
  <c r="G816" i="1"/>
  <c r="F816" i="1" s="1"/>
  <c r="G826" i="1"/>
  <c r="F826" i="1" s="1"/>
  <c r="C828" i="1"/>
  <c r="B828" i="1" s="1"/>
  <c r="I849" i="1"/>
  <c r="H849" i="1" s="1"/>
  <c r="I852" i="1"/>
  <c r="H852" i="1" s="1"/>
  <c r="G855" i="1"/>
  <c r="F855" i="1" s="1"/>
  <c r="E861" i="1"/>
  <c r="D861" i="1" s="1"/>
  <c r="C874" i="1"/>
  <c r="B874" i="1" s="1"/>
  <c r="E910" i="1"/>
  <c r="D910" i="1" s="1"/>
  <c r="G943" i="1"/>
  <c r="F943" i="1" s="1"/>
  <c r="G711" i="1"/>
  <c r="F711" i="1" s="1"/>
  <c r="G719" i="1"/>
  <c r="F719" i="1" s="1"/>
  <c r="G727" i="1"/>
  <c r="F727" i="1" s="1"/>
  <c r="G735" i="1"/>
  <c r="F735" i="1" s="1"/>
  <c r="G743" i="1"/>
  <c r="F743" i="1" s="1"/>
  <c r="G751" i="1"/>
  <c r="F751" i="1" s="1"/>
  <c r="E777" i="1"/>
  <c r="D777" i="1" s="1"/>
  <c r="I794" i="1"/>
  <c r="H794" i="1" s="1"/>
  <c r="I795" i="1"/>
  <c r="H795" i="1" s="1"/>
  <c r="G797" i="1"/>
  <c r="F797" i="1" s="1"/>
  <c r="E801" i="1"/>
  <c r="D801" i="1" s="1"/>
  <c r="E802" i="1"/>
  <c r="D802" i="1" s="1"/>
  <c r="G805" i="1"/>
  <c r="F805" i="1" s="1"/>
  <c r="G808" i="1"/>
  <c r="F808" i="1" s="1"/>
  <c r="I810" i="1"/>
  <c r="H810" i="1" s="1"/>
  <c r="C831" i="1"/>
  <c r="B831" i="1" s="1"/>
  <c r="I832" i="1"/>
  <c r="H832" i="1" s="1"/>
  <c r="I842" i="1"/>
  <c r="H842" i="1" s="1"/>
  <c r="G877" i="1"/>
  <c r="F877" i="1" s="1"/>
  <c r="G921" i="1"/>
  <c r="F921" i="1" s="1"/>
  <c r="E778" i="1"/>
  <c r="D778" i="1" s="1"/>
  <c r="C779" i="1"/>
  <c r="B779" i="1" s="1"/>
  <c r="G788" i="1"/>
  <c r="F788" i="1" s="1"/>
  <c r="E789" i="1"/>
  <c r="D789" i="1" s="1"/>
  <c r="I796" i="1"/>
  <c r="H796" i="1" s="1"/>
  <c r="I797" i="1"/>
  <c r="H797" i="1" s="1"/>
  <c r="G799" i="1"/>
  <c r="F799" i="1" s="1"/>
  <c r="G800" i="1"/>
  <c r="F800" i="1" s="1"/>
  <c r="G802" i="1"/>
  <c r="F802" i="1" s="1"/>
  <c r="I803" i="1"/>
  <c r="H803" i="1" s="1"/>
  <c r="I804" i="1"/>
  <c r="H804" i="1" s="1"/>
  <c r="I805" i="1"/>
  <c r="H805" i="1" s="1"/>
  <c r="E818" i="1"/>
  <c r="D818" i="1" s="1"/>
  <c r="I819" i="1"/>
  <c r="H819" i="1" s="1"/>
  <c r="C840" i="1"/>
  <c r="B840" i="1" s="1"/>
  <c r="I851" i="1"/>
  <c r="H851" i="1" s="1"/>
  <c r="I858" i="1"/>
  <c r="H858" i="1" s="1"/>
  <c r="G885" i="1"/>
  <c r="F885" i="1" s="1"/>
  <c r="G907" i="1"/>
  <c r="F907" i="1" s="1"/>
  <c r="C739" i="1"/>
  <c r="B739" i="1" s="1"/>
  <c r="C747" i="1"/>
  <c r="B747" i="1" s="1"/>
  <c r="I755" i="1"/>
  <c r="H755" i="1" s="1"/>
  <c r="I759" i="1"/>
  <c r="H759" i="1" s="1"/>
  <c r="E760" i="1"/>
  <c r="D760" i="1" s="1"/>
  <c r="I763" i="1"/>
  <c r="H763" i="1" s="1"/>
  <c r="I767" i="1"/>
  <c r="H767" i="1" s="1"/>
  <c r="E768" i="1"/>
  <c r="D768" i="1" s="1"/>
  <c r="I772" i="1"/>
  <c r="H772" i="1" s="1"/>
  <c r="G773" i="1"/>
  <c r="F773" i="1" s="1"/>
  <c r="C774" i="1"/>
  <c r="B774" i="1" s="1"/>
  <c r="G778" i="1"/>
  <c r="F778" i="1" s="1"/>
  <c r="G783" i="1"/>
  <c r="F783" i="1" s="1"/>
  <c r="I788" i="1"/>
  <c r="H788" i="1" s="1"/>
  <c r="G789" i="1"/>
  <c r="F789" i="1" s="1"/>
  <c r="C790" i="1"/>
  <c r="B790" i="1" s="1"/>
  <c r="I802" i="1"/>
  <c r="H802" i="1" s="1"/>
  <c r="C812" i="1"/>
  <c r="B812" i="1" s="1"/>
  <c r="E813" i="1"/>
  <c r="D813" i="1" s="1"/>
  <c r="G818" i="1"/>
  <c r="F818" i="1" s="1"/>
  <c r="I828" i="1"/>
  <c r="H828" i="1" s="1"/>
  <c r="G831" i="1"/>
  <c r="F831" i="1" s="1"/>
  <c r="E834" i="1"/>
  <c r="D834" i="1" s="1"/>
  <c r="C873" i="1"/>
  <c r="B873" i="1" s="1"/>
  <c r="C906" i="1"/>
  <c r="B906" i="1" s="1"/>
  <c r="I725" i="1"/>
  <c r="H725" i="1" s="1"/>
  <c r="G728" i="1"/>
  <c r="F728" i="1" s="1"/>
  <c r="I733" i="1"/>
  <c r="H733" i="1" s="1"/>
  <c r="G736" i="1"/>
  <c r="F736" i="1" s="1"/>
  <c r="I741" i="1"/>
  <c r="H741" i="1" s="1"/>
  <c r="G744" i="1"/>
  <c r="F744" i="1" s="1"/>
  <c r="I749" i="1"/>
  <c r="H749" i="1" s="1"/>
  <c r="G752" i="1"/>
  <c r="F752" i="1" s="1"/>
  <c r="G756" i="1"/>
  <c r="F756" i="1" s="1"/>
  <c r="G760" i="1"/>
  <c r="F760" i="1" s="1"/>
  <c r="G764" i="1"/>
  <c r="F764" i="1" s="1"/>
  <c r="G768" i="1"/>
  <c r="F768" i="1" s="1"/>
  <c r="I773" i="1"/>
  <c r="H773" i="1" s="1"/>
  <c r="I778" i="1"/>
  <c r="H778" i="1" s="1"/>
  <c r="G784" i="1"/>
  <c r="F784" i="1" s="1"/>
  <c r="I789" i="1"/>
  <c r="H789" i="1" s="1"/>
  <c r="C811" i="1"/>
  <c r="B811" i="1" s="1"/>
  <c r="G813" i="1"/>
  <c r="F813" i="1" s="1"/>
  <c r="E817" i="1"/>
  <c r="D817" i="1" s="1"/>
  <c r="C820" i="1"/>
  <c r="B820" i="1" s="1"/>
  <c r="G834" i="1"/>
  <c r="F834" i="1" s="1"/>
  <c r="C836" i="1"/>
  <c r="B836" i="1" s="1"/>
  <c r="C843" i="1"/>
  <c r="B843" i="1" s="1"/>
  <c r="I854" i="1"/>
  <c r="H854" i="1" s="1"/>
  <c r="I879" i="1"/>
  <c r="H879" i="1" s="1"/>
  <c r="G893" i="1"/>
  <c r="F893" i="1" s="1"/>
  <c r="E713" i="1"/>
  <c r="D713" i="1" s="1"/>
  <c r="E721" i="1"/>
  <c r="D721" i="1" s="1"/>
  <c r="E729" i="1"/>
  <c r="D729" i="1" s="1"/>
  <c r="E737" i="1"/>
  <c r="D737" i="1" s="1"/>
  <c r="E745" i="1"/>
  <c r="D745" i="1" s="1"/>
  <c r="E753" i="1"/>
  <c r="D753" i="1" s="1"/>
  <c r="E761" i="1"/>
  <c r="D761" i="1" s="1"/>
  <c r="I823" i="1"/>
  <c r="H823" i="1" s="1"/>
  <c r="I831" i="1"/>
  <c r="H831" i="1" s="1"/>
  <c r="I839" i="1"/>
  <c r="H839" i="1" s="1"/>
  <c r="G845" i="1"/>
  <c r="F845" i="1" s="1"/>
  <c r="E851" i="1"/>
  <c r="D851" i="1" s="1"/>
  <c r="G861" i="1"/>
  <c r="F861" i="1" s="1"/>
  <c r="C871" i="1"/>
  <c r="B871" i="1" s="1"/>
  <c r="C872" i="1"/>
  <c r="B872" i="1" s="1"/>
  <c r="E873" i="1"/>
  <c r="D873" i="1" s="1"/>
  <c r="C883" i="1"/>
  <c r="B883" i="1" s="1"/>
  <c r="E889" i="1"/>
  <c r="D889" i="1" s="1"/>
  <c r="C895" i="1"/>
  <c r="B895" i="1" s="1"/>
  <c r="G910" i="1"/>
  <c r="F910" i="1" s="1"/>
  <c r="G796" i="1"/>
  <c r="F796" i="1" s="1"/>
  <c r="G804" i="1"/>
  <c r="F804" i="1" s="1"/>
  <c r="G812" i="1"/>
  <c r="F812" i="1" s="1"/>
  <c r="G820" i="1"/>
  <c r="F820" i="1" s="1"/>
  <c r="G828" i="1"/>
  <c r="F828" i="1" s="1"/>
  <c r="G836" i="1"/>
  <c r="F836" i="1" s="1"/>
  <c r="E841" i="1"/>
  <c r="D841" i="1" s="1"/>
  <c r="C847" i="1"/>
  <c r="B847" i="1" s="1"/>
  <c r="G851" i="1"/>
  <c r="F851" i="1" s="1"/>
  <c r="E857" i="1"/>
  <c r="D857" i="1" s="1"/>
  <c r="C863" i="1"/>
  <c r="B863" i="1" s="1"/>
  <c r="C869" i="1"/>
  <c r="B869" i="1" s="1"/>
  <c r="C870" i="1"/>
  <c r="B870" i="1" s="1"/>
  <c r="G873" i="1"/>
  <c r="F873" i="1" s="1"/>
  <c r="I875" i="1"/>
  <c r="H875" i="1" s="1"/>
  <c r="E883" i="1"/>
  <c r="D883" i="1" s="1"/>
  <c r="C888" i="1"/>
  <c r="B888" i="1" s="1"/>
  <c r="G889" i="1"/>
  <c r="F889" i="1" s="1"/>
  <c r="C898" i="1"/>
  <c r="B898" i="1" s="1"/>
  <c r="G899" i="1"/>
  <c r="F899" i="1" s="1"/>
  <c r="E902" i="1"/>
  <c r="D902" i="1" s="1"/>
  <c r="C905" i="1"/>
  <c r="B905" i="1" s="1"/>
  <c r="G913" i="1"/>
  <c r="F913" i="1" s="1"/>
  <c r="C916" i="1"/>
  <c r="B916" i="1" s="1"/>
  <c r="G927" i="1"/>
  <c r="F927" i="1" s="1"/>
  <c r="I931" i="1"/>
  <c r="H931" i="1" s="1"/>
  <c r="E942" i="1"/>
  <c r="D942" i="1" s="1"/>
  <c r="G807" i="1"/>
  <c r="F807" i="1" s="1"/>
  <c r="G815" i="1"/>
  <c r="F815" i="1" s="1"/>
  <c r="E825" i="1"/>
  <c r="D825" i="1" s="1"/>
  <c r="E833" i="1"/>
  <c r="D833" i="1" s="1"/>
  <c r="G841" i="1"/>
  <c r="F841" i="1" s="1"/>
  <c r="G857" i="1"/>
  <c r="F857" i="1" s="1"/>
  <c r="C867" i="1"/>
  <c r="B867" i="1" s="1"/>
  <c r="E869" i="1"/>
  <c r="D869" i="1" s="1"/>
  <c r="G871" i="1"/>
  <c r="F871" i="1" s="1"/>
  <c r="I873" i="1"/>
  <c r="H873" i="1" s="1"/>
  <c r="C882" i="1"/>
  <c r="B882" i="1" s="1"/>
  <c r="C887" i="1"/>
  <c r="B887" i="1" s="1"/>
  <c r="C891" i="1"/>
  <c r="B891" i="1" s="1"/>
  <c r="G895" i="1"/>
  <c r="F895" i="1" s="1"/>
  <c r="G902" i="1"/>
  <c r="F902" i="1" s="1"/>
  <c r="C919" i="1"/>
  <c r="B919" i="1" s="1"/>
  <c r="C936" i="1"/>
  <c r="B936" i="1" s="1"/>
  <c r="I937" i="1"/>
  <c r="H937" i="1" s="1"/>
  <c r="C944" i="1"/>
  <c r="B944" i="1" s="1"/>
  <c r="G945" i="1"/>
  <c r="F945" i="1" s="1"/>
  <c r="G825" i="1"/>
  <c r="F825" i="1" s="1"/>
  <c r="G833" i="1"/>
  <c r="F833" i="1" s="1"/>
  <c r="I841" i="1"/>
  <c r="H841" i="1" s="1"/>
  <c r="G847" i="1"/>
  <c r="F847" i="1" s="1"/>
  <c r="E853" i="1"/>
  <c r="D853" i="1" s="1"/>
  <c r="I857" i="1"/>
  <c r="H857" i="1" s="1"/>
  <c r="G863" i="1"/>
  <c r="F863" i="1" s="1"/>
  <c r="C865" i="1"/>
  <c r="B865" i="1" s="1"/>
  <c r="C866" i="1"/>
  <c r="B866" i="1" s="1"/>
  <c r="E867" i="1"/>
  <c r="D867" i="1" s="1"/>
  <c r="G869" i="1"/>
  <c r="F869" i="1" s="1"/>
  <c r="I871" i="1"/>
  <c r="H871" i="1" s="1"/>
  <c r="C881" i="1"/>
  <c r="B881" i="1" s="1"/>
  <c r="I883" i="1"/>
  <c r="H883" i="1" s="1"/>
  <c r="E891" i="1"/>
  <c r="D891" i="1" s="1"/>
  <c r="C894" i="1"/>
  <c r="B894" i="1" s="1"/>
  <c r="I895" i="1"/>
  <c r="H895" i="1" s="1"/>
  <c r="C897" i="1"/>
  <c r="B897" i="1" s="1"/>
  <c r="G905" i="1"/>
  <c r="F905" i="1" s="1"/>
  <c r="C908" i="1"/>
  <c r="B908" i="1" s="1"/>
  <c r="C922" i="1"/>
  <c r="B922" i="1" s="1"/>
  <c r="G923" i="1"/>
  <c r="F923" i="1" s="1"/>
  <c r="G939" i="1"/>
  <c r="F939" i="1" s="1"/>
  <c r="I818" i="1"/>
  <c r="H818" i="1" s="1"/>
  <c r="C819" i="1"/>
  <c r="B819" i="1" s="1"/>
  <c r="I821" i="1"/>
  <c r="H821" i="1" s="1"/>
  <c r="E822" i="1"/>
  <c r="D822" i="1" s="1"/>
  <c r="I829" i="1"/>
  <c r="H829" i="1" s="1"/>
  <c r="E830" i="1"/>
  <c r="D830" i="1" s="1"/>
  <c r="I837" i="1"/>
  <c r="H837" i="1" s="1"/>
  <c r="E838" i="1"/>
  <c r="D838" i="1" s="1"/>
  <c r="E843" i="1"/>
  <c r="D843" i="1" s="1"/>
  <c r="G853" i="1"/>
  <c r="F853" i="1" s="1"/>
  <c r="E859" i="1"/>
  <c r="D859" i="1" s="1"/>
  <c r="E865" i="1"/>
  <c r="D865" i="1" s="1"/>
  <c r="C879" i="1"/>
  <c r="B879" i="1" s="1"/>
  <c r="C880" i="1"/>
  <c r="B880" i="1" s="1"/>
  <c r="E881" i="1"/>
  <c r="D881" i="1" s="1"/>
  <c r="C886" i="1"/>
  <c r="B886" i="1" s="1"/>
  <c r="G887" i="1"/>
  <c r="F887" i="1" s="1"/>
  <c r="E897" i="1"/>
  <c r="D897" i="1" s="1"/>
  <c r="C911" i="1"/>
  <c r="B911" i="1" s="1"/>
  <c r="C925" i="1"/>
  <c r="B925" i="1" s="1"/>
  <c r="C928" i="1"/>
  <c r="B928" i="1" s="1"/>
  <c r="G944" i="1"/>
  <c r="F944" i="1" s="1"/>
  <c r="C827" i="1"/>
  <c r="B827" i="1" s="1"/>
  <c r="C835" i="1"/>
  <c r="B835" i="1" s="1"/>
  <c r="G843" i="1"/>
  <c r="F843" i="1" s="1"/>
  <c r="E849" i="1"/>
  <c r="D849" i="1" s="1"/>
  <c r="C855" i="1"/>
  <c r="B855" i="1" s="1"/>
  <c r="G859" i="1"/>
  <c r="F859" i="1" s="1"/>
  <c r="G865" i="1"/>
  <c r="F865" i="1" s="1"/>
  <c r="I867" i="1"/>
  <c r="H867" i="1" s="1"/>
  <c r="C877" i="1"/>
  <c r="B877" i="1" s="1"/>
  <c r="C878" i="1"/>
  <c r="B878" i="1" s="1"/>
  <c r="G881" i="1"/>
  <c r="F881" i="1" s="1"/>
  <c r="C885" i="1"/>
  <c r="B885" i="1" s="1"/>
  <c r="I887" i="1"/>
  <c r="H887" i="1" s="1"/>
  <c r="C890" i="1"/>
  <c r="B890" i="1" s="1"/>
  <c r="I891" i="1"/>
  <c r="H891" i="1" s="1"/>
  <c r="C893" i="1"/>
  <c r="B893" i="1" s="1"/>
  <c r="G897" i="1"/>
  <c r="F897" i="1" s="1"/>
  <c r="C900" i="1"/>
  <c r="B900" i="1" s="1"/>
  <c r="C914" i="1"/>
  <c r="B914" i="1" s="1"/>
  <c r="G915" i="1"/>
  <c r="F915" i="1" s="1"/>
  <c r="E918" i="1"/>
  <c r="D918" i="1" s="1"/>
  <c r="C921" i="1"/>
  <c r="B921" i="1" s="1"/>
  <c r="E928" i="1"/>
  <c r="D928" i="1" s="1"/>
  <c r="E774" i="1"/>
  <c r="D774" i="1" s="1"/>
  <c r="E782" i="1"/>
  <c r="D782" i="1" s="1"/>
  <c r="E790" i="1"/>
  <c r="D790" i="1" s="1"/>
  <c r="E798" i="1"/>
  <c r="D798" i="1" s="1"/>
  <c r="E806" i="1"/>
  <c r="D806" i="1" s="1"/>
  <c r="E814" i="1"/>
  <c r="D814" i="1" s="1"/>
  <c r="I826" i="1"/>
  <c r="H826" i="1" s="1"/>
  <c r="I834" i="1"/>
  <c r="H834" i="1" s="1"/>
  <c r="G849" i="1"/>
  <c r="F849" i="1" s="1"/>
  <c r="I865" i="1"/>
  <c r="H865" i="1" s="1"/>
  <c r="C875" i="1"/>
  <c r="B875" i="1" s="1"/>
  <c r="E877" i="1"/>
  <c r="D877" i="1" s="1"/>
  <c r="G879" i="1"/>
  <c r="F879" i="1" s="1"/>
  <c r="I881" i="1"/>
  <c r="H881" i="1" s="1"/>
  <c r="C896" i="1"/>
  <c r="B896" i="1" s="1"/>
  <c r="C903" i="1"/>
  <c r="B903" i="1" s="1"/>
  <c r="G918" i="1"/>
  <c r="F918" i="1" s="1"/>
  <c r="C924" i="1"/>
  <c r="B924" i="1" s="1"/>
  <c r="G928" i="1"/>
  <c r="F928" i="1" s="1"/>
  <c r="G947" i="1"/>
  <c r="F947" i="1" s="1"/>
  <c r="E885" i="1"/>
  <c r="D885" i="1" s="1"/>
  <c r="E893" i="1"/>
  <c r="D893" i="1" s="1"/>
  <c r="I899" i="1"/>
  <c r="H899" i="1" s="1"/>
  <c r="I907" i="1"/>
  <c r="H907" i="1" s="1"/>
  <c r="I915" i="1"/>
  <c r="H915" i="1" s="1"/>
  <c r="I923" i="1"/>
  <c r="H923" i="1" s="1"/>
  <c r="E924" i="1"/>
  <c r="D924" i="1" s="1"/>
  <c r="G941" i="1"/>
  <c r="F941" i="1" s="1"/>
  <c r="G942" i="1"/>
  <c r="F942" i="1" s="1"/>
  <c r="E944" i="1"/>
  <c r="D944" i="1" s="1"/>
  <c r="G867" i="1"/>
  <c r="F867" i="1" s="1"/>
  <c r="G875" i="1"/>
  <c r="F875" i="1" s="1"/>
  <c r="G883" i="1"/>
  <c r="F883" i="1" s="1"/>
  <c r="G891" i="1"/>
  <c r="F891" i="1" s="1"/>
  <c r="E900" i="1"/>
  <c r="D900" i="1" s="1"/>
  <c r="E908" i="1"/>
  <c r="D908" i="1" s="1"/>
  <c r="E916" i="1"/>
  <c r="D916" i="1" s="1"/>
  <c r="C929" i="1"/>
  <c r="B929" i="1" s="1"/>
  <c r="G933" i="1"/>
  <c r="F933" i="1" s="1"/>
  <c r="E934" i="1"/>
  <c r="D934" i="1" s="1"/>
  <c r="I941" i="1"/>
  <c r="H941" i="1" s="1"/>
  <c r="E946" i="1"/>
  <c r="D946" i="1" s="1"/>
  <c r="E948" i="1"/>
  <c r="D948" i="1" s="1"/>
  <c r="C951" i="1"/>
  <c r="B951" i="1" s="1"/>
  <c r="E954" i="1"/>
  <c r="D954" i="1" s="1"/>
  <c r="E962" i="1"/>
  <c r="D962" i="1" s="1"/>
  <c r="G973" i="1"/>
  <c r="F973" i="1" s="1"/>
  <c r="E978" i="1"/>
  <c r="D978" i="1" s="1"/>
  <c r="E986" i="1"/>
  <c r="D986" i="1" s="1"/>
  <c r="E994" i="1"/>
  <c r="D994" i="1" s="1"/>
  <c r="C1015" i="1"/>
  <c r="B1015" i="1" s="1"/>
  <c r="C1023" i="1"/>
  <c r="B1023" i="1" s="1"/>
  <c r="I889" i="1"/>
  <c r="H889" i="1" s="1"/>
  <c r="I897" i="1"/>
  <c r="H897" i="1" s="1"/>
  <c r="E903" i="1"/>
  <c r="D903" i="1" s="1"/>
  <c r="I905" i="1"/>
  <c r="H905" i="1" s="1"/>
  <c r="E911" i="1"/>
  <c r="D911" i="1" s="1"/>
  <c r="I913" i="1"/>
  <c r="H913" i="1" s="1"/>
  <c r="E919" i="1"/>
  <c r="D919" i="1" s="1"/>
  <c r="I921" i="1"/>
  <c r="H921" i="1" s="1"/>
  <c r="I933" i="1"/>
  <c r="H933" i="1" s="1"/>
  <c r="G934" i="1"/>
  <c r="F934" i="1" s="1"/>
  <c r="G946" i="1"/>
  <c r="F946" i="1" s="1"/>
  <c r="E967" i="1"/>
  <c r="D967" i="1" s="1"/>
  <c r="E983" i="1"/>
  <c r="D983" i="1" s="1"/>
  <c r="G925" i="1"/>
  <c r="F925" i="1" s="1"/>
  <c r="E930" i="1"/>
  <c r="D930" i="1" s="1"/>
  <c r="I945" i="1"/>
  <c r="H945" i="1" s="1"/>
  <c r="G951" i="1"/>
  <c r="F951" i="1" s="1"/>
  <c r="G959" i="1"/>
  <c r="F959" i="1" s="1"/>
  <c r="I925" i="1"/>
  <c r="H925" i="1" s="1"/>
  <c r="E926" i="1"/>
  <c r="D926" i="1" s="1"/>
  <c r="I929" i="1"/>
  <c r="H929" i="1" s="1"/>
  <c r="G930" i="1"/>
  <c r="F930" i="1" s="1"/>
  <c r="E936" i="1"/>
  <c r="D936" i="1" s="1"/>
  <c r="E969" i="1"/>
  <c r="D969" i="1" s="1"/>
  <c r="G901" i="1"/>
  <c r="F901" i="1" s="1"/>
  <c r="G909" i="1"/>
  <c r="F909" i="1" s="1"/>
  <c r="G917" i="1"/>
  <c r="F917" i="1" s="1"/>
  <c r="G926" i="1"/>
  <c r="F926" i="1" s="1"/>
  <c r="E938" i="1"/>
  <c r="D938" i="1" s="1"/>
  <c r="C955" i="1"/>
  <c r="B955" i="1" s="1"/>
  <c r="I901" i="1"/>
  <c r="H901" i="1" s="1"/>
  <c r="I909" i="1"/>
  <c r="H909" i="1" s="1"/>
  <c r="I917" i="1"/>
  <c r="H917" i="1" s="1"/>
  <c r="E932" i="1"/>
  <c r="D932" i="1" s="1"/>
  <c r="G938" i="1"/>
  <c r="F938" i="1" s="1"/>
  <c r="E940" i="1"/>
  <c r="D940" i="1" s="1"/>
  <c r="E955" i="1"/>
  <c r="D955" i="1" s="1"/>
  <c r="G958" i="1"/>
  <c r="F958" i="1" s="1"/>
  <c r="C1024" i="1"/>
  <c r="B1024" i="1" s="1"/>
  <c r="C1032" i="1"/>
  <c r="B1032" i="1" s="1"/>
  <c r="I939" i="1"/>
  <c r="H939" i="1" s="1"/>
  <c r="I947" i="1"/>
  <c r="H947" i="1" s="1"/>
  <c r="I953" i="1"/>
  <c r="H953" i="1" s="1"/>
  <c r="E958" i="1"/>
  <c r="D958" i="1" s="1"/>
  <c r="I961" i="1"/>
  <c r="H961" i="1" s="1"/>
  <c r="I966" i="1"/>
  <c r="H966" i="1" s="1"/>
  <c r="C968" i="1"/>
  <c r="B968" i="1" s="1"/>
  <c r="G977" i="1"/>
  <c r="F977" i="1" s="1"/>
  <c r="I982" i="1"/>
  <c r="H982" i="1" s="1"/>
  <c r="I996" i="1"/>
  <c r="H996" i="1" s="1"/>
  <c r="G1005" i="1"/>
  <c r="F1005" i="1" s="1"/>
  <c r="I1006" i="1"/>
  <c r="H1006" i="1" s="1"/>
  <c r="E1015" i="1"/>
  <c r="D1015" i="1" s="1"/>
  <c r="I1017" i="1"/>
  <c r="H1017" i="1" s="1"/>
  <c r="E1026" i="1"/>
  <c r="D1026" i="1" s="1"/>
  <c r="G1028" i="1"/>
  <c r="F1028" i="1" s="1"/>
  <c r="G1038" i="1"/>
  <c r="F1038" i="1" s="1"/>
  <c r="E1050" i="1"/>
  <c r="D1050" i="1" s="1"/>
  <c r="G1079" i="1"/>
  <c r="F1079" i="1" s="1"/>
  <c r="G1096" i="1"/>
  <c r="F1096" i="1" s="1"/>
  <c r="G1104" i="1"/>
  <c r="F1104" i="1" s="1"/>
  <c r="C1114" i="1"/>
  <c r="B1114" i="1" s="1"/>
  <c r="C959" i="1"/>
  <c r="B959" i="1" s="1"/>
  <c r="G967" i="1"/>
  <c r="F967" i="1" s="1"/>
  <c r="I972" i="1"/>
  <c r="H972" i="1" s="1"/>
  <c r="C974" i="1"/>
  <c r="B974" i="1" s="1"/>
  <c r="G983" i="1"/>
  <c r="F983" i="1" s="1"/>
  <c r="C988" i="1"/>
  <c r="B988" i="1" s="1"/>
  <c r="I998" i="1"/>
  <c r="H998" i="1" s="1"/>
  <c r="G999" i="1"/>
  <c r="F999" i="1" s="1"/>
  <c r="G1002" i="1"/>
  <c r="F1002" i="1" s="1"/>
  <c r="G1003" i="1"/>
  <c r="F1003" i="1" s="1"/>
  <c r="I1004" i="1"/>
  <c r="H1004" i="1" s="1"/>
  <c r="I1016" i="1"/>
  <c r="H1016" i="1" s="1"/>
  <c r="E1024" i="1"/>
  <c r="D1024" i="1" s="1"/>
  <c r="G1025" i="1"/>
  <c r="F1025" i="1" s="1"/>
  <c r="G1026" i="1"/>
  <c r="F1026" i="1" s="1"/>
  <c r="G1027" i="1"/>
  <c r="F1027" i="1" s="1"/>
  <c r="C1033" i="1"/>
  <c r="B1033" i="1" s="1"/>
  <c r="E1036" i="1"/>
  <c r="D1036" i="1" s="1"/>
  <c r="I1038" i="1"/>
  <c r="H1038" i="1" s="1"/>
  <c r="C1041" i="1"/>
  <c r="B1041" i="1" s="1"/>
  <c r="E1042" i="1"/>
  <c r="D1042" i="1" s="1"/>
  <c r="G1043" i="1"/>
  <c r="F1043" i="1" s="1"/>
  <c r="I1047" i="1"/>
  <c r="H1047" i="1" s="1"/>
  <c r="C1049" i="1"/>
  <c r="B1049" i="1" s="1"/>
  <c r="G1050" i="1"/>
  <c r="F1050" i="1" s="1"/>
  <c r="E1056" i="1"/>
  <c r="D1056" i="1" s="1"/>
  <c r="G1066" i="1"/>
  <c r="F1066" i="1" s="1"/>
  <c r="E1072" i="1"/>
  <c r="D1072" i="1" s="1"/>
  <c r="G1090" i="1"/>
  <c r="F1090" i="1" s="1"/>
  <c r="I1171" i="1"/>
  <c r="H1171" i="1" s="1"/>
  <c r="E951" i="1"/>
  <c r="D951" i="1" s="1"/>
  <c r="I954" i="1"/>
  <c r="H954" i="1" s="1"/>
  <c r="E959" i="1"/>
  <c r="D959" i="1" s="1"/>
  <c r="I962" i="1"/>
  <c r="H962" i="1" s="1"/>
  <c r="E963" i="1"/>
  <c r="D963" i="1" s="1"/>
  <c r="C964" i="1"/>
  <c r="B964" i="1" s="1"/>
  <c r="E974" i="1"/>
  <c r="D974" i="1" s="1"/>
  <c r="I978" i="1"/>
  <c r="H978" i="1" s="1"/>
  <c r="E979" i="1"/>
  <c r="D979" i="1" s="1"/>
  <c r="C980" i="1"/>
  <c r="B980" i="1" s="1"/>
  <c r="I984" i="1"/>
  <c r="H984" i="1" s="1"/>
  <c r="G985" i="1"/>
  <c r="F985" i="1" s="1"/>
  <c r="E988" i="1"/>
  <c r="D988" i="1" s="1"/>
  <c r="C990" i="1"/>
  <c r="B990" i="1" s="1"/>
  <c r="I1000" i="1"/>
  <c r="H1000" i="1" s="1"/>
  <c r="G1001" i="1"/>
  <c r="F1001" i="1" s="1"/>
  <c r="I1002" i="1"/>
  <c r="H1002" i="1" s="1"/>
  <c r="I1015" i="1"/>
  <c r="H1015" i="1" s="1"/>
  <c r="E1023" i="1"/>
  <c r="D1023" i="1" s="1"/>
  <c r="I1025" i="1"/>
  <c r="H1025" i="1" s="1"/>
  <c r="G1036" i="1"/>
  <c r="F1036" i="1" s="1"/>
  <c r="C1040" i="1"/>
  <c r="B1040" i="1" s="1"/>
  <c r="E1041" i="1"/>
  <c r="D1041" i="1" s="1"/>
  <c r="G1042" i="1"/>
  <c r="F1042" i="1" s="1"/>
  <c r="G1046" i="1"/>
  <c r="F1046" i="1" s="1"/>
  <c r="E1049" i="1"/>
  <c r="D1049" i="1" s="1"/>
  <c r="C1055" i="1"/>
  <c r="B1055" i="1" s="1"/>
  <c r="C1071" i="1"/>
  <c r="B1071" i="1" s="1"/>
  <c r="G1081" i="1"/>
  <c r="F1081" i="1" s="1"/>
  <c r="C952" i="1"/>
  <c r="B952" i="1" s="1"/>
  <c r="C960" i="1"/>
  <c r="B960" i="1" s="1"/>
  <c r="E964" i="1"/>
  <c r="D964" i="1" s="1"/>
  <c r="I968" i="1"/>
  <c r="H968" i="1" s="1"/>
  <c r="E980" i="1"/>
  <c r="D980" i="1" s="1"/>
  <c r="I986" i="1"/>
  <c r="H986" i="1" s="1"/>
  <c r="E990" i="1"/>
  <c r="D990" i="1" s="1"/>
  <c r="C992" i="1"/>
  <c r="B992" i="1" s="1"/>
  <c r="E1012" i="1"/>
  <c r="D1012" i="1" s="1"/>
  <c r="I1014" i="1"/>
  <c r="H1014" i="1" s="1"/>
  <c r="I1024" i="1"/>
  <c r="H1024" i="1" s="1"/>
  <c r="E1032" i="1"/>
  <c r="D1032" i="1" s="1"/>
  <c r="G1033" i="1"/>
  <c r="F1033" i="1" s="1"/>
  <c r="G1034" i="1"/>
  <c r="F1034" i="1" s="1"/>
  <c r="G1035" i="1"/>
  <c r="F1035" i="1" s="1"/>
  <c r="E1040" i="1"/>
  <c r="D1040" i="1" s="1"/>
  <c r="G1041" i="1"/>
  <c r="F1041" i="1" s="1"/>
  <c r="I1046" i="1"/>
  <c r="H1046" i="1" s="1"/>
  <c r="C1048" i="1"/>
  <c r="B1048" i="1" s="1"/>
  <c r="E1055" i="1"/>
  <c r="D1055" i="1" s="1"/>
  <c r="E1071" i="1"/>
  <c r="D1071" i="1" s="1"/>
  <c r="E1089" i="1"/>
  <c r="D1089" i="1" s="1"/>
  <c r="E1132" i="1"/>
  <c r="D1132" i="1" s="1"/>
  <c r="I955" i="1"/>
  <c r="H955" i="1" s="1"/>
  <c r="G969" i="1"/>
  <c r="F969" i="1" s="1"/>
  <c r="I974" i="1"/>
  <c r="H974" i="1" s="1"/>
  <c r="C976" i="1"/>
  <c r="B976" i="1" s="1"/>
  <c r="I988" i="1"/>
  <c r="H988" i="1" s="1"/>
  <c r="C1008" i="1"/>
  <c r="B1008" i="1" s="1"/>
  <c r="G1012" i="1"/>
  <c r="F1012" i="1" s="1"/>
  <c r="I1023" i="1"/>
  <c r="H1023" i="1" s="1"/>
  <c r="E1031" i="1"/>
  <c r="D1031" i="1" s="1"/>
  <c r="I1033" i="1"/>
  <c r="H1033" i="1" s="1"/>
  <c r="I1041" i="1"/>
  <c r="H1041" i="1" s="1"/>
  <c r="E1048" i="1"/>
  <c r="D1048" i="1" s="1"/>
  <c r="I1049" i="1"/>
  <c r="H1049" i="1" s="1"/>
  <c r="I1078" i="1"/>
  <c r="H1078" i="1" s="1"/>
  <c r="G1100" i="1"/>
  <c r="F1100" i="1" s="1"/>
  <c r="G1108" i="1"/>
  <c r="F1108" i="1" s="1"/>
  <c r="C937" i="1"/>
  <c r="B937" i="1" s="1"/>
  <c r="C945" i="1"/>
  <c r="B945" i="1" s="1"/>
  <c r="G949" i="1"/>
  <c r="F949" i="1" s="1"/>
  <c r="C953" i="1"/>
  <c r="B953" i="1" s="1"/>
  <c r="C961" i="1"/>
  <c r="B961" i="1" s="1"/>
  <c r="I964" i="1"/>
  <c r="H964" i="1" s="1"/>
  <c r="C966" i="1"/>
  <c r="B966" i="1" s="1"/>
  <c r="G975" i="1"/>
  <c r="F975" i="1" s="1"/>
  <c r="I980" i="1"/>
  <c r="H980" i="1" s="1"/>
  <c r="C982" i="1"/>
  <c r="B982" i="1" s="1"/>
  <c r="I990" i="1"/>
  <c r="H990" i="1" s="1"/>
  <c r="G991" i="1"/>
  <c r="F991" i="1" s="1"/>
  <c r="C996" i="1"/>
  <c r="B996" i="1" s="1"/>
  <c r="C1006" i="1"/>
  <c r="B1006" i="1" s="1"/>
  <c r="G1010" i="1"/>
  <c r="F1010" i="1" s="1"/>
  <c r="G1011" i="1"/>
  <c r="F1011" i="1" s="1"/>
  <c r="C1017" i="1"/>
  <c r="B1017" i="1" s="1"/>
  <c r="E1020" i="1"/>
  <c r="D1020" i="1" s="1"/>
  <c r="I1022" i="1"/>
  <c r="H1022" i="1" s="1"/>
  <c r="I1032" i="1"/>
  <c r="H1032" i="1" s="1"/>
  <c r="E1039" i="1"/>
  <c r="D1039" i="1" s="1"/>
  <c r="C1044" i="1"/>
  <c r="B1044" i="1" s="1"/>
  <c r="G1058" i="1"/>
  <c r="F1058" i="1" s="1"/>
  <c r="E1064" i="1"/>
  <c r="D1064" i="1" s="1"/>
  <c r="G1074" i="1"/>
  <c r="F1074" i="1" s="1"/>
  <c r="E927" i="1"/>
  <c r="D927" i="1" s="1"/>
  <c r="E935" i="1"/>
  <c r="D935" i="1" s="1"/>
  <c r="E943" i="1"/>
  <c r="D943" i="1" s="1"/>
  <c r="E957" i="1"/>
  <c r="D957" i="1" s="1"/>
  <c r="E966" i="1"/>
  <c r="D966" i="1" s="1"/>
  <c r="I970" i="1"/>
  <c r="H970" i="1" s="1"/>
  <c r="E971" i="1"/>
  <c r="D971" i="1" s="1"/>
  <c r="C972" i="1"/>
  <c r="B972" i="1" s="1"/>
  <c r="E982" i="1"/>
  <c r="D982" i="1" s="1"/>
  <c r="I992" i="1"/>
  <c r="H992" i="1" s="1"/>
  <c r="G993" i="1"/>
  <c r="F993" i="1" s="1"/>
  <c r="E996" i="1"/>
  <c r="D996" i="1" s="1"/>
  <c r="C998" i="1"/>
  <c r="B998" i="1" s="1"/>
  <c r="C1004" i="1"/>
  <c r="B1004" i="1" s="1"/>
  <c r="E1006" i="1"/>
  <c r="D1006" i="1" s="1"/>
  <c r="G1009" i="1"/>
  <c r="F1009" i="1" s="1"/>
  <c r="I1010" i="1"/>
  <c r="H1010" i="1" s="1"/>
  <c r="E1018" i="1"/>
  <c r="D1018" i="1" s="1"/>
  <c r="G1020" i="1"/>
  <c r="F1020" i="1" s="1"/>
  <c r="I1031" i="1"/>
  <c r="H1031" i="1" s="1"/>
  <c r="C1063" i="1"/>
  <c r="B1063" i="1" s="1"/>
  <c r="E950" i="1"/>
  <c r="D950" i="1" s="1"/>
  <c r="G957" i="1"/>
  <c r="F957" i="1" s="1"/>
  <c r="E972" i="1"/>
  <c r="D972" i="1" s="1"/>
  <c r="I976" i="1"/>
  <c r="H976" i="1" s="1"/>
  <c r="C984" i="1"/>
  <c r="B984" i="1" s="1"/>
  <c r="I994" i="1"/>
  <c r="H994" i="1" s="1"/>
  <c r="E998" i="1"/>
  <c r="D998" i="1" s="1"/>
  <c r="C1000" i="1"/>
  <c r="B1000" i="1" s="1"/>
  <c r="E1004" i="1"/>
  <c r="D1004" i="1" s="1"/>
  <c r="G1006" i="1"/>
  <c r="F1006" i="1" s="1"/>
  <c r="G1007" i="1"/>
  <c r="F1007" i="1" s="1"/>
  <c r="I1008" i="1"/>
  <c r="H1008" i="1" s="1"/>
  <c r="E1016" i="1"/>
  <c r="D1016" i="1" s="1"/>
  <c r="G1017" i="1"/>
  <c r="F1017" i="1" s="1"/>
  <c r="G1018" i="1"/>
  <c r="F1018" i="1" s="1"/>
  <c r="G1019" i="1"/>
  <c r="F1019" i="1" s="1"/>
  <c r="C1025" i="1"/>
  <c r="B1025" i="1" s="1"/>
  <c r="E1028" i="1"/>
  <c r="D1028" i="1" s="1"/>
  <c r="I1030" i="1"/>
  <c r="H1030" i="1" s="1"/>
  <c r="I1039" i="1"/>
  <c r="H1039" i="1" s="1"/>
  <c r="G1044" i="1"/>
  <c r="F1044" i="1" s="1"/>
  <c r="E1047" i="1"/>
  <c r="D1047" i="1" s="1"/>
  <c r="E1063" i="1"/>
  <c r="D1063" i="1" s="1"/>
  <c r="G1082" i="1"/>
  <c r="F1082" i="1" s="1"/>
  <c r="C1013" i="1"/>
  <c r="B1013" i="1" s="1"/>
  <c r="C1021" i="1"/>
  <c r="B1021" i="1" s="1"/>
  <c r="C1029" i="1"/>
  <c r="B1029" i="1" s="1"/>
  <c r="C1037" i="1"/>
  <c r="B1037" i="1" s="1"/>
  <c r="C1045" i="1"/>
  <c r="B1045" i="1" s="1"/>
  <c r="I1053" i="1"/>
  <c r="H1053" i="1" s="1"/>
  <c r="I1061" i="1"/>
  <c r="H1061" i="1" s="1"/>
  <c r="I1069" i="1"/>
  <c r="H1069" i="1" s="1"/>
  <c r="I1077" i="1"/>
  <c r="H1077" i="1" s="1"/>
  <c r="E1081" i="1"/>
  <c r="D1081" i="1" s="1"/>
  <c r="C1089" i="1"/>
  <c r="B1089" i="1" s="1"/>
  <c r="E1096" i="1"/>
  <c r="D1096" i="1" s="1"/>
  <c r="E1104" i="1"/>
  <c r="D1104" i="1" s="1"/>
  <c r="E1118" i="1"/>
  <c r="D1118" i="1" s="1"/>
  <c r="E1124" i="1"/>
  <c r="D1124" i="1" s="1"/>
  <c r="C965" i="1"/>
  <c r="B965" i="1" s="1"/>
  <c r="C973" i="1"/>
  <c r="B973" i="1" s="1"/>
  <c r="C981" i="1"/>
  <c r="B981" i="1" s="1"/>
  <c r="C989" i="1"/>
  <c r="B989" i="1" s="1"/>
  <c r="C997" i="1"/>
  <c r="B997" i="1" s="1"/>
  <c r="C1005" i="1"/>
  <c r="B1005" i="1" s="1"/>
  <c r="E1051" i="1"/>
  <c r="D1051" i="1" s="1"/>
  <c r="E1059" i="1"/>
  <c r="D1059" i="1" s="1"/>
  <c r="E1067" i="1"/>
  <c r="D1067" i="1" s="1"/>
  <c r="E1075" i="1"/>
  <c r="D1075" i="1" s="1"/>
  <c r="I1079" i="1"/>
  <c r="H1079" i="1" s="1"/>
  <c r="I1080" i="1"/>
  <c r="H1080" i="1" s="1"/>
  <c r="I1082" i="1"/>
  <c r="H1082" i="1" s="1"/>
  <c r="E1088" i="1"/>
  <c r="D1088" i="1" s="1"/>
  <c r="G1089" i="1"/>
  <c r="F1089" i="1" s="1"/>
  <c r="I1090" i="1"/>
  <c r="H1090" i="1" s="1"/>
  <c r="E1099" i="1"/>
  <c r="D1099" i="1" s="1"/>
  <c r="E1107" i="1"/>
  <c r="D1107" i="1" s="1"/>
  <c r="C1117" i="1"/>
  <c r="B1117" i="1" s="1"/>
  <c r="C1123" i="1"/>
  <c r="B1123" i="1" s="1"/>
  <c r="E1126" i="1"/>
  <c r="D1126" i="1" s="1"/>
  <c r="E987" i="1"/>
  <c r="D987" i="1" s="1"/>
  <c r="E995" i="1"/>
  <c r="D995" i="1" s="1"/>
  <c r="E1003" i="1"/>
  <c r="D1003" i="1" s="1"/>
  <c r="E1011" i="1"/>
  <c r="D1011" i="1" s="1"/>
  <c r="C1014" i="1"/>
  <c r="B1014" i="1" s="1"/>
  <c r="E1019" i="1"/>
  <c r="D1019" i="1" s="1"/>
  <c r="C1022" i="1"/>
  <c r="B1022" i="1" s="1"/>
  <c r="E1027" i="1"/>
  <c r="D1027" i="1" s="1"/>
  <c r="C1030" i="1"/>
  <c r="B1030" i="1" s="1"/>
  <c r="E1035" i="1"/>
  <c r="D1035" i="1" s="1"/>
  <c r="C1038" i="1"/>
  <c r="B1038" i="1" s="1"/>
  <c r="E1043" i="1"/>
  <c r="D1043" i="1" s="1"/>
  <c r="C1046" i="1"/>
  <c r="B1046" i="1" s="1"/>
  <c r="G1055" i="1"/>
  <c r="F1055" i="1" s="1"/>
  <c r="G1063" i="1"/>
  <c r="F1063" i="1" s="1"/>
  <c r="G1071" i="1"/>
  <c r="F1071" i="1" s="1"/>
  <c r="C1086" i="1"/>
  <c r="B1086" i="1" s="1"/>
  <c r="E1087" i="1"/>
  <c r="D1087" i="1" s="1"/>
  <c r="I1121" i="1"/>
  <c r="H1121" i="1" s="1"/>
  <c r="I1129" i="1"/>
  <c r="H1129" i="1" s="1"/>
  <c r="C1134" i="1"/>
  <c r="B1134" i="1" s="1"/>
  <c r="I1040" i="1"/>
  <c r="H1040" i="1" s="1"/>
  <c r="I1048" i="1"/>
  <c r="H1048" i="1" s="1"/>
  <c r="E1052" i="1"/>
  <c r="D1052" i="1" s="1"/>
  <c r="I1055" i="1"/>
  <c r="H1055" i="1" s="1"/>
  <c r="E1060" i="1"/>
  <c r="D1060" i="1" s="1"/>
  <c r="I1063" i="1"/>
  <c r="H1063" i="1" s="1"/>
  <c r="E1068" i="1"/>
  <c r="D1068" i="1" s="1"/>
  <c r="I1071" i="1"/>
  <c r="H1071" i="1" s="1"/>
  <c r="E1076" i="1"/>
  <c r="D1076" i="1" s="1"/>
  <c r="C1085" i="1"/>
  <c r="B1085" i="1" s="1"/>
  <c r="G1087" i="1"/>
  <c r="F1087" i="1" s="1"/>
  <c r="I1088" i="1"/>
  <c r="H1088" i="1" s="1"/>
  <c r="E1098" i="1"/>
  <c r="D1098" i="1" s="1"/>
  <c r="E1106" i="1"/>
  <c r="D1106" i="1" s="1"/>
  <c r="E1110" i="1"/>
  <c r="D1110" i="1" s="1"/>
  <c r="C1113" i="1"/>
  <c r="B1113" i="1" s="1"/>
  <c r="I967" i="1"/>
  <c r="H967" i="1" s="1"/>
  <c r="I975" i="1"/>
  <c r="H975" i="1" s="1"/>
  <c r="I983" i="1"/>
  <c r="H983" i="1" s="1"/>
  <c r="I991" i="1"/>
  <c r="H991" i="1" s="1"/>
  <c r="I999" i="1"/>
  <c r="H999" i="1" s="1"/>
  <c r="I1007" i="1"/>
  <c r="H1007" i="1" s="1"/>
  <c r="C1053" i="1"/>
  <c r="B1053" i="1" s="1"/>
  <c r="C1061" i="1"/>
  <c r="B1061" i="1" s="1"/>
  <c r="C1069" i="1"/>
  <c r="B1069" i="1" s="1"/>
  <c r="C1077" i="1"/>
  <c r="B1077" i="1" s="1"/>
  <c r="I1087" i="1"/>
  <c r="H1087" i="1" s="1"/>
  <c r="G1094" i="1"/>
  <c r="F1094" i="1" s="1"/>
  <c r="G1098" i="1"/>
  <c r="F1098" i="1" s="1"/>
  <c r="G1102" i="1"/>
  <c r="F1102" i="1" s="1"/>
  <c r="G1106" i="1"/>
  <c r="F1106" i="1" s="1"/>
  <c r="E1113" i="1"/>
  <c r="D1113" i="1" s="1"/>
  <c r="I1117" i="1"/>
  <c r="H1117" i="1" s="1"/>
  <c r="E1044" i="1"/>
  <c r="D1044" i="1" s="1"/>
  <c r="G1049" i="1"/>
  <c r="F1049" i="1" s="1"/>
  <c r="I1056" i="1"/>
  <c r="H1056" i="1" s="1"/>
  <c r="E1057" i="1"/>
  <c r="D1057" i="1" s="1"/>
  <c r="I1064" i="1"/>
  <c r="H1064" i="1" s="1"/>
  <c r="E1065" i="1"/>
  <c r="D1065" i="1" s="1"/>
  <c r="I1072" i="1"/>
  <c r="H1072" i="1" s="1"/>
  <c r="E1073" i="1"/>
  <c r="D1073" i="1" s="1"/>
  <c r="C1078" i="1"/>
  <c r="B1078" i="1" s="1"/>
  <c r="E1084" i="1"/>
  <c r="D1084" i="1" s="1"/>
  <c r="E1092" i="1"/>
  <c r="D1092" i="1" s="1"/>
  <c r="I1094" i="1"/>
  <c r="H1094" i="1" s="1"/>
  <c r="E1097" i="1"/>
  <c r="D1097" i="1" s="1"/>
  <c r="I1098" i="1"/>
  <c r="H1098" i="1" s="1"/>
  <c r="I1102" i="1"/>
  <c r="H1102" i="1" s="1"/>
  <c r="E1105" i="1"/>
  <c r="D1105" i="1" s="1"/>
  <c r="I1106" i="1"/>
  <c r="H1106" i="1" s="1"/>
  <c r="I1110" i="1"/>
  <c r="H1110" i="1" s="1"/>
  <c r="G1113" i="1"/>
  <c r="F1113" i="1" s="1"/>
  <c r="C1054" i="1"/>
  <c r="B1054" i="1" s="1"/>
  <c r="G1057" i="1"/>
  <c r="F1057" i="1" s="1"/>
  <c r="C1062" i="1"/>
  <c r="B1062" i="1" s="1"/>
  <c r="G1065" i="1"/>
  <c r="F1065" i="1" s="1"/>
  <c r="C1070" i="1"/>
  <c r="B1070" i="1" s="1"/>
  <c r="G1073" i="1"/>
  <c r="F1073" i="1" s="1"/>
  <c r="E1083" i="1"/>
  <c r="D1083" i="1" s="1"/>
  <c r="G1084" i="1"/>
  <c r="F1084" i="1" s="1"/>
  <c r="I1085" i="1"/>
  <c r="H1085" i="1" s="1"/>
  <c r="E1091" i="1"/>
  <c r="D1091" i="1" s="1"/>
  <c r="G1092" i="1"/>
  <c r="F1092" i="1" s="1"/>
  <c r="I1113" i="1"/>
  <c r="H1113" i="1" s="1"/>
  <c r="C1115" i="1"/>
  <c r="B1115" i="1" s="1"/>
  <c r="C1118" i="1"/>
  <c r="B1118" i="1" s="1"/>
  <c r="C1141" i="1"/>
  <c r="B1141" i="1" s="1"/>
  <c r="E1100" i="1"/>
  <c r="D1100" i="1" s="1"/>
  <c r="E1108" i="1"/>
  <c r="D1108" i="1" s="1"/>
  <c r="I1116" i="1"/>
  <c r="H1116" i="1" s="1"/>
  <c r="G1121" i="1"/>
  <c r="F1121" i="1" s="1"/>
  <c r="C1124" i="1"/>
  <c r="B1124" i="1" s="1"/>
  <c r="C1125" i="1"/>
  <c r="B1125" i="1" s="1"/>
  <c r="C1126" i="1"/>
  <c r="B1126" i="1" s="1"/>
  <c r="E1128" i="1"/>
  <c r="D1128" i="1" s="1"/>
  <c r="G1129" i="1"/>
  <c r="F1129" i="1" s="1"/>
  <c r="E1136" i="1"/>
  <c r="D1136" i="1" s="1"/>
  <c r="I1137" i="1"/>
  <c r="H1137" i="1" s="1"/>
  <c r="E1148" i="1"/>
  <c r="D1148" i="1" s="1"/>
  <c r="I1155" i="1"/>
  <c r="H1155" i="1" s="1"/>
  <c r="C1157" i="1"/>
  <c r="B1157" i="1" s="1"/>
  <c r="I1158" i="1"/>
  <c r="H1158" i="1" s="1"/>
  <c r="I1166" i="1"/>
  <c r="H1166" i="1" s="1"/>
  <c r="I1096" i="1"/>
  <c r="H1096" i="1" s="1"/>
  <c r="I1104" i="1"/>
  <c r="H1104" i="1" s="1"/>
  <c r="C1133" i="1"/>
  <c r="B1133" i="1" s="1"/>
  <c r="E1140" i="1"/>
  <c r="D1140" i="1" s="1"/>
  <c r="G1144" i="1"/>
  <c r="F1144" i="1" s="1"/>
  <c r="E1147" i="1"/>
  <c r="D1147" i="1" s="1"/>
  <c r="I1151" i="1"/>
  <c r="H1151" i="1" s="1"/>
  <c r="I1123" i="1"/>
  <c r="H1123" i="1" s="1"/>
  <c r="I1125" i="1"/>
  <c r="H1125" i="1" s="1"/>
  <c r="I1127" i="1"/>
  <c r="H1127" i="1" s="1"/>
  <c r="C1132" i="1"/>
  <c r="B1132" i="1" s="1"/>
  <c r="I1135" i="1"/>
  <c r="H1135" i="1" s="1"/>
  <c r="E1139" i="1"/>
  <c r="D1139" i="1" s="1"/>
  <c r="C1112" i="1"/>
  <c r="B1112" i="1" s="1"/>
  <c r="C1131" i="1"/>
  <c r="B1131" i="1" s="1"/>
  <c r="I1140" i="1"/>
  <c r="H1140" i="1" s="1"/>
  <c r="C1142" i="1"/>
  <c r="B1142" i="1" s="1"/>
  <c r="I1147" i="1"/>
  <c r="H1147" i="1" s="1"/>
  <c r="G1150" i="1"/>
  <c r="F1150" i="1" s="1"/>
  <c r="I1162" i="1"/>
  <c r="H1162" i="1" s="1"/>
  <c r="C1169" i="1"/>
  <c r="B1169" i="1" s="1"/>
  <c r="I1170" i="1"/>
  <c r="H1170" i="1" s="1"/>
  <c r="C1177" i="1"/>
  <c r="B1177" i="1" s="1"/>
  <c r="E1112" i="1"/>
  <c r="D1112" i="1" s="1"/>
  <c r="C1116" i="1"/>
  <c r="B1116" i="1" s="1"/>
  <c r="C1120" i="1"/>
  <c r="B1120" i="1" s="1"/>
  <c r="C1130" i="1"/>
  <c r="B1130" i="1" s="1"/>
  <c r="I1133" i="1"/>
  <c r="H1133" i="1" s="1"/>
  <c r="C1137" i="1"/>
  <c r="B1137" i="1" s="1"/>
  <c r="I1139" i="1"/>
  <c r="H1139" i="1" s="1"/>
  <c r="C1155" i="1"/>
  <c r="B1155" i="1" s="1"/>
  <c r="G1164" i="1"/>
  <c r="F1164" i="1" s="1"/>
  <c r="I1167" i="1"/>
  <c r="H1167" i="1" s="1"/>
  <c r="C1110" i="1"/>
  <c r="B1110" i="1" s="1"/>
  <c r="E1120" i="1"/>
  <c r="D1120" i="1" s="1"/>
  <c r="C1129" i="1"/>
  <c r="B1129" i="1" s="1"/>
  <c r="G1161" i="1"/>
  <c r="F1161" i="1" s="1"/>
  <c r="C1094" i="1"/>
  <c r="B1094" i="1" s="1"/>
  <c r="C1102" i="1"/>
  <c r="B1102" i="1" s="1"/>
  <c r="C1122" i="1"/>
  <c r="B1122" i="1" s="1"/>
  <c r="C1128" i="1"/>
  <c r="B1128" i="1" s="1"/>
  <c r="I1131" i="1"/>
  <c r="H1131" i="1" s="1"/>
  <c r="C1136" i="1"/>
  <c r="B1136" i="1" s="1"/>
  <c r="G1137" i="1"/>
  <c r="F1137" i="1" s="1"/>
  <c r="I1142" i="1"/>
  <c r="H1142" i="1" s="1"/>
  <c r="E1145" i="1"/>
  <c r="D1145" i="1" s="1"/>
  <c r="G1152" i="1"/>
  <c r="F1152" i="1" s="1"/>
  <c r="I1124" i="1"/>
  <c r="H1124" i="1" s="1"/>
  <c r="I1132" i="1"/>
  <c r="H1132" i="1" s="1"/>
  <c r="E1144" i="1"/>
  <c r="D1144" i="1" s="1"/>
  <c r="I1153" i="1"/>
  <c r="H1153" i="1" s="1"/>
  <c r="G1158" i="1"/>
  <c r="F1158" i="1" s="1"/>
  <c r="I1183" i="1"/>
  <c r="H1183" i="1" s="1"/>
  <c r="C1205" i="1"/>
  <c r="B1205" i="1" s="1"/>
  <c r="G1159" i="1"/>
  <c r="F1159" i="1" s="1"/>
  <c r="E1179" i="1"/>
  <c r="D1179" i="1" s="1"/>
  <c r="I1187" i="1"/>
  <c r="H1187" i="1" s="1"/>
  <c r="C1189" i="1"/>
  <c r="B1189" i="1" s="1"/>
  <c r="G1190" i="1"/>
  <c r="F1190" i="1" s="1"/>
  <c r="E1193" i="1"/>
  <c r="D1193" i="1" s="1"/>
  <c r="I1203" i="1"/>
  <c r="H1203" i="1" s="1"/>
  <c r="G1139" i="1"/>
  <c r="F1139" i="1" s="1"/>
  <c r="G1147" i="1"/>
  <c r="F1147" i="1" s="1"/>
  <c r="I1164" i="1"/>
  <c r="H1164" i="1" s="1"/>
  <c r="E1177" i="1"/>
  <c r="D1177" i="1" s="1"/>
  <c r="G1179" i="1"/>
  <c r="F1179" i="1" s="1"/>
  <c r="I1181" i="1"/>
  <c r="H1181" i="1" s="1"/>
  <c r="I1190" i="1"/>
  <c r="H1190" i="1" s="1"/>
  <c r="G1193" i="1"/>
  <c r="F1193" i="1" s="1"/>
  <c r="G1142" i="1"/>
  <c r="F1142" i="1" s="1"/>
  <c r="G1151" i="1"/>
  <c r="F1151" i="1" s="1"/>
  <c r="G1155" i="1"/>
  <c r="F1155" i="1" s="1"/>
  <c r="G1160" i="1"/>
  <c r="F1160" i="1" s="1"/>
  <c r="E1161" i="1"/>
  <c r="D1161" i="1" s="1"/>
  <c r="G1167" i="1"/>
  <c r="F1167" i="1" s="1"/>
  <c r="E1169" i="1"/>
  <c r="D1169" i="1" s="1"/>
  <c r="G1177" i="1"/>
  <c r="F1177" i="1" s="1"/>
  <c r="I1179" i="1"/>
  <c r="H1179" i="1" s="1"/>
  <c r="E1185" i="1"/>
  <c r="D1185" i="1" s="1"/>
  <c r="G1196" i="1"/>
  <c r="F1196" i="1" s="1"/>
  <c r="E1152" i="1"/>
  <c r="D1152" i="1" s="1"/>
  <c r="G1168" i="1"/>
  <c r="F1168" i="1" s="1"/>
  <c r="G1169" i="1"/>
  <c r="F1169" i="1" s="1"/>
  <c r="E1171" i="1"/>
  <c r="D1171" i="1" s="1"/>
  <c r="G1175" i="1"/>
  <c r="F1175" i="1" s="1"/>
  <c r="I1177" i="1"/>
  <c r="H1177" i="1" s="1"/>
  <c r="G1185" i="1"/>
  <c r="F1185" i="1" s="1"/>
  <c r="E1188" i="1"/>
  <c r="D1188" i="1" s="1"/>
  <c r="C1138" i="1"/>
  <c r="B1138" i="1" s="1"/>
  <c r="I1145" i="1"/>
  <c r="H1145" i="1" s="1"/>
  <c r="C1146" i="1"/>
  <c r="B1146" i="1" s="1"/>
  <c r="G1170" i="1"/>
  <c r="F1170" i="1" s="1"/>
  <c r="G1171" i="1"/>
  <c r="F1171" i="1" s="1"/>
  <c r="I1175" i="1"/>
  <c r="H1175" i="1" s="1"/>
  <c r="G1188" i="1"/>
  <c r="F1188" i="1" s="1"/>
  <c r="C1198" i="1"/>
  <c r="B1198" i="1" s="1"/>
  <c r="I1199" i="1"/>
  <c r="H1199" i="1" s="1"/>
  <c r="E1201" i="1"/>
  <c r="D1201" i="1" s="1"/>
  <c r="G1204" i="1"/>
  <c r="F1204" i="1" s="1"/>
  <c r="C1206" i="1"/>
  <c r="B1206" i="1" s="1"/>
  <c r="I1207" i="1"/>
  <c r="H1207" i="1" s="1"/>
  <c r="E1209" i="1"/>
  <c r="D1209" i="1" s="1"/>
  <c r="I1148" i="1"/>
  <c r="H1148" i="1" s="1"/>
  <c r="E1149" i="1"/>
  <c r="D1149" i="1" s="1"/>
  <c r="E1153" i="1"/>
  <c r="D1153" i="1" s="1"/>
  <c r="I1156" i="1"/>
  <c r="H1156" i="1" s="1"/>
  <c r="G1162" i="1"/>
  <c r="F1162" i="1" s="1"/>
  <c r="E1163" i="1"/>
  <c r="D1163" i="1" s="1"/>
  <c r="I1173" i="1"/>
  <c r="H1173" i="1" s="1"/>
  <c r="G1209" i="1"/>
  <c r="F1209" i="1" s="1"/>
  <c r="C1211" i="1"/>
  <c r="B1211" i="1" s="1"/>
  <c r="G1110" i="1"/>
  <c r="F1110" i="1" s="1"/>
  <c r="G1118" i="1"/>
  <c r="F1118" i="1" s="1"/>
  <c r="G1126" i="1"/>
  <c r="F1126" i="1" s="1"/>
  <c r="G1134" i="1"/>
  <c r="F1134" i="1" s="1"/>
  <c r="E1141" i="1"/>
  <c r="D1141" i="1" s="1"/>
  <c r="C1154" i="1"/>
  <c r="B1154" i="1" s="1"/>
  <c r="G1163" i="1"/>
  <c r="F1163" i="1" s="1"/>
  <c r="G1183" i="1"/>
  <c r="F1183" i="1" s="1"/>
  <c r="G1191" i="1"/>
  <c r="F1191" i="1" s="1"/>
  <c r="I1195" i="1"/>
  <c r="H1195" i="1" s="1"/>
  <c r="C1197" i="1"/>
  <c r="B1197" i="1" s="1"/>
  <c r="I1185" i="1"/>
  <c r="H1185" i="1" s="1"/>
  <c r="C1186" i="1"/>
  <c r="B1186" i="1" s="1"/>
  <c r="I1193" i="1"/>
  <c r="H1193" i="1" s="1"/>
  <c r="C1194" i="1"/>
  <c r="B1194" i="1" s="1"/>
  <c r="I1196" i="1"/>
  <c r="H1196" i="1" s="1"/>
  <c r="E1197" i="1"/>
  <c r="D1197" i="1" s="1"/>
  <c r="I1204" i="1"/>
  <c r="H1204" i="1" s="1"/>
  <c r="E1205" i="1"/>
  <c r="D1205" i="1" s="1"/>
  <c r="C1210" i="1"/>
  <c r="B1210" i="1" s="1"/>
  <c r="G1216" i="1"/>
  <c r="F1216" i="1" s="1"/>
  <c r="E1217" i="1"/>
  <c r="D1217" i="1" s="1"/>
  <c r="E1218" i="1"/>
  <c r="D1218" i="1" s="1"/>
  <c r="E1219" i="1"/>
  <c r="D1219" i="1" s="1"/>
  <c r="E1227" i="1"/>
  <c r="D1227" i="1" s="1"/>
  <c r="G1228" i="1"/>
  <c r="F1228" i="1" s="1"/>
  <c r="E1232" i="1"/>
  <c r="D1232" i="1" s="1"/>
  <c r="E1255" i="1"/>
  <c r="D1255" i="1" s="1"/>
  <c r="E1263" i="1"/>
  <c r="D1263" i="1" s="1"/>
  <c r="C1290" i="1"/>
  <c r="B1290" i="1" s="1"/>
  <c r="I1188" i="1"/>
  <c r="H1188" i="1" s="1"/>
  <c r="C1202" i="1"/>
  <c r="B1202" i="1" s="1"/>
  <c r="I1216" i="1"/>
  <c r="H1216" i="1" s="1"/>
  <c r="I1220" i="1"/>
  <c r="H1220" i="1" s="1"/>
  <c r="E1226" i="1"/>
  <c r="D1226" i="1" s="1"/>
  <c r="I1233" i="1"/>
  <c r="H1233" i="1" s="1"/>
  <c r="G1237" i="1"/>
  <c r="F1237" i="1" s="1"/>
  <c r="I1241" i="1"/>
  <c r="H1241" i="1" s="1"/>
  <c r="E1252" i="1"/>
  <c r="D1252" i="1" s="1"/>
  <c r="E1260" i="1"/>
  <c r="D1260" i="1" s="1"/>
  <c r="C1271" i="1"/>
  <c r="B1271" i="1" s="1"/>
  <c r="C1162" i="1"/>
  <c r="B1162" i="1" s="1"/>
  <c r="C1170" i="1"/>
  <c r="B1170" i="1" s="1"/>
  <c r="C1178" i="1"/>
  <c r="B1178" i="1" s="1"/>
  <c r="E1189" i="1"/>
  <c r="D1189" i="1" s="1"/>
  <c r="I1201" i="1"/>
  <c r="H1201" i="1" s="1"/>
  <c r="I1209" i="1"/>
  <c r="H1209" i="1" s="1"/>
  <c r="E1225" i="1"/>
  <c r="D1225" i="1" s="1"/>
  <c r="E1231" i="1"/>
  <c r="D1231" i="1" s="1"/>
  <c r="I1237" i="1"/>
  <c r="H1237" i="1" s="1"/>
  <c r="C1239" i="1"/>
  <c r="B1239" i="1" s="1"/>
  <c r="I1247" i="1"/>
  <c r="H1247" i="1" s="1"/>
  <c r="E1160" i="1"/>
  <c r="D1160" i="1" s="1"/>
  <c r="E1168" i="1"/>
  <c r="D1168" i="1" s="1"/>
  <c r="E1176" i="1"/>
  <c r="D1176" i="1" s="1"/>
  <c r="E1184" i="1"/>
  <c r="D1184" i="1" s="1"/>
  <c r="E1192" i="1"/>
  <c r="D1192" i="1" s="1"/>
  <c r="G1198" i="1"/>
  <c r="F1198" i="1" s="1"/>
  <c r="G1206" i="1"/>
  <c r="F1206" i="1" s="1"/>
  <c r="G1211" i="1"/>
  <c r="F1211" i="1" s="1"/>
  <c r="C1223" i="1"/>
  <c r="B1223" i="1" s="1"/>
  <c r="E1224" i="1"/>
  <c r="D1224" i="1" s="1"/>
  <c r="E1239" i="1"/>
  <c r="D1239" i="1" s="1"/>
  <c r="E1254" i="1"/>
  <c r="D1254" i="1" s="1"/>
  <c r="E1262" i="1"/>
  <c r="D1262" i="1" s="1"/>
  <c r="G1166" i="1"/>
  <c r="F1166" i="1" s="1"/>
  <c r="G1174" i="1"/>
  <c r="F1174" i="1" s="1"/>
  <c r="G1182" i="1"/>
  <c r="F1182" i="1" s="1"/>
  <c r="I1198" i="1"/>
  <c r="H1198" i="1" s="1"/>
  <c r="I1206" i="1"/>
  <c r="H1206" i="1" s="1"/>
  <c r="G1212" i="1"/>
  <c r="F1212" i="1" s="1"/>
  <c r="E1213" i="1"/>
  <c r="D1213" i="1" s="1"/>
  <c r="E1223" i="1"/>
  <c r="D1223" i="1" s="1"/>
  <c r="I1231" i="1"/>
  <c r="H1231" i="1" s="1"/>
  <c r="C1234" i="1"/>
  <c r="B1234" i="1" s="1"/>
  <c r="C1238" i="1"/>
  <c r="B1238" i="1" s="1"/>
  <c r="G1246" i="1"/>
  <c r="F1246" i="1" s="1"/>
  <c r="G1284" i="1"/>
  <c r="F1284" i="1" s="1"/>
  <c r="I1172" i="1"/>
  <c r="H1172" i="1" s="1"/>
  <c r="I1180" i="1"/>
  <c r="H1180" i="1" s="1"/>
  <c r="G1187" i="1"/>
  <c r="F1187" i="1" s="1"/>
  <c r="G1195" i="1"/>
  <c r="F1195" i="1" s="1"/>
  <c r="G1203" i="1"/>
  <c r="F1203" i="1" s="1"/>
  <c r="I1212" i="1"/>
  <c r="H1212" i="1" s="1"/>
  <c r="E1214" i="1"/>
  <c r="D1214" i="1" s="1"/>
  <c r="C1215" i="1"/>
  <c r="B1215" i="1" s="1"/>
  <c r="C1221" i="1"/>
  <c r="B1221" i="1" s="1"/>
  <c r="E1222" i="1"/>
  <c r="D1222" i="1" s="1"/>
  <c r="I1224" i="1"/>
  <c r="H1224" i="1" s="1"/>
  <c r="E1229" i="1"/>
  <c r="D1229" i="1" s="1"/>
  <c r="G1242" i="1"/>
  <c r="F1242" i="1" s="1"/>
  <c r="E1256" i="1"/>
  <c r="D1256" i="1" s="1"/>
  <c r="E1264" i="1"/>
  <c r="D1264" i="1" s="1"/>
  <c r="E1200" i="1"/>
  <c r="D1200" i="1" s="1"/>
  <c r="E1208" i="1"/>
  <c r="D1208" i="1" s="1"/>
  <c r="G1214" i="1"/>
  <c r="F1214" i="1" s="1"/>
  <c r="E1215" i="1"/>
  <c r="D1215" i="1" s="1"/>
  <c r="E1221" i="1"/>
  <c r="D1221" i="1" s="1"/>
  <c r="G1222" i="1"/>
  <c r="F1222" i="1" s="1"/>
  <c r="G1229" i="1"/>
  <c r="F1229" i="1" s="1"/>
  <c r="G1234" i="1"/>
  <c r="F1234" i="1" s="1"/>
  <c r="G1238" i="1"/>
  <c r="F1238" i="1" s="1"/>
  <c r="G1248" i="1"/>
  <c r="F1248" i="1" s="1"/>
  <c r="E1253" i="1"/>
  <c r="D1253" i="1" s="1"/>
  <c r="E1261" i="1"/>
  <c r="D1261" i="1" s="1"/>
  <c r="G1200" i="1"/>
  <c r="F1200" i="1" s="1"/>
  <c r="G1208" i="1"/>
  <c r="F1208" i="1" s="1"/>
  <c r="I1214" i="1"/>
  <c r="H1214" i="1" s="1"/>
  <c r="E1216" i="1"/>
  <c r="D1216" i="1" s="1"/>
  <c r="C1219" i="1"/>
  <c r="B1219" i="1" s="1"/>
  <c r="I1222" i="1"/>
  <c r="H1222" i="1" s="1"/>
  <c r="C1227" i="1"/>
  <c r="B1227" i="1" s="1"/>
  <c r="C1232" i="1"/>
  <c r="B1232" i="1" s="1"/>
  <c r="E1250" i="1"/>
  <c r="D1250" i="1" s="1"/>
  <c r="E1258" i="1"/>
  <c r="D1258" i="1" s="1"/>
  <c r="E1272" i="1"/>
  <c r="D1272" i="1" s="1"/>
  <c r="G1224" i="1"/>
  <c r="F1224" i="1" s="1"/>
  <c r="E1234" i="1"/>
  <c r="D1234" i="1" s="1"/>
  <c r="E1242" i="1"/>
  <c r="D1242" i="1" s="1"/>
  <c r="I1246" i="1"/>
  <c r="H1246" i="1" s="1"/>
  <c r="E1248" i="1"/>
  <c r="D1248" i="1" s="1"/>
  <c r="C1253" i="1"/>
  <c r="B1253" i="1" s="1"/>
  <c r="C1255" i="1"/>
  <c r="B1255" i="1" s="1"/>
  <c r="C1257" i="1"/>
  <c r="B1257" i="1" s="1"/>
  <c r="C1261" i="1"/>
  <c r="B1261" i="1" s="1"/>
  <c r="C1263" i="1"/>
  <c r="B1263" i="1" s="1"/>
  <c r="G1266" i="1"/>
  <c r="F1266" i="1" s="1"/>
  <c r="I1267" i="1"/>
  <c r="H1267" i="1" s="1"/>
  <c r="C1280" i="1"/>
  <c r="B1280" i="1" s="1"/>
  <c r="I1285" i="1"/>
  <c r="H1285" i="1" s="1"/>
  <c r="C1287" i="1"/>
  <c r="B1287" i="1" s="1"/>
  <c r="E1291" i="1"/>
  <c r="D1291" i="1" s="1"/>
  <c r="E1235" i="1"/>
  <c r="D1235" i="1" s="1"/>
  <c r="I1238" i="1"/>
  <c r="H1238" i="1" s="1"/>
  <c r="E1243" i="1"/>
  <c r="D1243" i="1" s="1"/>
  <c r="G1250" i="1"/>
  <c r="F1250" i="1" s="1"/>
  <c r="G1252" i="1"/>
  <c r="F1252" i="1" s="1"/>
  <c r="G1256" i="1"/>
  <c r="F1256" i="1" s="1"/>
  <c r="G1258" i="1"/>
  <c r="F1258" i="1" s="1"/>
  <c r="G1260" i="1"/>
  <c r="F1260" i="1" s="1"/>
  <c r="G1264" i="1"/>
  <c r="F1264" i="1" s="1"/>
  <c r="G1272" i="1"/>
  <c r="F1272" i="1" s="1"/>
  <c r="E1276" i="1"/>
  <c r="D1276" i="1" s="1"/>
  <c r="I1277" i="1"/>
  <c r="H1277" i="1" s="1"/>
  <c r="G1280" i="1"/>
  <c r="F1280" i="1" s="1"/>
  <c r="I1291" i="1"/>
  <c r="H1291" i="1" s="1"/>
  <c r="I1328" i="1"/>
  <c r="H1328" i="1" s="1"/>
  <c r="E1330" i="1"/>
  <c r="D1330" i="1" s="1"/>
  <c r="C1230" i="1"/>
  <c r="B1230" i="1" s="1"/>
  <c r="G1232" i="1"/>
  <c r="F1232" i="1" s="1"/>
  <c r="C1236" i="1"/>
  <c r="B1236" i="1" s="1"/>
  <c r="C1244" i="1"/>
  <c r="B1244" i="1" s="1"/>
  <c r="I1251" i="1"/>
  <c r="H1251" i="1" s="1"/>
  <c r="I1253" i="1"/>
  <c r="H1253" i="1" s="1"/>
  <c r="I1255" i="1"/>
  <c r="H1255" i="1" s="1"/>
  <c r="I1259" i="1"/>
  <c r="H1259" i="1" s="1"/>
  <c r="I1261" i="1"/>
  <c r="H1261" i="1" s="1"/>
  <c r="I1263" i="1"/>
  <c r="H1263" i="1" s="1"/>
  <c r="C1269" i="1"/>
  <c r="B1269" i="1" s="1"/>
  <c r="E1270" i="1"/>
  <c r="D1270" i="1" s="1"/>
  <c r="G1276" i="1"/>
  <c r="F1276" i="1" s="1"/>
  <c r="C1279" i="1"/>
  <c r="B1279" i="1" s="1"/>
  <c r="I1232" i="1"/>
  <c r="H1232" i="1" s="1"/>
  <c r="I1239" i="1"/>
  <c r="H1239" i="1" s="1"/>
  <c r="C1245" i="1"/>
  <c r="B1245" i="1" s="1"/>
  <c r="I1271" i="1"/>
  <c r="H1271" i="1" s="1"/>
  <c r="I1283" i="1"/>
  <c r="H1283" i="1" s="1"/>
  <c r="C1228" i="1"/>
  <c r="B1228" i="1" s="1"/>
  <c r="C1237" i="1"/>
  <c r="B1237" i="1" s="1"/>
  <c r="G1240" i="1"/>
  <c r="F1240" i="1" s="1"/>
  <c r="C1246" i="1"/>
  <c r="B1246" i="1" s="1"/>
  <c r="E1268" i="1"/>
  <c r="D1268" i="1" s="1"/>
  <c r="G1307" i="1"/>
  <c r="F1307" i="1" s="1"/>
  <c r="C1220" i="1"/>
  <c r="B1220" i="1" s="1"/>
  <c r="I1230" i="1"/>
  <c r="H1230" i="1" s="1"/>
  <c r="I1240" i="1"/>
  <c r="H1240" i="1" s="1"/>
  <c r="C1247" i="1"/>
  <c r="B1247" i="1" s="1"/>
  <c r="G1268" i="1"/>
  <c r="F1268" i="1" s="1"/>
  <c r="I1269" i="1"/>
  <c r="H1269" i="1" s="1"/>
  <c r="E1274" i="1"/>
  <c r="D1274" i="1" s="1"/>
  <c r="I1275" i="1"/>
  <c r="H1275" i="1" s="1"/>
  <c r="E1278" i="1"/>
  <c r="D1278" i="1" s="1"/>
  <c r="I1279" i="1"/>
  <c r="H1279" i="1" s="1"/>
  <c r="C1281" i="1"/>
  <c r="B1281" i="1" s="1"/>
  <c r="G1282" i="1"/>
  <c r="F1282" i="1" s="1"/>
  <c r="C1288" i="1"/>
  <c r="B1288" i="1" s="1"/>
  <c r="C1249" i="1"/>
  <c r="B1249" i="1" s="1"/>
  <c r="C1265" i="1"/>
  <c r="B1265" i="1" s="1"/>
  <c r="E1266" i="1"/>
  <c r="D1266" i="1" s="1"/>
  <c r="C1273" i="1"/>
  <c r="B1273" i="1" s="1"/>
  <c r="G1274" i="1"/>
  <c r="F1274" i="1" s="1"/>
  <c r="C1277" i="1"/>
  <c r="B1277" i="1" s="1"/>
  <c r="E1281" i="1"/>
  <c r="D1281" i="1" s="1"/>
  <c r="I1289" i="1"/>
  <c r="H1289" i="1" s="1"/>
  <c r="G1292" i="1"/>
  <c r="F1292" i="1" s="1"/>
  <c r="I1295" i="1"/>
  <c r="H1295" i="1" s="1"/>
  <c r="E1317" i="1"/>
  <c r="D1317" i="1" s="1"/>
  <c r="G1255" i="1"/>
  <c r="F1255" i="1" s="1"/>
  <c r="G1263" i="1"/>
  <c r="F1263" i="1" s="1"/>
  <c r="G1271" i="1"/>
  <c r="F1271" i="1" s="1"/>
  <c r="G1279" i="1"/>
  <c r="F1279" i="1" s="1"/>
  <c r="C1286" i="1"/>
  <c r="B1286" i="1" s="1"/>
  <c r="I1307" i="1"/>
  <c r="H1307" i="1" s="1"/>
  <c r="G1310" i="1"/>
  <c r="F1310" i="1" s="1"/>
  <c r="E1313" i="1"/>
  <c r="D1313" i="1" s="1"/>
  <c r="I1344" i="1"/>
  <c r="H1344" i="1" s="1"/>
  <c r="G1283" i="1"/>
  <c r="F1283" i="1" s="1"/>
  <c r="C1284" i="1"/>
  <c r="B1284" i="1" s="1"/>
  <c r="I1286" i="1"/>
  <c r="H1286" i="1" s="1"/>
  <c r="G1290" i="1"/>
  <c r="F1290" i="1" s="1"/>
  <c r="G1299" i="1"/>
  <c r="F1299" i="1" s="1"/>
  <c r="I1317" i="1"/>
  <c r="H1317" i="1" s="1"/>
  <c r="E1343" i="1"/>
  <c r="D1343" i="1" s="1"/>
  <c r="I1280" i="1"/>
  <c r="H1280" i="1" s="1"/>
  <c r="E1284" i="1"/>
  <c r="D1284" i="1" s="1"/>
  <c r="C1296" i="1"/>
  <c r="B1296" i="1" s="1"/>
  <c r="E1297" i="1"/>
  <c r="D1297" i="1" s="1"/>
  <c r="I1299" i="1"/>
  <c r="H1299" i="1" s="1"/>
  <c r="G1302" i="1"/>
  <c r="F1302" i="1" s="1"/>
  <c r="E1305" i="1"/>
  <c r="D1305" i="1" s="1"/>
  <c r="C1308" i="1"/>
  <c r="B1308" i="1" s="1"/>
  <c r="G1309" i="1"/>
  <c r="F1309" i="1" s="1"/>
  <c r="C1312" i="1"/>
  <c r="B1312" i="1" s="1"/>
  <c r="I1313" i="1"/>
  <c r="H1313" i="1" s="1"/>
  <c r="G1332" i="1"/>
  <c r="F1332" i="1" s="1"/>
  <c r="G1291" i="1"/>
  <c r="F1291" i="1" s="1"/>
  <c r="C1292" i="1"/>
  <c r="B1292" i="1" s="1"/>
  <c r="E1296" i="1"/>
  <c r="D1296" i="1" s="1"/>
  <c r="E1312" i="1"/>
  <c r="D1312" i="1" s="1"/>
  <c r="I1320" i="1"/>
  <c r="H1320" i="1" s="1"/>
  <c r="E1326" i="1"/>
  <c r="D1326" i="1" s="1"/>
  <c r="C1251" i="1"/>
  <c r="B1251" i="1" s="1"/>
  <c r="C1259" i="1"/>
  <c r="B1259" i="1" s="1"/>
  <c r="C1267" i="1"/>
  <c r="B1267" i="1" s="1"/>
  <c r="C1275" i="1"/>
  <c r="B1275" i="1" s="1"/>
  <c r="G1288" i="1"/>
  <c r="F1288" i="1" s="1"/>
  <c r="E1292" i="1"/>
  <c r="D1292" i="1" s="1"/>
  <c r="I1297" i="1"/>
  <c r="H1297" i="1" s="1"/>
  <c r="C1300" i="1"/>
  <c r="B1300" i="1" s="1"/>
  <c r="G1301" i="1"/>
  <c r="F1301" i="1" s="1"/>
  <c r="C1304" i="1"/>
  <c r="B1304" i="1" s="1"/>
  <c r="I1305" i="1"/>
  <c r="H1305" i="1" s="1"/>
  <c r="E1315" i="1"/>
  <c r="D1315" i="1" s="1"/>
  <c r="C1339" i="1"/>
  <c r="B1339" i="1" s="1"/>
  <c r="E1249" i="1"/>
  <c r="D1249" i="1" s="1"/>
  <c r="E1257" i="1"/>
  <c r="D1257" i="1" s="1"/>
  <c r="E1265" i="1"/>
  <c r="D1265" i="1" s="1"/>
  <c r="E1273" i="1"/>
  <c r="D1273" i="1" s="1"/>
  <c r="I1288" i="1"/>
  <c r="H1288" i="1" s="1"/>
  <c r="G1293" i="1"/>
  <c r="F1293" i="1" s="1"/>
  <c r="E1304" i="1"/>
  <c r="D1304" i="1" s="1"/>
  <c r="I1334" i="1"/>
  <c r="H1334" i="1" s="1"/>
  <c r="I1296" i="1"/>
  <c r="H1296" i="1" s="1"/>
  <c r="I1304" i="1"/>
  <c r="H1304" i="1" s="1"/>
  <c r="I1312" i="1"/>
  <c r="H1312" i="1" s="1"/>
  <c r="G1316" i="1"/>
  <c r="F1316" i="1" s="1"/>
  <c r="E1321" i="1"/>
  <c r="D1321" i="1" s="1"/>
  <c r="I1326" i="1"/>
  <c r="H1326" i="1" s="1"/>
  <c r="I1336" i="1"/>
  <c r="H1336" i="1" s="1"/>
  <c r="C1340" i="1"/>
  <c r="B1340" i="1" s="1"/>
  <c r="C1343" i="1"/>
  <c r="B1343" i="1" s="1"/>
  <c r="I1350" i="1"/>
  <c r="H1350" i="1" s="1"/>
  <c r="G1355" i="1"/>
  <c r="F1355" i="1" s="1"/>
  <c r="G1363" i="1"/>
  <c r="F1363" i="1" s="1"/>
  <c r="I1294" i="1"/>
  <c r="H1294" i="1" s="1"/>
  <c r="E1300" i="1"/>
  <c r="D1300" i="1" s="1"/>
  <c r="I1302" i="1"/>
  <c r="H1302" i="1" s="1"/>
  <c r="E1308" i="1"/>
  <c r="D1308" i="1" s="1"/>
  <c r="I1310" i="1"/>
  <c r="H1310" i="1" s="1"/>
  <c r="C1318" i="1"/>
  <c r="B1318" i="1" s="1"/>
  <c r="C1323" i="1"/>
  <c r="B1323" i="1" s="1"/>
  <c r="I1330" i="1"/>
  <c r="H1330" i="1" s="1"/>
  <c r="I1332" i="1"/>
  <c r="H1332" i="1" s="1"/>
  <c r="G1340" i="1"/>
  <c r="F1340" i="1" s="1"/>
  <c r="G1349" i="1"/>
  <c r="F1349" i="1" s="1"/>
  <c r="G1357" i="1"/>
  <c r="F1357" i="1" s="1"/>
  <c r="G1365" i="1"/>
  <c r="F1365" i="1" s="1"/>
  <c r="E1314" i="1"/>
  <c r="D1314" i="1" s="1"/>
  <c r="E1323" i="1"/>
  <c r="D1323" i="1" s="1"/>
  <c r="I1340" i="1"/>
  <c r="H1340" i="1" s="1"/>
  <c r="C1342" i="1"/>
  <c r="B1342" i="1" s="1"/>
  <c r="C1345" i="1"/>
  <c r="B1345" i="1" s="1"/>
  <c r="C1348" i="1"/>
  <c r="B1348" i="1" s="1"/>
  <c r="E1290" i="1"/>
  <c r="D1290" i="1" s="1"/>
  <c r="E1298" i="1"/>
  <c r="D1298" i="1" s="1"/>
  <c r="E1306" i="1"/>
  <c r="D1306" i="1" s="1"/>
  <c r="G1314" i="1"/>
  <c r="F1314" i="1" s="1"/>
  <c r="C1325" i="1"/>
  <c r="B1325" i="1" s="1"/>
  <c r="C1337" i="1"/>
  <c r="B1337" i="1" s="1"/>
  <c r="E1345" i="1"/>
  <c r="D1345" i="1" s="1"/>
  <c r="I1346" i="1"/>
  <c r="H1346" i="1" s="1"/>
  <c r="G1351" i="1"/>
  <c r="F1351" i="1" s="1"/>
  <c r="I1354" i="1"/>
  <c r="H1354" i="1" s="1"/>
  <c r="G1298" i="1"/>
  <c r="F1298" i="1" s="1"/>
  <c r="G1306" i="1"/>
  <c r="F1306" i="1" s="1"/>
  <c r="I1318" i="1"/>
  <c r="H1318" i="1" s="1"/>
  <c r="C1327" i="1"/>
  <c r="B1327" i="1" s="1"/>
  <c r="C1335" i="1"/>
  <c r="B1335" i="1" s="1"/>
  <c r="C1336" i="1"/>
  <c r="B1336" i="1" s="1"/>
  <c r="E1337" i="1"/>
  <c r="D1337" i="1" s="1"/>
  <c r="C1341" i="1"/>
  <c r="B1341" i="1" s="1"/>
  <c r="G1348" i="1"/>
  <c r="F1348" i="1" s="1"/>
  <c r="E1361" i="1"/>
  <c r="D1361" i="1" s="1"/>
  <c r="C1316" i="1"/>
  <c r="B1316" i="1" s="1"/>
  <c r="G1324" i="1"/>
  <c r="F1324" i="1" s="1"/>
  <c r="E1327" i="1"/>
  <c r="D1327" i="1" s="1"/>
  <c r="C1329" i="1"/>
  <c r="B1329" i="1" s="1"/>
  <c r="C1333" i="1"/>
  <c r="B1333" i="1" s="1"/>
  <c r="C1334" i="1"/>
  <c r="B1334" i="1" s="1"/>
  <c r="E1335" i="1"/>
  <c r="D1335" i="1" s="1"/>
  <c r="I1338" i="1"/>
  <c r="H1338" i="1" s="1"/>
  <c r="I1342" i="1"/>
  <c r="H1342" i="1" s="1"/>
  <c r="C1344" i="1"/>
  <c r="B1344" i="1" s="1"/>
  <c r="C1347" i="1"/>
  <c r="B1347" i="1" s="1"/>
  <c r="I1348" i="1"/>
  <c r="H1348" i="1" s="1"/>
  <c r="C1294" i="1"/>
  <c r="B1294" i="1" s="1"/>
  <c r="G1296" i="1"/>
  <c r="F1296" i="1" s="1"/>
  <c r="C1302" i="1"/>
  <c r="B1302" i="1" s="1"/>
  <c r="G1304" i="1"/>
  <c r="F1304" i="1" s="1"/>
  <c r="C1310" i="1"/>
  <c r="B1310" i="1" s="1"/>
  <c r="G1312" i="1"/>
  <c r="F1312" i="1" s="1"/>
  <c r="E1316" i="1"/>
  <c r="D1316" i="1" s="1"/>
  <c r="C1321" i="1"/>
  <c r="B1321" i="1" s="1"/>
  <c r="E1329" i="1"/>
  <c r="D1329" i="1" s="1"/>
  <c r="C1331" i="1"/>
  <c r="B1331" i="1" s="1"/>
  <c r="C1352" i="1"/>
  <c r="B1352" i="1" s="1"/>
  <c r="I1353" i="1"/>
  <c r="H1353" i="1" s="1"/>
  <c r="E1358" i="1"/>
  <c r="D1358" i="1" s="1"/>
  <c r="E1363" i="1"/>
  <c r="D1363" i="1" s="1"/>
  <c r="C1364" i="1"/>
  <c r="B1364" i="1" s="1"/>
  <c r="I1367" i="1"/>
  <c r="H1367" i="1" s="1"/>
  <c r="I1370" i="1"/>
  <c r="H1370" i="1" s="1"/>
  <c r="G1372" i="1"/>
  <c r="F1372" i="1" s="1"/>
  <c r="G1375" i="1"/>
  <c r="F1375" i="1" s="1"/>
  <c r="C1377" i="1"/>
  <c r="B1377" i="1" s="1"/>
  <c r="C1351" i="1"/>
  <c r="B1351" i="1" s="1"/>
  <c r="G1353" i="1"/>
  <c r="F1353" i="1" s="1"/>
  <c r="I1357" i="1"/>
  <c r="H1357" i="1" s="1"/>
  <c r="E1364" i="1"/>
  <c r="D1364" i="1" s="1"/>
  <c r="I1369" i="1"/>
  <c r="H1369" i="1" s="1"/>
  <c r="I1372" i="1"/>
  <c r="H1372" i="1" s="1"/>
  <c r="C1380" i="1"/>
  <c r="B1380" i="1" s="1"/>
  <c r="C1360" i="1"/>
  <c r="B1360" i="1" s="1"/>
  <c r="E1380" i="1"/>
  <c r="D1380" i="1" s="1"/>
  <c r="C1349" i="1"/>
  <c r="B1349" i="1" s="1"/>
  <c r="G1359" i="1"/>
  <c r="F1359" i="1" s="1"/>
  <c r="E1360" i="1"/>
  <c r="D1360" i="1" s="1"/>
  <c r="C1366" i="1"/>
  <c r="B1366" i="1" s="1"/>
  <c r="C1376" i="1"/>
  <c r="B1376" i="1" s="1"/>
  <c r="G1380" i="1"/>
  <c r="F1380" i="1" s="1"/>
  <c r="E1383" i="1"/>
  <c r="D1383" i="1" s="1"/>
  <c r="I1351" i="1"/>
  <c r="H1351" i="1" s="1"/>
  <c r="E1355" i="1"/>
  <c r="D1355" i="1" s="1"/>
  <c r="C1356" i="1"/>
  <c r="B1356" i="1" s="1"/>
  <c r="I1359" i="1"/>
  <c r="H1359" i="1" s="1"/>
  <c r="E1366" i="1"/>
  <c r="D1366" i="1" s="1"/>
  <c r="G1383" i="1"/>
  <c r="F1383" i="1" s="1"/>
  <c r="C1385" i="1"/>
  <c r="B1385" i="1" s="1"/>
  <c r="E1388" i="1"/>
  <c r="D1388" i="1" s="1"/>
  <c r="E1396" i="1"/>
  <c r="D1396" i="1" s="1"/>
  <c r="E1412" i="1"/>
  <c r="D1412" i="1" s="1"/>
  <c r="E1420" i="1"/>
  <c r="D1420" i="1" s="1"/>
  <c r="E1331" i="1"/>
  <c r="D1331" i="1" s="1"/>
  <c r="E1339" i="1"/>
  <c r="D1339" i="1" s="1"/>
  <c r="E1347" i="1"/>
  <c r="D1347" i="1" s="1"/>
  <c r="E1356" i="1"/>
  <c r="D1356" i="1" s="1"/>
  <c r="I1365" i="1"/>
  <c r="H1365" i="1" s="1"/>
  <c r="C1368" i="1"/>
  <c r="B1368" i="1" s="1"/>
  <c r="C1371" i="1"/>
  <c r="B1371" i="1" s="1"/>
  <c r="C1390" i="1"/>
  <c r="B1390" i="1" s="1"/>
  <c r="C1398" i="1"/>
  <c r="B1398" i="1" s="1"/>
  <c r="G1321" i="1"/>
  <c r="F1321" i="1" s="1"/>
  <c r="G1329" i="1"/>
  <c r="F1329" i="1" s="1"/>
  <c r="G1337" i="1"/>
  <c r="F1337" i="1" s="1"/>
  <c r="G1345" i="1"/>
  <c r="F1345" i="1" s="1"/>
  <c r="G1361" i="1"/>
  <c r="F1361" i="1" s="1"/>
  <c r="E1362" i="1"/>
  <c r="D1362" i="1" s="1"/>
  <c r="E1370" i="1"/>
  <c r="D1370" i="1" s="1"/>
  <c r="I1327" i="1"/>
  <c r="H1327" i="1" s="1"/>
  <c r="I1335" i="1"/>
  <c r="H1335" i="1" s="1"/>
  <c r="I1343" i="1"/>
  <c r="H1343" i="1" s="1"/>
  <c r="C1358" i="1"/>
  <c r="B1358" i="1" s="1"/>
  <c r="I1361" i="1"/>
  <c r="H1361" i="1" s="1"/>
  <c r="G1367" i="1"/>
  <c r="F1367" i="1" s="1"/>
  <c r="G1370" i="1"/>
  <c r="F1370" i="1" s="1"/>
  <c r="G1373" i="1"/>
  <c r="F1373" i="1" s="1"/>
  <c r="E1375" i="1"/>
  <c r="D1375" i="1" s="1"/>
  <c r="I1375" i="1"/>
  <c r="H1375" i="1" s="1"/>
  <c r="I1383" i="1"/>
  <c r="H1383" i="1" s="1"/>
  <c r="I1388" i="1"/>
  <c r="H1388" i="1" s="1"/>
  <c r="E1390" i="1"/>
  <c r="D1390" i="1" s="1"/>
  <c r="I1396" i="1"/>
  <c r="H1396" i="1" s="1"/>
  <c r="E1398" i="1"/>
  <c r="D1398" i="1" s="1"/>
  <c r="C1409" i="1"/>
  <c r="B1409" i="1" s="1"/>
  <c r="I1412" i="1"/>
  <c r="H1412" i="1" s="1"/>
  <c r="C1417" i="1"/>
  <c r="B1417" i="1" s="1"/>
  <c r="I1420" i="1"/>
  <c r="H1420" i="1" s="1"/>
  <c r="C1423" i="1"/>
  <c r="B1423" i="1" s="1"/>
  <c r="C1427" i="1"/>
  <c r="B1427" i="1" s="1"/>
  <c r="G1428" i="1"/>
  <c r="F1428" i="1" s="1"/>
  <c r="C1431" i="1"/>
  <c r="B1431" i="1" s="1"/>
  <c r="G1390" i="1"/>
  <c r="F1390" i="1" s="1"/>
  <c r="C1392" i="1"/>
  <c r="B1392" i="1" s="1"/>
  <c r="G1398" i="1"/>
  <c r="F1398" i="1" s="1"/>
  <c r="C1400" i="1"/>
  <c r="B1400" i="1" s="1"/>
  <c r="C1408" i="1"/>
  <c r="B1408" i="1" s="1"/>
  <c r="C1416" i="1"/>
  <c r="B1416" i="1" s="1"/>
  <c r="E1427" i="1"/>
  <c r="D1427" i="1" s="1"/>
  <c r="I1428" i="1"/>
  <c r="H1428" i="1" s="1"/>
  <c r="E1371" i="1"/>
  <c r="D1371" i="1" s="1"/>
  <c r="I1380" i="1"/>
  <c r="H1380" i="1" s="1"/>
  <c r="G1409" i="1"/>
  <c r="F1409" i="1" s="1"/>
  <c r="I1410" i="1"/>
  <c r="H1410" i="1" s="1"/>
  <c r="G1417" i="1"/>
  <c r="F1417" i="1" s="1"/>
  <c r="I1418" i="1"/>
  <c r="H1418" i="1" s="1"/>
  <c r="G1423" i="1"/>
  <c r="F1423" i="1" s="1"/>
  <c r="G1431" i="1"/>
  <c r="F1431" i="1" s="1"/>
  <c r="E1374" i="1"/>
  <c r="D1374" i="1" s="1"/>
  <c r="G1377" i="1"/>
  <c r="F1377" i="1" s="1"/>
  <c r="G1385" i="1"/>
  <c r="F1385" i="1" s="1"/>
  <c r="I1391" i="1"/>
  <c r="H1391" i="1" s="1"/>
  <c r="I1399" i="1"/>
  <c r="H1399" i="1" s="1"/>
  <c r="I1409" i="1"/>
  <c r="H1409" i="1" s="1"/>
  <c r="I1417" i="1"/>
  <c r="H1417" i="1" s="1"/>
  <c r="E1422" i="1"/>
  <c r="D1422" i="1" s="1"/>
  <c r="I1423" i="1"/>
  <c r="H1423" i="1" s="1"/>
  <c r="E1430" i="1"/>
  <c r="D1430" i="1" s="1"/>
  <c r="I1431" i="1"/>
  <c r="H1431" i="1" s="1"/>
  <c r="C1357" i="1"/>
  <c r="B1357" i="1" s="1"/>
  <c r="C1365" i="1"/>
  <c r="B1365" i="1" s="1"/>
  <c r="E1382" i="1"/>
  <c r="D1382" i="1" s="1"/>
  <c r="G1393" i="1"/>
  <c r="F1393" i="1" s="1"/>
  <c r="G1401" i="1"/>
  <c r="F1401" i="1" s="1"/>
  <c r="E1403" i="1"/>
  <c r="D1403" i="1" s="1"/>
  <c r="E1406" i="1"/>
  <c r="D1406" i="1" s="1"/>
  <c r="G1407" i="1"/>
  <c r="F1407" i="1" s="1"/>
  <c r="E1414" i="1"/>
  <c r="D1414" i="1" s="1"/>
  <c r="G1415" i="1"/>
  <c r="F1415" i="1" s="1"/>
  <c r="G1422" i="1"/>
  <c r="F1422" i="1" s="1"/>
  <c r="C1425" i="1"/>
  <c r="B1425" i="1" s="1"/>
  <c r="G1430" i="1"/>
  <c r="F1430" i="1" s="1"/>
  <c r="C1433" i="1"/>
  <c r="B1433" i="1" s="1"/>
  <c r="G1369" i="1"/>
  <c r="F1369" i="1" s="1"/>
  <c r="G1382" i="1"/>
  <c r="F1382" i="1" s="1"/>
  <c r="E1387" i="1"/>
  <c r="D1387" i="1" s="1"/>
  <c r="I1393" i="1"/>
  <c r="H1393" i="1" s="1"/>
  <c r="E1395" i="1"/>
  <c r="D1395" i="1" s="1"/>
  <c r="I1401" i="1"/>
  <c r="H1401" i="1" s="1"/>
  <c r="G1404" i="1"/>
  <c r="F1404" i="1" s="1"/>
  <c r="G1406" i="1"/>
  <c r="F1406" i="1" s="1"/>
  <c r="I1407" i="1"/>
  <c r="H1407" i="1" s="1"/>
  <c r="G1414" i="1"/>
  <c r="F1414" i="1" s="1"/>
  <c r="I1415" i="1"/>
  <c r="H1415" i="1" s="1"/>
  <c r="I1426" i="1"/>
  <c r="H1426" i="1" s="1"/>
  <c r="I1378" i="1"/>
  <c r="H1378" i="1" s="1"/>
  <c r="E1379" i="1"/>
  <c r="D1379" i="1" s="1"/>
  <c r="I1386" i="1"/>
  <c r="H1386" i="1" s="1"/>
  <c r="I1394" i="1"/>
  <c r="H1394" i="1" s="1"/>
  <c r="I1402" i="1"/>
  <c r="H1402" i="1" s="1"/>
  <c r="I1404" i="1"/>
  <c r="H1404" i="1" s="1"/>
  <c r="C1411" i="1"/>
  <c r="B1411" i="1" s="1"/>
  <c r="C1419" i="1"/>
  <c r="B1419" i="1" s="1"/>
  <c r="C1424" i="1"/>
  <c r="B1424" i="1" s="1"/>
  <c r="G1425" i="1"/>
  <c r="F1425" i="1" s="1"/>
  <c r="C1432" i="1"/>
  <c r="B1432" i="1" s="1"/>
  <c r="G1433" i="1"/>
  <c r="F1433" i="1" s="1"/>
  <c r="C1435" i="1"/>
  <c r="B1435" i="1" s="1"/>
  <c r="I1436" i="1"/>
  <c r="H1436" i="1" s="1"/>
  <c r="C1384" i="1"/>
  <c r="B1384" i="1" s="1"/>
  <c r="G1388" i="1"/>
  <c r="F1388" i="1" s="1"/>
  <c r="G1396" i="1"/>
  <c r="F1396" i="1" s="1"/>
  <c r="E1411" i="1"/>
  <c r="D1411" i="1" s="1"/>
  <c r="G1412" i="1"/>
  <c r="F1412" i="1" s="1"/>
  <c r="E1419" i="1"/>
  <c r="D1419" i="1" s="1"/>
  <c r="G1420" i="1"/>
  <c r="F1420" i="1" s="1"/>
  <c r="I1425" i="1"/>
  <c r="H1425" i="1" s="1"/>
  <c r="E1428" i="1"/>
  <c r="D1428" i="1" s="1"/>
  <c r="I1433" i="1"/>
  <c r="H1433" i="1" s="1"/>
  <c r="E1435" i="1"/>
  <c r="D1435" i="1" s="1"/>
</calcChain>
</file>

<file path=xl/sharedStrings.xml><?xml version="1.0" encoding="utf-8"?>
<sst xmlns="http://schemas.openxmlformats.org/spreadsheetml/2006/main" count="2999" uniqueCount="869">
  <si>
    <t>TIPO</t>
  </si>
  <si>
    <t>CONCAT RANKING PRODUÇÃO</t>
  </si>
  <si>
    <t>RANKING PRODUÇÃO</t>
  </si>
  <si>
    <t>CONCAT RANKING HORAS 70% SEMANA</t>
  </si>
  <si>
    <t>RANKING HORAS 70% SEMANA</t>
  </si>
  <si>
    <t>CONCAT RANKING HORAS 70% SÁBADO</t>
  </si>
  <si>
    <t>RANKING HORAS 70% SÁBADO</t>
  </si>
  <si>
    <t>CONCAT RANKING HORAS 100%</t>
  </si>
  <si>
    <t>Hora Extra 100%</t>
  </si>
  <si>
    <t>Nome da Empresa</t>
  </si>
  <si>
    <t>Nome do Funcionário</t>
  </si>
  <si>
    <t>Função</t>
  </si>
  <si>
    <t>Departamento</t>
  </si>
  <si>
    <t>Remuneração Líquida Folha</t>
  </si>
  <si>
    <t>Salário Base</t>
  </si>
  <si>
    <t>Admissão</t>
  </si>
  <si>
    <t>Demissão</t>
  </si>
  <si>
    <t>(Qtde): Salário Base</t>
  </si>
  <si>
    <t>Dias De Atestado</t>
  </si>
  <si>
    <t>(Qtde): Dias De Atestado</t>
  </si>
  <si>
    <t>Gratificação</t>
  </si>
  <si>
    <t>Adicional noturno 20%</t>
  </si>
  <si>
    <t>(Qtde): Adicional noturno 20%</t>
  </si>
  <si>
    <t>Dev.desc.indevido</t>
  </si>
  <si>
    <t>Salário Substituiçã</t>
  </si>
  <si>
    <t>Reflexo S/ He Produção</t>
  </si>
  <si>
    <t>Hora Extra 70% - Sabado</t>
  </si>
  <si>
    <t>(Qtde): Hora Extra 70% - Sabado</t>
  </si>
  <si>
    <t>Hora Extra 70% - Semana</t>
  </si>
  <si>
    <t>(Qtde): Hora Extra 70% - Semana</t>
  </si>
  <si>
    <t>Diferença de INSS Férias</t>
  </si>
  <si>
    <t>Diferença INSS Férias (esocial)</t>
  </si>
  <si>
    <t>Adicional H.e S/ Producao 70%</t>
  </si>
  <si>
    <t>(Qtde): Adicional H.e S/ Producao 70%</t>
  </si>
  <si>
    <t>PRODUÇÃO</t>
  </si>
  <si>
    <t>REFLEXO S PRODUÇÃO</t>
  </si>
  <si>
    <t>Atrasos</t>
  </si>
  <si>
    <t>(Qtde): Atrasos</t>
  </si>
  <si>
    <t>Faltas em Dias</t>
  </si>
  <si>
    <t>(Qtde): Faltas em Dias</t>
  </si>
  <si>
    <t>(Qtde): Hora Extra 100%</t>
  </si>
  <si>
    <t>Repouso Remunerado</t>
  </si>
  <si>
    <t>Adiantamento</t>
  </si>
  <si>
    <t>Dsr sobre falta</t>
  </si>
  <si>
    <t>(Qtde): Dsr sobre falta</t>
  </si>
  <si>
    <t>HORAS 70% SEMANA</t>
  </si>
  <si>
    <t>HORAS 70% SABADO</t>
  </si>
  <si>
    <t xml:space="preserve">HORAS 100% </t>
  </si>
  <si>
    <t>RIO AVE 200 SPE LTDA.</t>
  </si>
  <si>
    <t>ABELARDO DOS SANTOS BARBOSA GOMES</t>
  </si>
  <si>
    <t>Encarregado de Armacao</t>
  </si>
  <si>
    <t>ADM</t>
  </si>
  <si>
    <t>RESERVA DO PAIVA SPE 03 LTDA</t>
  </si>
  <si>
    <t>ABIJOAN MIGUEL DA SILVA SOUZA</t>
  </si>
  <si>
    <t>Servente de Obras</t>
  </si>
  <si>
    <t>OBRA</t>
  </si>
  <si>
    <t>ABRAAO JOSE GOMES</t>
  </si>
  <si>
    <t>CONDOMINIO DO EDIFICIO EMPRESARIAL MARIE CURIE</t>
  </si>
  <si>
    <t>ABRAAO SOUZA DA SILVA</t>
  </si>
  <si>
    <t>Armador de Estrutura de Concreto</t>
  </si>
  <si>
    <t>CONDOMINIO MARIE OBRA</t>
  </si>
  <si>
    <t>RIO AVE CARNEIROS 01 SPE LTDA.</t>
  </si>
  <si>
    <t>ABSOLON PAULO SILVA DE ARAUJO</t>
  </si>
  <si>
    <t>Pedreiro</t>
  </si>
  <si>
    <t>ADAILTON JOSE DA SILVA</t>
  </si>
  <si>
    <t>ADALBERTO ALVES DA SILVA</t>
  </si>
  <si>
    <t>Carpinteiro de Obras</t>
  </si>
  <si>
    <t>ADEILDO GOMES BARBOSA</t>
  </si>
  <si>
    <t>RESERVA DO PAIVA SPE 01 LTDA.</t>
  </si>
  <si>
    <t>ADEILDO MAXIMILIANO DA SILVA</t>
  </si>
  <si>
    <t>ADELMO BARROS DE ARAUJO</t>
  </si>
  <si>
    <t>Auxiliar de Eletricista</t>
  </si>
  <si>
    <t>ADIEL JOSE XAVIER DE LIMA</t>
  </si>
  <si>
    <t>ADIMARIO FLORENTINO PESSOA</t>
  </si>
  <si>
    <t>ADINALDO JOSE DA SILVA</t>
  </si>
  <si>
    <t>ADRIANO CARLOS DIAS</t>
  </si>
  <si>
    <t xml:space="preserve">ADRIANO CAVALCANTI MEDEIROS DE FRANÇA </t>
  </si>
  <si>
    <t>ADRIANO DA ROCHA</t>
  </si>
  <si>
    <t>ADRIANO DE SALES PEREIRA</t>
  </si>
  <si>
    <t xml:space="preserve">ADRIANO FRANCISCO DOS SANTOS </t>
  </si>
  <si>
    <t>RIO AVE PRAIA HOTEL SPE LTDA.</t>
  </si>
  <si>
    <t>ADRIANO PEREIRA DE LIMA</t>
  </si>
  <si>
    <t>Tomador</t>
  </si>
  <si>
    <t>ADRIANO QUEIROZ BEZERRA</t>
  </si>
  <si>
    <t>Encarregado de Obra</t>
  </si>
  <si>
    <t>GERAL</t>
  </si>
  <si>
    <t>ALAN LEANDRO GOMES</t>
  </si>
  <si>
    <t>Encanador</t>
  </si>
  <si>
    <t>ALBERT HASSLER SILVA DA MOTA</t>
  </si>
  <si>
    <t>Estagiario Engenharia Civil</t>
  </si>
  <si>
    <t xml:space="preserve">ALCIR JOSE ALVES DE OLIVEIRA </t>
  </si>
  <si>
    <t>ALDECIR COSTA DO NASCIMENTO</t>
  </si>
  <si>
    <t>Pintor</t>
  </si>
  <si>
    <t>ALDEMIR FLORENTINO PESSOA</t>
  </si>
  <si>
    <t>ALECSANDRO FRANCISCO ALVES</t>
  </si>
  <si>
    <t>ALEX ALBUQUERQUE DE MELO</t>
  </si>
  <si>
    <t>ENCARREGADO ELETRICISTA</t>
  </si>
  <si>
    <t>ALEX FAUSTINO DA SILVA</t>
  </si>
  <si>
    <t>ALEX FERREIRA DA SILVA</t>
  </si>
  <si>
    <t>ALEXANDRE BARBOSA DE MELO</t>
  </si>
  <si>
    <t>ALEXANDRE BIBIANO ALVES</t>
  </si>
  <si>
    <t>Operador de betoneira</t>
  </si>
  <si>
    <t>RIO AVE 130 SPE LTDA</t>
  </si>
  <si>
    <t>ALEXANDRE JOSE DOS SANTOS</t>
  </si>
  <si>
    <t>ALEXANDRE MAGNO CAVALCANTE</t>
  </si>
  <si>
    <t>ALEXANDRE VICENTE DE ARAUJO</t>
  </si>
  <si>
    <t>ALEXSANDRO FAUSTINO SOARES</t>
  </si>
  <si>
    <t>ALICE VITORIA INACIO VENANCIO</t>
  </si>
  <si>
    <t>Assistente de DP</t>
  </si>
  <si>
    <t xml:space="preserve">ALINDOALDO ALVES DA SILVA </t>
  </si>
  <si>
    <t>ALISSON DA SILVA VIEIRA</t>
  </si>
  <si>
    <t>ALISSON FERNANDES DA SILVA</t>
  </si>
  <si>
    <t>ALMIR ALVES DA SILVA</t>
  </si>
  <si>
    <t xml:space="preserve">ALUISIO FORTUNATO ALVES </t>
  </si>
  <si>
    <t>AUXILIAR DE ELETRICISTA</t>
  </si>
  <si>
    <t>ALYA SUSAN ALVES FERREIRA DOS SANTOS</t>
  </si>
  <si>
    <t>Aprendiz Administrativo</t>
  </si>
  <si>
    <t>AMANDA GABRIELLA VIEIRAS SOARES</t>
  </si>
  <si>
    <t>AMARO JOSE DA SILVA</t>
  </si>
  <si>
    <t>AMARO MARCOS DA SILVA</t>
  </si>
  <si>
    <t>AMARO OTAVIO DA CONCEICAO SILVA</t>
  </si>
  <si>
    <t xml:space="preserve">AMARO RUFINO BARBOSA </t>
  </si>
  <si>
    <t>AMARO SEBASTIAO DO NASCIMENTO</t>
  </si>
  <si>
    <t>AMAURY PEDRO DA SILVA</t>
  </si>
  <si>
    <t>RIO AVE SUBHOLDING INCORPORACAO LTDA</t>
  </si>
  <si>
    <t>ANA KARULINA GOMES DA SILVA FERREIRA</t>
  </si>
  <si>
    <t>Coordenador de Seguranca do Trabalho</t>
  </si>
  <si>
    <t>ENGENHARIA HOUSE</t>
  </si>
  <si>
    <t>ANA MARIA DA CONCEICAO DO NASCIMENTO</t>
  </si>
  <si>
    <t>ANA PAULA MENDES DA SILVA</t>
  </si>
  <si>
    <t>ANDERSON CARLOS DA SILVA COUTO</t>
  </si>
  <si>
    <t>Eletricista</t>
  </si>
  <si>
    <t>ANDERSON DOS SANTOS LEAO</t>
  </si>
  <si>
    <t>ANDERSON WANDERLEY OLIVEIRA DE LIMA</t>
  </si>
  <si>
    <t>Almoxarife</t>
  </si>
  <si>
    <t>ANDRE CARLOS DA SILVA</t>
  </si>
  <si>
    <t xml:space="preserve">ANDRE PEDRO SILVA </t>
  </si>
  <si>
    <t>PINTOR</t>
  </si>
  <si>
    <t>ANDRE RAMOS DA SILVA</t>
  </si>
  <si>
    <t>ANDRECIO ANTONIO DE LIMA</t>
  </si>
  <si>
    <t>ANDRESSA CASSIA SALES COSTA BELEM</t>
  </si>
  <si>
    <t>Tecnico em Seguranca do Trabalho</t>
  </si>
  <si>
    <t>ANDREYNA DEYVINA FERREIRA COSTA</t>
  </si>
  <si>
    <t>ANTONIO ALVES DA SILVA NETO</t>
  </si>
  <si>
    <t>ANTONIO AMARO LINO</t>
  </si>
  <si>
    <t>ANTONIO ELEOTERIO DA SILVA</t>
  </si>
  <si>
    <t>ANTONIO ERNESTO DE LIMA MARINHO</t>
  </si>
  <si>
    <t>ANTONIO JOSE DA SILVA FILHO</t>
  </si>
  <si>
    <t>ANTONIO JOSE DO NASCIMENTO</t>
  </si>
  <si>
    <t>Auxiliar de Encanador</t>
  </si>
  <si>
    <t>ANTONIO RIBEIRO GONCALVES</t>
  </si>
  <si>
    <t>ARCELAN RODRIGUES LIRA JUNIOR</t>
  </si>
  <si>
    <t>ARLINDO JOSE DOS SANTOS</t>
  </si>
  <si>
    <t>Marceneiro</t>
  </si>
  <si>
    <t xml:space="preserve">ARLINDO JOSE DOS SANTOS </t>
  </si>
  <si>
    <t xml:space="preserve">ARTHUR ALVES DE BARROS SILVA </t>
  </si>
  <si>
    <t>ASAFE BERGOME GOMES DA SILVA</t>
  </si>
  <si>
    <t>AULYDON ALVES DE CASTRO LOPES</t>
  </si>
  <si>
    <t>AVENIL ANTONIO DA SILVA</t>
  </si>
  <si>
    <t>BENEDITO EDUARDO DA SILVA</t>
  </si>
  <si>
    <t>Mestre de Obra II</t>
  </si>
  <si>
    <t>BLENO AGUIAR CRUZ</t>
  </si>
  <si>
    <t>Auxiliar de Engenharia Civil</t>
  </si>
  <si>
    <t>BRAULIO DE HOLANDA CAVALCANTI NETO</t>
  </si>
  <si>
    <t>BRENO CAIQUE MELO DA SILVA</t>
  </si>
  <si>
    <t>BRUNO ALVES DE LIMA</t>
  </si>
  <si>
    <t>BRUNO CHARLIES DA SILVA TEIXEIRA</t>
  </si>
  <si>
    <t>BRUNO HENRIQUE DOS SANTOS</t>
  </si>
  <si>
    <t>BRUNO JOSE DA SILVA</t>
  </si>
  <si>
    <t>BRUNO JOSE DA SILVA SANTOS</t>
  </si>
  <si>
    <t>CAIO DE MACEDO ALVES DE SOUZA</t>
  </si>
  <si>
    <t>CAMILA EMILIA DO NASCIMENTO</t>
  </si>
  <si>
    <t>CAMILA MARIA DA SILVA</t>
  </si>
  <si>
    <t>CAMILLA DE HOLANDA GARCIA</t>
  </si>
  <si>
    <t>CARLOS ALBERTO DA SILVA</t>
  </si>
  <si>
    <t>ENCARREGADO DE CARPINTARIA</t>
  </si>
  <si>
    <t xml:space="preserve">CARLOS ALBERTO DA SILVA </t>
  </si>
  <si>
    <t>CARLOS EDUARDO MARQUES FERREIRA</t>
  </si>
  <si>
    <t>CARLOS FELIPE SANTIAGO</t>
  </si>
  <si>
    <t>CARLOS GOMES DE OLIVEIRA</t>
  </si>
  <si>
    <t>CARLOS RICARDO FERREIRA DA SILVA</t>
  </si>
  <si>
    <t>CENTRAL DE FORMAS</t>
  </si>
  <si>
    <t>CAROLINA BATISTA MARINHO</t>
  </si>
  <si>
    <t>ESTAGIARIO ENGENHARIA CIVIL</t>
  </si>
  <si>
    <t>CASSIO GOMES DA SILVA</t>
  </si>
  <si>
    <t>CASSIO ROBERTO DA SILVA</t>
  </si>
  <si>
    <t>CELIO ANTONIO PEREIRA DA SILVA</t>
  </si>
  <si>
    <t>CELIO ROBERTO DE SANTANA</t>
  </si>
  <si>
    <t>CESAR JOSE DA SILVA</t>
  </si>
  <si>
    <t>Operador de Elevador Cremalheira</t>
  </si>
  <si>
    <t>RIO AVE EQUIPAMENTOS LTDA.</t>
  </si>
  <si>
    <t>CHALON RUAN COSTA E SILVA</t>
  </si>
  <si>
    <t>CHRISTOFER FERNANDES NASCIMENTO DA SILVA</t>
  </si>
  <si>
    <t>Auxiliar de Arquitetura</t>
  </si>
  <si>
    <t>CICERA MARIA MENDONCA DA SILVA</t>
  </si>
  <si>
    <t>CICERO FERREIRA DA SILVA</t>
  </si>
  <si>
    <t>CICERO JOSE DA SILVA</t>
  </si>
  <si>
    <t>CICERO LOPES DA SILVA</t>
  </si>
  <si>
    <t xml:space="preserve">CLAUDECI DE SALES </t>
  </si>
  <si>
    <t>CLAUDIAM VICENTE DA SILVA</t>
  </si>
  <si>
    <t>CLAUDIO BARBOSA DOS REIS</t>
  </si>
  <si>
    <t>ENCARREGADO DE HIDRAULICA</t>
  </si>
  <si>
    <t>CLAUDIO JOSE DA SILVA</t>
  </si>
  <si>
    <t>CLAUDIVALDO PEREIRA DE FRANCA</t>
  </si>
  <si>
    <t>CLAUDOMIRO GOMES DE OLIVEIRA JUNIOR</t>
  </si>
  <si>
    <t>CLAUZIEL DA SILVA MONTEIRO</t>
  </si>
  <si>
    <t>CLEBSON BARROS DA SILVA</t>
  </si>
  <si>
    <t>CLEBSON DA SILVA CAMPOS</t>
  </si>
  <si>
    <t>CLEBSON GOUVEIA DA SILVA</t>
  </si>
  <si>
    <t xml:space="preserve">CLEITON DE BARROS </t>
  </si>
  <si>
    <t xml:space="preserve">CLEITON SEVERINO DA SILVA </t>
  </si>
  <si>
    <t xml:space="preserve">CLEONICE MARIA DA SILVA </t>
  </si>
  <si>
    <t>CLEYTON FERREIRA DA SILVA</t>
  </si>
  <si>
    <t>CLEYTON LOURENCO DOS SANTOS</t>
  </si>
  <si>
    <t>CRISTIANE FARIAS DE SANTANA</t>
  </si>
  <si>
    <t xml:space="preserve">CRISTIANE NUNES DOS SANTOS </t>
  </si>
  <si>
    <t>CRISTIANO DE AGUIAR OLIVEIRA</t>
  </si>
  <si>
    <t>CYMARA DA SILVA SANTOS</t>
  </si>
  <si>
    <t>DAMIAO ALVES DA SILVA</t>
  </si>
  <si>
    <t>DAMIAO SALUSTIANO DA SILVA</t>
  </si>
  <si>
    <t>DANIEL JOSE DE ANDRADE</t>
  </si>
  <si>
    <t>DANIEL ROBSON VIEIRA CHAVES FILHO</t>
  </si>
  <si>
    <t xml:space="preserve">DANIELSON DA PAIXÃO FEITOSA </t>
  </si>
  <si>
    <t>DANILLO RODRIGUES DA SILVA MENDONCA</t>
  </si>
  <si>
    <t>DANILO ANDRE SOARES DA SILVA</t>
  </si>
  <si>
    <t>DANUBIA COSTA DE OLIVEIRA SILVA</t>
  </si>
  <si>
    <t>DARIO JOSE ALVES</t>
  </si>
  <si>
    <t>DARIO JOSE DA SILVA</t>
  </si>
  <si>
    <t>DAVI BATISTA DA SILVA</t>
  </si>
  <si>
    <t>Analista de DP</t>
  </si>
  <si>
    <t>DAVI DE ARAUJO COSTA</t>
  </si>
  <si>
    <t>DAVID ABRAAO SANTOS DA SILVA</t>
  </si>
  <si>
    <t>DAVID ALMEIDA DE SOUZA</t>
  </si>
  <si>
    <t>DAYVID CRISTIANO VIANA DA SILVA</t>
  </si>
  <si>
    <t>DECIO RANULFO DOS SANTOS SILVA</t>
  </si>
  <si>
    <t xml:space="preserve">DEMERVAL GONZAGA DE SOUZA </t>
  </si>
  <si>
    <t>DENILSON DA SILVA EVANGELISTA</t>
  </si>
  <si>
    <t>DENIS EDUARDO GONCALVES DOS SANTOS</t>
  </si>
  <si>
    <t>DIEGO CARLOS DA SILVA</t>
  </si>
  <si>
    <t>DIEGO FELIX DA COSTA</t>
  </si>
  <si>
    <t>DIEGO JOSE SANTOS DA HORA</t>
  </si>
  <si>
    <t>DIEGO PEREIRA DE MELO</t>
  </si>
  <si>
    <t>DIEGO ROMULO DA SILVA</t>
  </si>
  <si>
    <t>DIOGO JOSE DE BARROS</t>
  </si>
  <si>
    <t>DJAIR DOS SANTOS</t>
  </si>
  <si>
    <t xml:space="preserve">EDIELSON RAFAEL DE MOURA </t>
  </si>
  <si>
    <t xml:space="preserve">EDILSON GOMES DA SILVA </t>
  </si>
  <si>
    <t>EDILSON JOSE DA SILVA</t>
  </si>
  <si>
    <t>EDILTON BEZERRA XAVIER</t>
  </si>
  <si>
    <t>Auxiliar de Almoxarife</t>
  </si>
  <si>
    <t>EDIMAH PAULO DA SILVA</t>
  </si>
  <si>
    <t>EDIMILSON SEVERINO DA SILVA</t>
  </si>
  <si>
    <t>EDINALDO FRANCA DA SILVA JUNIOR</t>
  </si>
  <si>
    <t>RIO AVE ALAMEDA CENTER CONSTRUCOES SPE LTDA</t>
  </si>
  <si>
    <t>EDISON MANOEL DA SILVA</t>
  </si>
  <si>
    <t>EDIVALDO LUIZ DA SILVA</t>
  </si>
  <si>
    <t>EDIVAN ALVES DA SILVA</t>
  </si>
  <si>
    <t>EDMAR CRUZ DE OLIVEIRA</t>
  </si>
  <si>
    <t>SERRALHEIRO</t>
  </si>
  <si>
    <t>EDMILSON IVANILDO DA SILVA</t>
  </si>
  <si>
    <t>EDMILSON WELLINGTON DA SILVA</t>
  </si>
  <si>
    <t>EDNALDO LOURENCO DA SILVA</t>
  </si>
  <si>
    <t>EDNELMA MARIA DA CONCEICAO</t>
  </si>
  <si>
    <t>EDSON PEDRO DA SILVA</t>
  </si>
  <si>
    <t>EDSON SEBASTIAO DA SILVA</t>
  </si>
  <si>
    <t>EDSON SEVERINO DOS SANTOS LIMA</t>
  </si>
  <si>
    <t xml:space="preserve">EDUARD PINHEIRO NEVES </t>
  </si>
  <si>
    <t xml:space="preserve">EDUARDO GOMES DE LIMA </t>
  </si>
  <si>
    <t>EDUARDO GOMES PEREIRA DIAS</t>
  </si>
  <si>
    <t>EDUARDO HENRIQUE MONTEIRO DA SILVA</t>
  </si>
  <si>
    <t>EDUARDO JOSE DA SILVA</t>
  </si>
  <si>
    <t xml:space="preserve">EDUARDO PEREIRA DE MELO </t>
  </si>
  <si>
    <t>EDVALDO FERREIRA CAMPOS</t>
  </si>
  <si>
    <t>EDVALDO FRANCISCO DA SILVA</t>
  </si>
  <si>
    <t xml:space="preserve">EDVALDO JOSE ALVES DA SILVA  </t>
  </si>
  <si>
    <t>EDVALDO LUIS DA SILVA</t>
  </si>
  <si>
    <t>EDVANDO ANTONIO CORREIA DA SILVA</t>
  </si>
  <si>
    <t>ELIANE MARINETE DO NASCIMENTO</t>
  </si>
  <si>
    <t>ELIAS ANTONIO DA SILVA FILHO</t>
  </si>
  <si>
    <t>ELIAS JOSE DE OLIVEIRA</t>
  </si>
  <si>
    <t>ELIAS JOSE DOS SANTOS</t>
  </si>
  <si>
    <t>ELIEL ANTONIO BELO</t>
  </si>
  <si>
    <t>ELIEZER FERREIRA</t>
  </si>
  <si>
    <t>ELISMAR ALVES DOS SANTOS</t>
  </si>
  <si>
    <t>EMANUEL ALEXANDRE DA SILVA</t>
  </si>
  <si>
    <t xml:space="preserve">Auxiliar de manutenção </t>
  </si>
  <si>
    <t>EMANUEL JOSE CHALACA DE OLIVEIRA</t>
  </si>
  <si>
    <t xml:space="preserve">EMERSON LUCAS DA SILVA BARBOSA </t>
  </si>
  <si>
    <t>EMERSON RODRIGUES DA SILVA</t>
  </si>
  <si>
    <t>TECNICO (A) DE EDIFICACOES</t>
  </si>
  <si>
    <t>EMMANUEL INACIO DA SILVA</t>
  </si>
  <si>
    <t>Coordenador de obras</t>
  </si>
  <si>
    <t xml:space="preserve">ERALDO JOSE DOS SANTOS </t>
  </si>
  <si>
    <t>ERALDO LOPES DA SILVA</t>
  </si>
  <si>
    <t>ERICK GOMES DA SILVA</t>
  </si>
  <si>
    <t>ERIK CARLOS DA SILVA NASCIMENTO</t>
  </si>
  <si>
    <t>ERIMAR XAVIER DA SILVA</t>
  </si>
  <si>
    <t>ERINALDO GUILHERME SILVA DE LIRA</t>
  </si>
  <si>
    <t>ESTAGIÁRIO DE INSTALACOES ELETRICAS</t>
  </si>
  <si>
    <t>ERINALDO JOSE GOMES</t>
  </si>
  <si>
    <t>ERIVALDO LOPES DA SILVA</t>
  </si>
  <si>
    <t>ERIVALDO SOARES DOS SANTOS</t>
  </si>
  <si>
    <t xml:space="preserve">ERIVAN ELIAS SANTOS DA SILVA </t>
  </si>
  <si>
    <t>ERIVERTON MARTINS PEREIRA</t>
  </si>
  <si>
    <t>RIO AVE INVESTIMENTOS LTDA</t>
  </si>
  <si>
    <t>ERMESON SEVERINO DA SILVA</t>
  </si>
  <si>
    <t>PATRIMONIAL E OBRAS</t>
  </si>
  <si>
    <t xml:space="preserve">ERONILDES JOSE DA SILVA </t>
  </si>
  <si>
    <t>ERONILDO FAUSTINO DOS SANTOS</t>
  </si>
  <si>
    <t>EUDES MARCIO MUNIZ SIMAO</t>
  </si>
  <si>
    <t>EVALDO JOSE DA ROCHA</t>
  </si>
  <si>
    <t>EVANDRO DA SILVA SANTOS</t>
  </si>
  <si>
    <t>EVANDRO EUSTAQUIO DA SILVA</t>
  </si>
  <si>
    <t>EVERALDO DE OLIVEIRA GOMES</t>
  </si>
  <si>
    <t>EVERALDO JOSE DE PAULA</t>
  </si>
  <si>
    <t>EVERTON HELIO DA SILVA</t>
  </si>
  <si>
    <t>EVERTON JOSE DA SILVA</t>
  </si>
  <si>
    <t>FABIANA AMORIM DE CARVALHO</t>
  </si>
  <si>
    <t>Coordenador de Projetos</t>
  </si>
  <si>
    <t>FABIANO INACIO DA SILVA</t>
  </si>
  <si>
    <t>FABIO BEZERRA DOS ANJOS</t>
  </si>
  <si>
    <t>FABIO CONSTANTINO DA SILVA</t>
  </si>
  <si>
    <t>FABIO FRANCISCO DA SILVA</t>
  </si>
  <si>
    <t>FABIO GOMES DE OLIVEIRA</t>
  </si>
  <si>
    <t xml:space="preserve">FABIO JUNIOR NUNES DA SILVA </t>
  </si>
  <si>
    <t>FABIO PEDRO DA SILVA</t>
  </si>
  <si>
    <t>FABRICIO DA SILVA MOURA</t>
  </si>
  <si>
    <t>FABRICIO RAMOS DAS CHAGAS</t>
  </si>
  <si>
    <t>FAGNER SANDRO DA SILVA</t>
  </si>
  <si>
    <t xml:space="preserve">FANAEL BISPO DOS SANTOS </t>
  </si>
  <si>
    <t>FELIPE JOSE DA SILVA</t>
  </si>
  <si>
    <t>FELIPE RAFAEL DA SILVA</t>
  </si>
  <si>
    <t>FERNANDA CABUS NOVAES</t>
  </si>
  <si>
    <t>FERNANDES JOSE DO NASCIMENTO NETO</t>
  </si>
  <si>
    <t>FERNANDO CESAR DE AMORIM</t>
  </si>
  <si>
    <t>FERNANDO GOMES RIBEIRO</t>
  </si>
  <si>
    <t>Mestre de Obras I</t>
  </si>
  <si>
    <t>FILIPE JOSE DA SILVA</t>
  </si>
  <si>
    <t>FLAVIANO SEVERINO DE PONTES</t>
  </si>
  <si>
    <t xml:space="preserve">FLAVIO HONORATO DE SANTANA </t>
  </si>
  <si>
    <t>FLAVIO LUIZ DA SILVA</t>
  </si>
  <si>
    <t>FLAVIO SEBASTIAO PAZ DOS SANTOS</t>
  </si>
  <si>
    <t>FLAVIO SOARES DOS SANTOS JUNIOR</t>
  </si>
  <si>
    <t>FRANCIELY GOMES DA SILVA FERREIRA</t>
  </si>
  <si>
    <t>FRANCISCO CARLOS GOMES</t>
  </si>
  <si>
    <t>FRANCISCO DAS CHAGAS ARAUJO</t>
  </si>
  <si>
    <t>FRED MORAES LINS</t>
  </si>
  <si>
    <t>FREDSON RAMOS DA SILVA</t>
  </si>
  <si>
    <t>GABRIEL CONCEICAO BAIMA DOS SANTOS</t>
  </si>
  <si>
    <t>Estagiario Tec Seg Trabalho</t>
  </si>
  <si>
    <t>GABRIEL COSTA PEREIRA</t>
  </si>
  <si>
    <t>GABRIEL JOSE DE SANTANA</t>
  </si>
  <si>
    <t>GABRIEL OLIVEIRA DA SILVA</t>
  </si>
  <si>
    <t>GABRIEL PEREIRA DA SILVA</t>
  </si>
  <si>
    <t xml:space="preserve">GABRIELE SANTOS DA SILVA </t>
  </si>
  <si>
    <t>GABRIELLE NATHALIA VERGARA HOULY DOS SANTOS</t>
  </si>
  <si>
    <t>GEASE KENNEDY SILVA DOS SANTOS</t>
  </si>
  <si>
    <t xml:space="preserve">GEILSON COSTA DA SILVA </t>
  </si>
  <si>
    <t>GEISIEL JOAO DOS SANTOS</t>
  </si>
  <si>
    <t>GENALDO AGUIAR DA SILVA</t>
  </si>
  <si>
    <t>GENETON LOURENCO BANDEIRA</t>
  </si>
  <si>
    <t>GENILSON CABRAL DE ALBUQUERQUE</t>
  </si>
  <si>
    <t>GENILSON DE OLIVEIRA JUNIOR</t>
  </si>
  <si>
    <t>GENIVAL JOSE DA SILVA</t>
  </si>
  <si>
    <t>PEDREIRO DE EDIFICACOES</t>
  </si>
  <si>
    <t xml:space="preserve">GENIVAL SALUSTIANO BARBOSA DA SILVA </t>
  </si>
  <si>
    <t>GENIVAL SEVERINO DA SILVA</t>
  </si>
  <si>
    <t>GENTIL SEBASTIAO DE SOUZA</t>
  </si>
  <si>
    <t>GEOVANDO DA SILVA LEITE</t>
  </si>
  <si>
    <t>GEOVANE JOSE SOARES</t>
  </si>
  <si>
    <t>GEOVANE SILVA E SOUZA</t>
  </si>
  <si>
    <t>GERAILSON ALEXANDRE DA SILVA</t>
  </si>
  <si>
    <t>GERSON RODRIGUES DE AQUINO</t>
  </si>
  <si>
    <t>GIDEONI HENRIQUE DA SILVA</t>
  </si>
  <si>
    <t>GILBERIO MARTINS DA SILVA</t>
  </si>
  <si>
    <t xml:space="preserve">GILBERTO JOSE DA SILVA </t>
  </si>
  <si>
    <t>GILSON DE FRANCA BARBOSA</t>
  </si>
  <si>
    <t>GILSON JOSE DA SILVA</t>
  </si>
  <si>
    <t>Operador de Grua</t>
  </si>
  <si>
    <t>GILSON LUIZ DA SILVA</t>
  </si>
  <si>
    <t>GINALDO SEVERINO DE BARROS</t>
  </si>
  <si>
    <t>GIVALDO BORGES DA SILVA JUNIOR</t>
  </si>
  <si>
    <t>GIVALDO JULIO DO NASCIMENTO</t>
  </si>
  <si>
    <t>GIVANILDO ANTONIO DO NASCIMENTO</t>
  </si>
  <si>
    <t>GIVANILDO BEZERRA DE MOURA</t>
  </si>
  <si>
    <t>GIVANILDO SEVERINO DA SILVA</t>
  </si>
  <si>
    <t>GIVANILDO SEVERINO DOS RAMOS</t>
  </si>
  <si>
    <t>GIVANILDO SILVA DOS SANTOS</t>
  </si>
  <si>
    <t>GLEBSON JOSE DE LIMA</t>
  </si>
  <si>
    <t xml:space="preserve">GLEIBSON KELBE SOBRINHO RODRIGUES </t>
  </si>
  <si>
    <t>GUILHERME ALVES SKOLIMOVSKI DE AGUILAR</t>
  </si>
  <si>
    <t>GUILHERME KAILAN ESTOLANO DE SOUZA</t>
  </si>
  <si>
    <t>HAILTON BEZERRA DE LIMA</t>
  </si>
  <si>
    <t>HAMILTON JOSE DA CONCEICAO</t>
  </si>
  <si>
    <t>HAMMON OLIVEIRA BACELAR</t>
  </si>
  <si>
    <t>HEBERT LUCAS ACIOLY DA SILVA</t>
  </si>
  <si>
    <t>HECTOR RHUAM DE SALES ARAUJO</t>
  </si>
  <si>
    <t>HELENO COSTA DE LIMA</t>
  </si>
  <si>
    <t>HELENO JOSE DA SILVA JUNIOR</t>
  </si>
  <si>
    <t>HELIO LUIZ DA SILVA FILHO</t>
  </si>
  <si>
    <t>HELIO SALES DE AVILA</t>
  </si>
  <si>
    <t>HENRIQUE DA SILVA MENDONCA ROCHA</t>
  </si>
  <si>
    <t>HENRIQUE ROGERIO DA SILVA</t>
  </si>
  <si>
    <t>HEVELLYN DANTAS ESPOSITO</t>
  </si>
  <si>
    <t>HUGO FLORENCIO PINHEIRO</t>
  </si>
  <si>
    <t>Engenheiro Trainee</t>
  </si>
  <si>
    <t>HUMBERTO JOAO DOS SANTOS NETO</t>
  </si>
  <si>
    <t>HUMBERTO PEDRO SENA DA SILVA</t>
  </si>
  <si>
    <t>IDERALDO BRAGA DA SILVA</t>
  </si>
  <si>
    <t xml:space="preserve">IGEOVANIA GOMES DA SILVA </t>
  </si>
  <si>
    <t>IGOR HENRIQUE FERREIRA DE ANDRADE</t>
  </si>
  <si>
    <t>INEZ TAINA BRAZ DE OLIVEIRA</t>
  </si>
  <si>
    <t>IRAN NEVES DE FRANCA</t>
  </si>
  <si>
    <t>IRAPUAN NONATO DA CUNHA</t>
  </si>
  <si>
    <t>IREMAR PEREIRA BARBOSA</t>
  </si>
  <si>
    <t>Encarregado de Obras (construÃ§Ã£o civil)</t>
  </si>
  <si>
    <t>ISAIAS BORGES DA SILVA</t>
  </si>
  <si>
    <t>ISAIAS EUCLIDES DA LUZ</t>
  </si>
  <si>
    <t>ISRAEL DOMINGOS RAMOS</t>
  </si>
  <si>
    <t>ISRAEL FERREIRA DOS ANJOS</t>
  </si>
  <si>
    <t>ISRAEL MESSIAS DOS SANTOS</t>
  </si>
  <si>
    <t>ITALO MELO DA SILVA</t>
  </si>
  <si>
    <t>IVAN HENRIQUE DE SOUSA</t>
  </si>
  <si>
    <t>Sinaleiro</t>
  </si>
  <si>
    <t>IVANILDO LUIZ DA SILVA SANTOS FILHO</t>
  </si>
  <si>
    <t>IVANIO JOSE DA SILVA</t>
  </si>
  <si>
    <t>IZAIAS JOSE DE SANTANA</t>
  </si>
  <si>
    <t>IZAQUE PATRICIO RIBEIRO</t>
  </si>
  <si>
    <t>JACIANE PEREIRA DOS SANTOS</t>
  </si>
  <si>
    <t>JACKSON ROBERTO DA SILVA</t>
  </si>
  <si>
    <t>JACLEBSON FERREIRA DOS SANTOS</t>
  </si>
  <si>
    <t>JADIEL ALVES DA SILVA JUNIOR</t>
  </si>
  <si>
    <t>JADSON DOS SANTOS BEZERRA</t>
  </si>
  <si>
    <t>JADSON PEDRO ISIDORO</t>
  </si>
  <si>
    <t>JAILSON DO NASCIMENTO BORBA</t>
  </si>
  <si>
    <t>Gesseiro</t>
  </si>
  <si>
    <t>JAIMISON SANTOS DAS NEVES</t>
  </si>
  <si>
    <t>JAIR BEZERRA DA LUZ</t>
  </si>
  <si>
    <t>JAMERSON OLIVEIRA DA SILVA</t>
  </si>
  <si>
    <t>JAMILTON JOSE BRAGA</t>
  </si>
  <si>
    <t>JARDSON FELIX BEZERRA</t>
  </si>
  <si>
    <t>JEASIR DE LIMA ANDRADE</t>
  </si>
  <si>
    <t>JEFERSON ANDRE DA SILVA</t>
  </si>
  <si>
    <t>JEFERSON MIGUEL DA SILVA</t>
  </si>
  <si>
    <t xml:space="preserve">JEFERSON VIEIRA DE LIMA </t>
  </si>
  <si>
    <t>JEFFERSON CARLOS DE OLIVEIRA</t>
  </si>
  <si>
    <t>JEFFERSON MARTINS SILVA DOS SANTOS</t>
  </si>
  <si>
    <t>JEMISON PINTO DA SILVA</t>
  </si>
  <si>
    <t>JEREMIAS FERREIRA BOMFIM</t>
  </si>
  <si>
    <t>JESSE JOSE DE ARRUDA</t>
  </si>
  <si>
    <t>JHONATHA LAURIANO DA SILVA</t>
  </si>
  <si>
    <t>JOANA D ARC BENICIO DE OLIVEIRA</t>
  </si>
  <si>
    <t>JOANA D ARC DA SILVA NASCIMENTO</t>
  </si>
  <si>
    <t>JOAO ALBERTO VIEIRA DE ATAIDE</t>
  </si>
  <si>
    <t>JOAO CRUZ SANTIAGO</t>
  </si>
  <si>
    <t>JOAO FRANCISCO DA SILVA</t>
  </si>
  <si>
    <t>JOAO MARCELINO DA CRUZ</t>
  </si>
  <si>
    <t>JOAO MARTINS DE LIMA</t>
  </si>
  <si>
    <t>JOAO PEDRO DA SILVA</t>
  </si>
  <si>
    <t>JOAO PEDRO LEITE DA SILVA</t>
  </si>
  <si>
    <t>JOAO RODRIGUES DE MOURA</t>
  </si>
  <si>
    <t>JOAO SANTANA DA SILVA</t>
  </si>
  <si>
    <t>JOAO VICTOR DA SILVA MELO</t>
  </si>
  <si>
    <t>JOAO VICTOR DE LIMA</t>
  </si>
  <si>
    <t>JOAO VICTOR LIMA GONCALVES</t>
  </si>
  <si>
    <t xml:space="preserve">JOAQUIM ALVES DA SILVA </t>
  </si>
  <si>
    <t>JOAS DA SILVA LEITE</t>
  </si>
  <si>
    <t>JOEL REGIS PEREIRA</t>
  </si>
  <si>
    <t>JOEL SANTOS DE SANTANA</t>
  </si>
  <si>
    <t xml:space="preserve">JOELSON COSTA SANTANA </t>
  </si>
  <si>
    <t xml:space="preserve">JOELSON DE OLIVEIRA SANTANA </t>
  </si>
  <si>
    <t>JOELSON ETELMINO DA SILVA</t>
  </si>
  <si>
    <t>JOHN HERBERT DA SILVA</t>
  </si>
  <si>
    <t>JONAS ELIAS FERREIRA DA SILVA</t>
  </si>
  <si>
    <t>JONAS GOMES DA SILVA</t>
  </si>
  <si>
    <t>JONATA MILITAO SILVA</t>
  </si>
  <si>
    <t>JONATAN MIGUEL DA SILVA</t>
  </si>
  <si>
    <t>JONATAS MANOEL DA SILVA</t>
  </si>
  <si>
    <t>JORGE DOS SANTOS SILVA</t>
  </si>
  <si>
    <t>JORGE INACIO DA SILVA</t>
  </si>
  <si>
    <t xml:space="preserve">JORGE LUIS ALVES DO NASCIMENTO </t>
  </si>
  <si>
    <t>JOSE ADEILTON DE SANTANA</t>
  </si>
  <si>
    <t>JOSE ADELINO DOS SANTOS JUNIOR</t>
  </si>
  <si>
    <t xml:space="preserve">JOSE ADEMIR DE SOUSA VIEIRA </t>
  </si>
  <si>
    <t>JOSE ADRIANO BARBOSA</t>
  </si>
  <si>
    <t>JOSE ALBERTO SANTIAGO DA SILVA</t>
  </si>
  <si>
    <t>JOSE ALDO DOS SANTOS</t>
  </si>
  <si>
    <t>JOSE AMARO DA SILVA</t>
  </si>
  <si>
    <t>JOSE AMARO DA SILVA FILHO</t>
  </si>
  <si>
    <t>JOSE ANDRE COSTA</t>
  </si>
  <si>
    <t>JOSE ANDRE DA SILVA</t>
  </si>
  <si>
    <t>JOSE AUGUSTO DE SANTANA</t>
  </si>
  <si>
    <t>JOSE AUGUSTO SOARES DE LIMA</t>
  </si>
  <si>
    <t>JOSE AVELINO DE SANTANA NETO</t>
  </si>
  <si>
    <t>Encarregado de Carpintaria</t>
  </si>
  <si>
    <t>JOSE CARLOS CLAUDINO DA SILVA</t>
  </si>
  <si>
    <t>JOSE CARLOS DA SILVA</t>
  </si>
  <si>
    <t>JOSE CARLOS DA SILVA QUEIROZ</t>
  </si>
  <si>
    <t>JOSE CARLOS DE SANTANA</t>
  </si>
  <si>
    <t>JOSE CARLOS DE SOUZA</t>
  </si>
  <si>
    <t>Montador de Andaimes</t>
  </si>
  <si>
    <t>JOSE CARLOS RAMOS  DA SILVA</t>
  </si>
  <si>
    <t>JOSE CLAUDIO DA SILVA</t>
  </si>
  <si>
    <t xml:space="preserve">JOSE CRISTIANO DA SILVA </t>
  </si>
  <si>
    <t>JOSE DO CARMO DE ALMEIDA TUPINAMBA</t>
  </si>
  <si>
    <t>JOSE DOUGLAS DA SILVA DIAS</t>
  </si>
  <si>
    <t>JOSE EDSON DOS SANTOS</t>
  </si>
  <si>
    <t>JOSE EDUARDO DE SOUZA</t>
  </si>
  <si>
    <t>JOSE EDUARDO DOS SANTOS FILHO</t>
  </si>
  <si>
    <t>JOSE EDVALDO LOPES DA SILVA</t>
  </si>
  <si>
    <t>JOSE EVERALDO TEIXEIRA DE FRANCA</t>
  </si>
  <si>
    <t>JOSE FABIO DA SILVA</t>
  </si>
  <si>
    <t>JOSE FERNANDO DA SILVA</t>
  </si>
  <si>
    <t>JOSE FORTUNATO DA SILVA</t>
  </si>
  <si>
    <t>JOSE GERALDO ALVES BARBOSA</t>
  </si>
  <si>
    <t>JOSE GLAYSON ARAGAO</t>
  </si>
  <si>
    <t>Gerente de Instalacoes</t>
  </si>
  <si>
    <t>JOSE HENRIQUE RIBEIRO DA SILVA</t>
  </si>
  <si>
    <t xml:space="preserve">JOSE IVANILDO DOS SANTOS </t>
  </si>
  <si>
    <t>JOSE JOAO DE ASSUNCAO JUNIOR</t>
  </si>
  <si>
    <t>JOSE JOSIVALDO DA SILVA XAVIER</t>
  </si>
  <si>
    <t>ENCARREGADO DE OBRAS</t>
  </si>
  <si>
    <t>JOSE JULIO RIBEIRO DA SILVA</t>
  </si>
  <si>
    <t>JOSE LEONARDO DA SILVA</t>
  </si>
  <si>
    <t>JOSE LUCAS REZENDE</t>
  </si>
  <si>
    <t>Auxiliar de Almoxarifado</t>
  </si>
  <si>
    <t>JOSE LUIS DE PAULA RODRIGUES</t>
  </si>
  <si>
    <t xml:space="preserve">JOSE LUIZ DA SILVA JUNIOR </t>
  </si>
  <si>
    <t>JOSE LUIZ SOARES FILHO</t>
  </si>
  <si>
    <t>JOSE MACIEL FERREIRA DOS SANTOS</t>
  </si>
  <si>
    <t>JOSE MANOEL DA SILVA</t>
  </si>
  <si>
    <t>JOSE MANOEL DA SILVA JUNIOR</t>
  </si>
  <si>
    <t>JOSE MANOEL LOPES CABRAL</t>
  </si>
  <si>
    <t xml:space="preserve">JOSE MANOEL SILVA </t>
  </si>
  <si>
    <t>JOSE MARCIO MENDES DA SILVA</t>
  </si>
  <si>
    <t>JOSE MARCIO VITORINO</t>
  </si>
  <si>
    <t>JOSE MARCOS DO NASCIMENTO</t>
  </si>
  <si>
    <t>RIO AVE OASIS TORRE 1 SPE LTDA.</t>
  </si>
  <si>
    <t>JOSE MARIA MONTEIRO DOS SANTOS</t>
  </si>
  <si>
    <t>JOSE MARIO SILVA DE SOUZA</t>
  </si>
  <si>
    <t xml:space="preserve">JOSE MARIVALDO FERREIRA DE PAULA </t>
  </si>
  <si>
    <t>JOSE MARTINS SILVA SANTOS</t>
  </si>
  <si>
    <t>JOSE MATIAS GONCALVES PEREIRA</t>
  </si>
  <si>
    <t xml:space="preserve">JOSE MAXIMIANO DA SILVA FILHO </t>
  </si>
  <si>
    <t>JOSE MILTON GOMES</t>
  </si>
  <si>
    <t>JOSE NIVALDO DE BARROS SILVA</t>
  </si>
  <si>
    <t>JOSE PAULO FLORENTINO DA SILVA</t>
  </si>
  <si>
    <t>JOSE PEREIRA RAMOS</t>
  </si>
  <si>
    <t>JOSE RICARDO DA SILVA</t>
  </si>
  <si>
    <t>JOSE ROBERTO ALVES PEREIRA</t>
  </si>
  <si>
    <t>JOSE ROBERTO DA SILVA</t>
  </si>
  <si>
    <t>JOSE ROBERTO DOS SANTOS</t>
  </si>
  <si>
    <t>JOSE ROBERTO ELOI</t>
  </si>
  <si>
    <t>JOSE ROZENDO DA SILVA FILHO</t>
  </si>
  <si>
    <t>JOSE SANDRO TEIXEIRA MENDONCA</t>
  </si>
  <si>
    <t>JOSE SARAIVA</t>
  </si>
  <si>
    <t>JOSE SEVERINO DA SILVA</t>
  </si>
  <si>
    <t>ELETRICISTA</t>
  </si>
  <si>
    <t>JOSE SEVERINO DA SILVA FILHO</t>
  </si>
  <si>
    <t>JOSE VICTOR DA SILVA NASCIMENTO</t>
  </si>
  <si>
    <t>JOSE VINICIO DINIZ DA SILVA</t>
  </si>
  <si>
    <t>JOSEBIAS ETELMINO DA SILVA</t>
  </si>
  <si>
    <t>JOSEDARQUE JONAS DOS SANTOS</t>
  </si>
  <si>
    <t>JOSEILDO ETELMINO DA SILVA</t>
  </si>
  <si>
    <t xml:space="preserve">JOSEILDO FERREIRA DE LIMA </t>
  </si>
  <si>
    <t>JOSEILTON SENA DO NASCIMENTO</t>
  </si>
  <si>
    <t>JOSEMAR SEBASTIÃO DE JESUS</t>
  </si>
  <si>
    <t>JOSEMARIO RODRIGUES DE SOUZA</t>
  </si>
  <si>
    <t>JOSENILDO AMARO DOS SANTOS</t>
  </si>
  <si>
    <t>JOSENILDO CLEMENTINO DOS SANTOS</t>
  </si>
  <si>
    <t>JOSENILDO ETELMINO DA SILVA</t>
  </si>
  <si>
    <t>JOSENILDO FRANCISCO DA SILVA</t>
  </si>
  <si>
    <t>JOSENILDO JOSE DO NASCIMENTO</t>
  </si>
  <si>
    <t>JOSENILDO ROSENDO DOS SANTOS</t>
  </si>
  <si>
    <t>JOSENILSON CLAUDINO DE SOUZA</t>
  </si>
  <si>
    <t>JOSIEL SEVERINO DA SILVA</t>
  </si>
  <si>
    <t xml:space="preserve">JOSILENE MARIA CONCEICAO DA SILVA </t>
  </si>
  <si>
    <t>JOSIMAR CAETANO DA SILVA</t>
  </si>
  <si>
    <t>JOSINALDO CARLOS SANTOS DA SILVA</t>
  </si>
  <si>
    <t>JOSINALDO JOSE DA SILVA</t>
  </si>
  <si>
    <t>JOSIVALDO COELHO DA SILVA</t>
  </si>
  <si>
    <t>JOSUE GOMES DA SILVA</t>
  </si>
  <si>
    <t>JOSUEL BALBINO DA SILVA</t>
  </si>
  <si>
    <t>JOSUEL DA SILVA</t>
  </si>
  <si>
    <t xml:space="preserve">JOSÉ ANTONIO DE LIMA </t>
  </si>
  <si>
    <t xml:space="preserve">JOSÉ HENRIQUE DA SILVA </t>
  </si>
  <si>
    <t>JUAREZ PEREIRA DA CUNHA</t>
  </si>
  <si>
    <t>JULIA MAIA BATISTA</t>
  </si>
  <si>
    <t>COORDENADOR DE ENGENHARIA</t>
  </si>
  <si>
    <t>JULIANO DA SILVA</t>
  </si>
  <si>
    <t>JULIO CESAR DE LIMA</t>
  </si>
  <si>
    <t>JURANDIR DOS SANTOS SILVA</t>
  </si>
  <si>
    <t>JURANDIR SEVERINO DA COSTA</t>
  </si>
  <si>
    <t>JUSCELINO SEVERINO DA SILVA</t>
  </si>
  <si>
    <t>JUSSIE UMBELINO BARRETO</t>
  </si>
  <si>
    <t>KAUA HENRIQUE DA SILVA CAVALCANTE</t>
  </si>
  <si>
    <t>KAYLLANE NERI DOS SANTOS TORRES</t>
  </si>
  <si>
    <t>ESTAGIARIO DE ARQUITETURA</t>
  </si>
  <si>
    <t xml:space="preserve">LAERSON JOSE DE OLIVEIRA </t>
  </si>
  <si>
    <t xml:space="preserve">LAISA PEREIRA DA COSTA </t>
  </si>
  <si>
    <t>LAURO EMANOEL DA SILVA</t>
  </si>
  <si>
    <t>LEANDRO FRANCA DA SILVA</t>
  </si>
  <si>
    <t>LEANDRO JOSE DA SILVA</t>
  </si>
  <si>
    <t>LEANDRO JOSE DE FRANCA</t>
  </si>
  <si>
    <t>LEANDRO JOSE MARQUES</t>
  </si>
  <si>
    <t>LEANDRO OLIVEIRA DA SILVA</t>
  </si>
  <si>
    <t>LEIBISMAR VIEIRA DE ARAUJO</t>
  </si>
  <si>
    <t>Mestre de Obras</t>
  </si>
  <si>
    <t>LEON VIEIRA BRASILINO DA SILVA</t>
  </si>
  <si>
    <t>LEONARDO BARBOSA FRANCISCO</t>
  </si>
  <si>
    <t>LEONARDO DA SILVA VALENTIM</t>
  </si>
  <si>
    <t>LEONARDO FRANCISCO DOS SANTOS</t>
  </si>
  <si>
    <t>LEONARDO SALUSTIANO DA SILVA</t>
  </si>
  <si>
    <t xml:space="preserve">LEONARDO TEXEIRA DE FREITAS </t>
  </si>
  <si>
    <t>LEVI FLORENCIO DA SILVA</t>
  </si>
  <si>
    <t>LIBERATO AMARO JOSE TELES</t>
  </si>
  <si>
    <t>LUAN BARBOSA DA COSTA</t>
  </si>
  <si>
    <t>LUAN MANOEL DE PAIVA BRITO</t>
  </si>
  <si>
    <t>Estagiario Arquitetura</t>
  </si>
  <si>
    <t>LUCAS ALVES DE LIRA SILVA</t>
  </si>
  <si>
    <t>LUCAS COSTA PINTO DE OLIVEIRA MENEZES</t>
  </si>
  <si>
    <t xml:space="preserve">LUCAS DA SILVA </t>
  </si>
  <si>
    <t>LUCAS FERREIRA DOS SANTOS</t>
  </si>
  <si>
    <t>LUCAS JOSE DE SENA</t>
  </si>
  <si>
    <t>LUCAS MIKEL ACIOLY DE SANTANA</t>
  </si>
  <si>
    <t>LUCAS VALOIS KRAUSS</t>
  </si>
  <si>
    <t>LUCIANO ANDRE ALVES DE ALMEIDA</t>
  </si>
  <si>
    <t>LUCIANO ELIAS DOS SANTOS</t>
  </si>
  <si>
    <t>LUCIANO FERREIRA DOS SANTOS</t>
  </si>
  <si>
    <t>LUCIANO JOSE SOBRAL</t>
  </si>
  <si>
    <t>LUIS CARLOS DA SILVA</t>
  </si>
  <si>
    <t>LUIS FERNANDO DA SILVA SALES</t>
  </si>
  <si>
    <t>LUIS JOSE BENEDITO DA SILVA</t>
  </si>
  <si>
    <t>LUIS MONTEIRO DA SILVA FILHO</t>
  </si>
  <si>
    <t>LUIZ ALEXSANDRO ANTONIO DA SILVA</t>
  </si>
  <si>
    <t>LUIZ CARLOS DE OLIVEIRA</t>
  </si>
  <si>
    <t>LUIZ EDUARDO DA SILVA DE ARAUJO</t>
  </si>
  <si>
    <t>LUIZ HENRIQUE DE LIMA</t>
  </si>
  <si>
    <t>LUIZ JOSE DOS SANTOS</t>
  </si>
  <si>
    <t>LUIZ LINO DA COSTA</t>
  </si>
  <si>
    <t>LUIZ LUCIANO DA SILVA MORAIS</t>
  </si>
  <si>
    <t>LUIZ PAULO FRANCISCO DA SILVA</t>
  </si>
  <si>
    <t>LUIZ PAULO NASCIMENTO SANTANA</t>
  </si>
  <si>
    <t>Encarregado Eletricista de Instalacoes</t>
  </si>
  <si>
    <t>MACIO SANTOS DA PURIFICACAO</t>
  </si>
  <si>
    <t>MAGBIS DE BARROS FRANCA</t>
  </si>
  <si>
    <t>MAGNO BARROS DA SILVA</t>
  </si>
  <si>
    <t>MANOEL BATISTA DA SILVA</t>
  </si>
  <si>
    <t>MANOEL JOSE CESAR</t>
  </si>
  <si>
    <t>MANOEL RODRIGUES DA SILVA FILHO</t>
  </si>
  <si>
    <t>MANUELA VIEIRA DE QUEIROZ</t>
  </si>
  <si>
    <t>MANUELLA LUANA DE ARAUJO LIRA</t>
  </si>
  <si>
    <t>Analista de Qualidade</t>
  </si>
  <si>
    <t>MARCELO ALVES DA SILVA</t>
  </si>
  <si>
    <t>MARCELO OLIVEIRA SOARES DA SILVA</t>
  </si>
  <si>
    <t>MARCELO PEDRO DA SILVA</t>
  </si>
  <si>
    <t>MARCIO JOSE DA SILVA</t>
  </si>
  <si>
    <t>MARCIO PAULINO DA SILVA</t>
  </si>
  <si>
    <t>MARCONI JOSE DE ANDRADE</t>
  </si>
  <si>
    <t>MARCOS ANDRE DA SILVA</t>
  </si>
  <si>
    <t>MARCOS ANDRE DO NASCIMENTO</t>
  </si>
  <si>
    <t>MARCOS ANTONIO DA SILVA</t>
  </si>
  <si>
    <t>MARCOS ANTONIO FELIX DE SOUZA</t>
  </si>
  <si>
    <t>MARCOS ANTONIO FIRMINO</t>
  </si>
  <si>
    <t>MARCOS ANTONIO SOARES DE ARAUJO JUNIOR</t>
  </si>
  <si>
    <t>MARCOS BERNARDO DA SILVA</t>
  </si>
  <si>
    <t>MARCOS ROQUE DOS SANTOS</t>
  </si>
  <si>
    <t>MARIA ANTONIA SANTOS DA SILVA</t>
  </si>
  <si>
    <t>MARIA FERNANDA DOS SANTOS SILVEIRA</t>
  </si>
  <si>
    <t>MARIA JOSE SILVA DOS SANTOS</t>
  </si>
  <si>
    <t>Auxiliar de Servicos Gerais</t>
  </si>
  <si>
    <t>MARIANA MELO GADELHA</t>
  </si>
  <si>
    <t>ESTAGIARIO DE PROJETOS</t>
  </si>
  <si>
    <t>MARIANA RIBEIRO LEAO LINS</t>
  </si>
  <si>
    <t>Supervisor de Equipamentos</t>
  </si>
  <si>
    <t>MARILIA ELZA DA SILVA</t>
  </si>
  <si>
    <t>MARINALDO JOSE LEITE</t>
  </si>
  <si>
    <t xml:space="preserve">MARIO ALVES DA SILVA </t>
  </si>
  <si>
    <t>MARIO ESTEVAM DE OLIVEIRA FILHO</t>
  </si>
  <si>
    <t>MARISON IGOR PEREIRA DA SILVA</t>
  </si>
  <si>
    <t>MARIVALDO SILVA DE SOUSA</t>
  </si>
  <si>
    <t>MARLON VITOR SOUZA DA SILVA</t>
  </si>
  <si>
    <t>MATEUS HENRIQUE MESSIAS VIEIRA</t>
  </si>
  <si>
    <t>MATEUS JOSE BATISTA DE ARAUJO</t>
  </si>
  <si>
    <t xml:space="preserve">MATEUS SANTOS DA LUZ </t>
  </si>
  <si>
    <t>MATHEUS BARBOSA DE BRITO LIMA</t>
  </si>
  <si>
    <t>MATHEUS FELIPE TORRES DE ALMEIDA</t>
  </si>
  <si>
    <t>Supervisor de Projetos</t>
  </si>
  <si>
    <t xml:space="preserve">MATHEUS FRANCISCO DA SILVA </t>
  </si>
  <si>
    <t>MATHEUS LUNA BARBOSA</t>
  </si>
  <si>
    <t>Lider de Manutencao</t>
  </si>
  <si>
    <t>MATHEUS MELO LUCAS PEDROSA</t>
  </si>
  <si>
    <t>MATUSALEM SILVA OLIVERIA</t>
  </si>
  <si>
    <t>MAURICIO BRITO DE LIMA</t>
  </si>
  <si>
    <t>MAYARA HELEN XAVIER DE SANTANA</t>
  </si>
  <si>
    <t>MESSIAS GUILHERME DA SILVA</t>
  </si>
  <si>
    <t xml:space="preserve">MICHAEL INOCENCIO DA SILVA </t>
  </si>
  <si>
    <t>MICHAEL VITOR JOAQUIM DA LUZ</t>
  </si>
  <si>
    <t>MIQUELANGELO DA SILVA ARAUJO</t>
  </si>
  <si>
    <t>MOISES RODRIGUES DA SILVA</t>
  </si>
  <si>
    <t xml:space="preserve">MONICA DE OLIVEIRA LIMA </t>
  </si>
  <si>
    <t>NADIVAL SEVERINO DA SILVA</t>
  </si>
  <si>
    <t>NADJA MARIA FERREIRA</t>
  </si>
  <si>
    <t>NATALIA CRISTHYNA RAMOS FREITAS</t>
  </si>
  <si>
    <t>Assistente Administrativo</t>
  </si>
  <si>
    <t>NATALICIO DE PAULA DA SILVA</t>
  </si>
  <si>
    <t>NELSON FERREIRA DE BARROS</t>
  </si>
  <si>
    <t>NICOLY RANESSA DA SILVA</t>
  </si>
  <si>
    <t>NILSON XAVIER DO NASCIMENTO</t>
  </si>
  <si>
    <t xml:space="preserve">ORLANDO DE SANTANA SANTOS </t>
  </si>
  <si>
    <t>OSCAR SANTANA DA SILVA</t>
  </si>
  <si>
    <t>Encarregado de Encanador</t>
  </si>
  <si>
    <t>OSVALDO FRANCISCO BARBOSA</t>
  </si>
  <si>
    <t xml:space="preserve">OZIEL CAVALCANTI DE ALBUQUERQUE </t>
  </si>
  <si>
    <t>OZIEL JOSE DA SILVA</t>
  </si>
  <si>
    <t>PABLO KAUAN SILVA COSTA</t>
  </si>
  <si>
    <t>PAULO ARMINDO DA SILVA</t>
  </si>
  <si>
    <t>PAULO CESAR SILVA DOS SANTOS</t>
  </si>
  <si>
    <t xml:space="preserve">PAULO DAYVISON DA SILVA FEITOSA </t>
  </si>
  <si>
    <t xml:space="preserve">PAULO DINIZ DA SILVA </t>
  </si>
  <si>
    <t>PAULO FERNANDO VASCONCELOS FIGUEIREDO</t>
  </si>
  <si>
    <t>PAULO FRANCISCO DA SILVA GOMES</t>
  </si>
  <si>
    <t>Operador de Betoneira</t>
  </si>
  <si>
    <t>PAULO HENRIQUE VIEIRA</t>
  </si>
  <si>
    <t>PAULO RAFAEL FERREIRA DIAS</t>
  </si>
  <si>
    <t>PAULO RICARDO DA SILVA SALES</t>
  </si>
  <si>
    <t>PAULO ROGERIO FERREIRA DO NASCIMENTO</t>
  </si>
  <si>
    <t>PAULO SOLEDADE DA SILVA</t>
  </si>
  <si>
    <t>PEDRO JOSE DE LIMA SILVA</t>
  </si>
  <si>
    <t>PEDRO JOSE DOS SANTOS</t>
  </si>
  <si>
    <t>PRISCILA DOS SANTOS SILVA</t>
  </si>
  <si>
    <t>RAFAEL FREITAS NUNES</t>
  </si>
  <si>
    <t>RAFAEL GOMES DOS SANTOS</t>
  </si>
  <si>
    <t>RAFAEL HENRIQUE CORDEIRO DE MELO</t>
  </si>
  <si>
    <t>RAFAEL JOSE DA SILVA</t>
  </si>
  <si>
    <t xml:space="preserve">RAFAEL LIMA DE ANDRADE </t>
  </si>
  <si>
    <t>RAFAEL LOPES TEIXEIRA</t>
  </si>
  <si>
    <t>RAFAEL MANOEL DA SILVA</t>
  </si>
  <si>
    <t>RAFAEL NADIVAL DA SILVA</t>
  </si>
  <si>
    <t>RAFAEL PRAGANA DE BARROS CORREIA</t>
  </si>
  <si>
    <t>RAIMUNDO NONATO ARAUJO</t>
  </si>
  <si>
    <t>RANYA NASCIMENTO SANTOS</t>
  </si>
  <si>
    <t>RAYNER CRISTIAN LIRA E SILVA</t>
  </si>
  <si>
    <t>REGINALDO JOSE DA SILVA</t>
  </si>
  <si>
    <t>REGINALDO PEDROSA DOS SANTOS</t>
  </si>
  <si>
    <t xml:space="preserve">REGINALDO RAMOS DE LIMA </t>
  </si>
  <si>
    <t xml:space="preserve">REGIVALDO HENRIQUE DE SOUZA </t>
  </si>
  <si>
    <t>RENAN ALVES DA SILVA</t>
  </si>
  <si>
    <t>RENAN JOAO NERIS DE MELO</t>
  </si>
  <si>
    <t>RENATO ALVES BELMIRO</t>
  </si>
  <si>
    <t>RENILDO GONCALVES DE OLIVEIRA</t>
  </si>
  <si>
    <t>RENILDO MARTINS DOS SANTOS</t>
  </si>
  <si>
    <t>RHUAN CESAR SOARES FERREIRA</t>
  </si>
  <si>
    <t>RICARDO DE LIMA MONTE</t>
  </si>
  <si>
    <t>RICARDO LUIZ NERE</t>
  </si>
  <si>
    <t>RILDO JOSE BARBOSA</t>
  </si>
  <si>
    <t>RINALBERTO BEZERRA DA LUZ</t>
  </si>
  <si>
    <t>RINALDO DE SOUZA SILVA</t>
  </si>
  <si>
    <t xml:space="preserve">ROBENILTON CORREIA DOS SANTOS </t>
  </si>
  <si>
    <t>ROBERTO ATOARES MOISES</t>
  </si>
  <si>
    <t>ROBERTO BRAGA DA SILVA</t>
  </si>
  <si>
    <t>ROBERTO DE MORAES CARDOSO FILHO</t>
  </si>
  <si>
    <t>ROBERTO FERREIRA MARQUES</t>
  </si>
  <si>
    <t>ROBERTO FRANCISCO DE ARAUJO</t>
  </si>
  <si>
    <t>ROBESON VERISSIMO DA SILVA</t>
  </si>
  <si>
    <t>ROBSON CORREIA DA SILVA</t>
  </si>
  <si>
    <t>ROBSON CRUZ DA SILVA</t>
  </si>
  <si>
    <t>ROBSON GOMES DA SILVA</t>
  </si>
  <si>
    <t>RODOLFO MOREIRA DE ANDRADE</t>
  </si>
  <si>
    <t>RODRIGO JOSE DA SILVA</t>
  </si>
  <si>
    <t>RODRIGO PAULINO SILVA DOS SANTOS</t>
  </si>
  <si>
    <t xml:space="preserve">RODRIGO SILVA DO NASCIMENTO </t>
  </si>
  <si>
    <t>ROGERIO VITORIANO VANDERLEI</t>
  </si>
  <si>
    <t>RONALDO DOS SANTOS ALVES</t>
  </si>
  <si>
    <t xml:space="preserve">RONALDO GONCALVES DE OLIVEIRA </t>
  </si>
  <si>
    <t>RONIERES LUIZ DOS SANTOS</t>
  </si>
  <si>
    <t xml:space="preserve">RONY RIBEIRO DE SENA </t>
  </si>
  <si>
    <t>ROSEILTON JOSE DE LIMA</t>
  </si>
  <si>
    <t>ROSEILTON JOSE DE LIMA JUNIOR</t>
  </si>
  <si>
    <t>ROSIVALDO RIBEIRO DE MOURA</t>
  </si>
  <si>
    <t>ROZELIO FELIPE DA SILVA</t>
  </si>
  <si>
    <t>SAMUEL DAS NEVES DOS SANTOS</t>
  </si>
  <si>
    <t>SANDRA LUCIA SILVA SOUTO</t>
  </si>
  <si>
    <t>SANDRO BERNARDO CAMPELO JUNIOR</t>
  </si>
  <si>
    <t>SANDRO JOSE FRANCISCO</t>
  </si>
  <si>
    <t>SERGIO CARLOS MAGALHAES</t>
  </si>
  <si>
    <t>SERGIO ESTOLANO DA SILVA</t>
  </si>
  <si>
    <t>SERGIO GOMES DE LIRA</t>
  </si>
  <si>
    <t>SERGIO JOSE DE BARROS</t>
  </si>
  <si>
    <t>SERGIO MURILO LOURENCO DA SILVA</t>
  </si>
  <si>
    <t xml:space="preserve">SERGIO NAELSON DA SILVA </t>
  </si>
  <si>
    <t>SEVERINO ANTONIO DA SILVA FILHO</t>
  </si>
  <si>
    <t>SEVERINO COSMO DOS SANTOS</t>
  </si>
  <si>
    <t>SEVERINO FERREIRA DE OLIVEIRA FILHO</t>
  </si>
  <si>
    <t>SEVERINO JOSE DA SILVA</t>
  </si>
  <si>
    <t>SEVERINO JOSE DINIZ</t>
  </si>
  <si>
    <t>SEVERINO MAURICIO DO NASCIMENTO</t>
  </si>
  <si>
    <t>SEVERINO MAURICIO DO NASCIMENTO JUNIOR</t>
  </si>
  <si>
    <t>Marmorista</t>
  </si>
  <si>
    <t xml:space="preserve">SEVERINO MENDES DA SILVA MELO </t>
  </si>
  <si>
    <t>SEVERINO RAMOS DA SILVA</t>
  </si>
  <si>
    <t xml:space="preserve">SEVERINO WELLINGTON DA SILVA BARBOSA </t>
  </si>
  <si>
    <t>SILVANIO DA SILVA BEZERRA</t>
  </si>
  <si>
    <t>SILVANIO DA SILVA PROFIRO</t>
  </si>
  <si>
    <t>SILVANO ANTONIO DE FREITAS</t>
  </si>
  <si>
    <t>SIMONE MARIA DA SILVA</t>
  </si>
  <si>
    <t xml:space="preserve">SIMONE MARIA DOS SANTOS </t>
  </si>
  <si>
    <t>STENIO TEODOZIO DA SILVA</t>
  </si>
  <si>
    <t xml:space="preserve">STEPHANY ROBERTA LOPES CRISTOVAM </t>
  </si>
  <si>
    <t>ESTAGIARIO TEC.SEG.TRABALHO</t>
  </si>
  <si>
    <t>SUELYSON ROCHA DA SILVA</t>
  </si>
  <si>
    <t xml:space="preserve">SUILISSE JOSE DE ARAUJO </t>
  </si>
  <si>
    <t>TALISSON RIBEIRO DO NASCIMENTO</t>
  </si>
  <si>
    <t xml:space="preserve">TARCISIO NASCIMENTO DAMAZIO </t>
  </si>
  <si>
    <t xml:space="preserve">TATIANE CAMPELO BATISTA DA SILVA </t>
  </si>
  <si>
    <t xml:space="preserve">THALYSON BRENO COSTA DA SILVA </t>
  </si>
  <si>
    <t>THAMYRES DE ARAUJO GOMES DE LIMA</t>
  </si>
  <si>
    <t xml:space="preserve">THAYZA MARQUES DO CARMO MENEZES </t>
  </si>
  <si>
    <t>THIAGO ANTONIO SOARES DA SILVA</t>
  </si>
  <si>
    <t>TIAGO GOMES ARAUJO</t>
  </si>
  <si>
    <t>TONI CARLOS DA SILVA MONTEIRO</t>
  </si>
  <si>
    <t>TONY JOSE CARNEIRO FILHO</t>
  </si>
  <si>
    <t>Gerente Tecnico</t>
  </si>
  <si>
    <t xml:space="preserve">TONY PAIXAO DO NASCIMENTO </t>
  </si>
  <si>
    <t>UELITON AGOSTINHO DO NASCIMENTO</t>
  </si>
  <si>
    <t xml:space="preserve">UILSON JOSE SANTOS </t>
  </si>
  <si>
    <t>VALDEIR RAFAEL BARBOSA DA SILVA</t>
  </si>
  <si>
    <t>VALDEMAR JOSE DE OLIVEIRA FILHO</t>
  </si>
  <si>
    <t>VALDEVAM VIRGINIO DA SILVA</t>
  </si>
  <si>
    <t>VALDILENE AMARINA DE SANTANA</t>
  </si>
  <si>
    <t>VALDIR JOSE DA SILVA</t>
  </si>
  <si>
    <t>VALDIR SANTANA DA SILVA</t>
  </si>
  <si>
    <t>VANDERLEI FELIX DA SILVA</t>
  </si>
  <si>
    <t>VANESSA CARVALHO DE ARAUJO</t>
  </si>
  <si>
    <t>VERINALDO DA SILVA</t>
  </si>
  <si>
    <t>VERONILDO FRANCISCO DO NASCIMENTO</t>
  </si>
  <si>
    <t xml:space="preserve">VICENTE RODOLFO DA SILVA FILHO </t>
  </si>
  <si>
    <t>VINICIUS MATHEUS DA SILVA</t>
  </si>
  <si>
    <t>VITOR FERNANDES MONTEIRO COSTA</t>
  </si>
  <si>
    <t>Lider de Manutenção</t>
  </si>
  <si>
    <t>VITOR MANOEL BEZERRA ALVES LIRA</t>
  </si>
  <si>
    <t>WAGNER DA SILVA FLORENTINO</t>
  </si>
  <si>
    <t>WALDEYR DOS SANTOS SILVA</t>
  </si>
  <si>
    <t>WALLISSON VINICIUS DA SILVA</t>
  </si>
  <si>
    <t>WANDERSON ROBERTO DA SILVA</t>
  </si>
  <si>
    <t>WASHINGTON THARRETIS FERREIRA DOS SANTOS</t>
  </si>
  <si>
    <t>WEDAMYM DOS SANTOS SILVA</t>
  </si>
  <si>
    <t>WELISSON ROBERTO DA SILVA</t>
  </si>
  <si>
    <t>WELKSON JUVENILDO DA SILVA</t>
  </si>
  <si>
    <t>WELLESON BARBOSA DA ROCHA</t>
  </si>
  <si>
    <t>WELLINGTON CONCEICAO BOA MORTE</t>
  </si>
  <si>
    <t>WELLINGTON JOSE MONTEIRO</t>
  </si>
  <si>
    <t>WELLINGTON LEMOS DA PAIXAO</t>
  </si>
  <si>
    <t>WELLINGTON SEVERINO DOS SANTOS</t>
  </si>
  <si>
    <t>WELSON JOSE DE LIMA</t>
  </si>
  <si>
    <t>WESLEY BANDEIRA LIMA</t>
  </si>
  <si>
    <t>WILKSON JUVENILDO DA SILVA</t>
  </si>
  <si>
    <t>WILLAMES FLORENTINO DA SILVA</t>
  </si>
  <si>
    <t xml:space="preserve">WILLAMS JOSE DE OLIVEIRA </t>
  </si>
  <si>
    <t>WILLIAM PALACIO FERREIRA JUNIOR</t>
  </si>
  <si>
    <t>WILLIAMS DAVID SOARES DA PAZ</t>
  </si>
  <si>
    <t>WILLIAMS RONALDO DE ALBUQUERQUE</t>
  </si>
  <si>
    <t xml:space="preserve">WILSON ANTONIO DA SILVA </t>
  </si>
  <si>
    <t>WLADEMIR JOSE DA SILVA</t>
  </si>
  <si>
    <t>WLADIMIR ALVES DE LIMA</t>
  </si>
  <si>
    <t>XAVIER RIBEIRO DA SILVA</t>
  </si>
  <si>
    <t>YASMIN CAMILLE SANTOS DA SILVA</t>
  </si>
  <si>
    <t>YRONEIS DIAS DA SILVA</t>
  </si>
  <si>
    <t xml:space="preserve">ZAQUEL JOSE DA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</si>
</sst>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R$&quot;* #,##0.00_);_(&quot;R$&quot;* \(#,##0.00\);_(&quot;R$&quot;* &quot;-&quot;??_);_(@_)"/>
    <numFmt numFmtId="165" formatCode="&quot;R$&quot;#,##0.00;\-&quot;R$&quot;#,##0.00"/>
    <numFmt numFmtId="166" formatCode="&quot;R$ &quot;###,###,##0.00"/>
    <numFmt numFmtId="167" formatCode="&quot;R$&quot;#,##0.00_);[Red]\(&quot;R$&quot;#,##0.00\)"/>
    <numFmt numFmtId="168" formatCode="&quot;R$&quot;#,##0.00_);\(&quot;R$&quot;#,##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0"/>
      <name val="Aptos"/>
      <family val="2"/>
    </font>
    <font>
      <sz val="10"/>
      <color rgb="FF000000"/>
      <name val="Aptos"/>
      <family val="2"/>
    </font>
    <font>
      <b/>
      <sz val="10"/>
      <color theme="0"/>
      <name val="Aptos"/>
      <family val="2"/>
    </font>
    <font>
      <sz val="9"/>
      <color rgb="FF000000"/>
      <name val="Calibri Light"/>
      <family val="2"/>
      <scheme val="major"/>
    </font>
    <font>
      <sz val="11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Font="0" applyFill="0" applyBorder="0" applyAlignment="0" applyProtection="0">
      <alignment horizontal="left" vertical="top" wrapText="1"/>
    </xf>
  </cellStyleXfs>
  <cellXfs count="40">
    <xf numFmtId="0" fontId="0" fillId="0" borderId="0" xfId="0"/>
    <xf numFmtId="0" fontId="3" fillId="3" borderId="1" xfId="2" applyNumberFormat="1" applyFont="1" applyFill="1" applyBorder="1" applyAlignment="1" applyProtection="1">
      <alignment horizontal="center" vertical="center"/>
    </xf>
    <xf numFmtId="0" fontId="4" fillId="4" borderId="0" xfId="2" applyNumberFormat="1" applyFont="1" applyFill="1" applyBorder="1" applyAlignment="1" applyProtection="1">
      <alignment horizontal="left" vertical="center" wrapText="1"/>
    </xf>
    <xf numFmtId="0" fontId="4" fillId="4" borderId="0" xfId="2" applyNumberFormat="1" applyFont="1" applyFill="1" applyBorder="1" applyAlignment="1" applyProtection="1">
      <alignment horizontal="center" vertical="center" wrapText="1"/>
    </xf>
    <xf numFmtId="0" fontId="4" fillId="5" borderId="0" xfId="2" applyNumberFormat="1" applyFont="1" applyFill="1" applyBorder="1" applyAlignment="1" applyProtection="1">
      <alignment horizontal="left" vertical="center" wrapText="1"/>
    </xf>
    <xf numFmtId="0" fontId="4" fillId="5" borderId="0" xfId="2" applyNumberFormat="1" applyFont="1" applyFill="1" applyBorder="1" applyAlignment="1" applyProtection="1">
      <alignment horizontal="center" vertical="center" wrapText="1"/>
    </xf>
    <xf numFmtId="0" fontId="4" fillId="6" borderId="0" xfId="2" applyNumberFormat="1" applyFont="1" applyFill="1" applyBorder="1" applyAlignment="1" applyProtection="1">
      <alignment horizontal="left" vertical="center" wrapText="1"/>
    </xf>
    <xf numFmtId="0" fontId="4" fillId="7" borderId="0" xfId="2" applyNumberFormat="1" applyFont="1" applyFill="1" applyBorder="1" applyAlignment="1" applyProtection="1">
      <alignment horizontal="left" vertical="center" wrapText="1"/>
    </xf>
    <xf numFmtId="0" fontId="5" fillId="3" borderId="1" xfId="2" applyNumberFormat="1" applyFont="1" applyFill="1" applyBorder="1" applyAlignment="1" applyProtection="1">
      <alignment horizontal="center" vertical="center" wrapText="1"/>
    </xf>
    <xf numFmtId="164" fontId="5" fillId="3" borderId="1" xfId="1" applyFont="1" applyFill="1" applyBorder="1" applyAlignment="1" applyProtection="1">
      <alignment horizontal="center" vertical="center" wrapText="1"/>
    </xf>
    <xf numFmtId="164" fontId="3" fillId="3" borderId="1" xfId="1" applyFont="1" applyFill="1" applyBorder="1" applyAlignment="1" applyProtection="1">
      <alignment horizontal="center" vertical="center"/>
    </xf>
    <xf numFmtId="0" fontId="4" fillId="0" borderId="0" xfId="2" applyNumberFormat="1" applyFont="1" applyFill="1" applyBorder="1" applyAlignment="1" applyProtection="1">
      <alignment horizontal="left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6" fillId="8" borderId="1" xfId="2" applyNumberFormat="1" applyFont="1" applyFill="1" applyBorder="1" applyAlignment="1" applyProtection="1">
      <alignment horizontal="left" vertical="top" wrapText="1"/>
    </xf>
    <xf numFmtId="0" fontId="4" fillId="4" borderId="0" xfId="2" applyNumberFormat="1" applyFont="1" applyFill="1" applyBorder="1" applyAlignment="1" applyProtection="1">
      <alignment horizontal="left" vertical="center"/>
    </xf>
    <xf numFmtId="0" fontId="4" fillId="4" borderId="0" xfId="2" applyNumberFormat="1" applyFont="1" applyFill="1" applyBorder="1" applyAlignment="1" applyProtection="1">
      <alignment horizontal="center" vertical="center"/>
    </xf>
    <xf numFmtId="0" fontId="4" fillId="5" borderId="0" xfId="2" applyNumberFormat="1" applyFont="1" applyFill="1" applyBorder="1" applyAlignment="1" applyProtection="1">
      <alignment horizontal="left" vertical="center"/>
    </xf>
    <xf numFmtId="0" fontId="4" fillId="5" borderId="0" xfId="2" applyNumberFormat="1" applyFont="1" applyFill="1" applyBorder="1" applyAlignment="1" applyProtection="1">
      <alignment horizontal="center" vertical="center"/>
    </xf>
    <xf numFmtId="0" fontId="4" fillId="6" borderId="0" xfId="2" applyNumberFormat="1" applyFont="1" applyFill="1" applyBorder="1" applyAlignment="1" applyProtection="1">
      <alignment horizontal="left" vertical="center"/>
    </xf>
    <xf numFmtId="0" fontId="4" fillId="7" borderId="0" xfId="2" applyNumberFormat="1" applyFont="1" applyFill="1" applyBorder="1" applyAlignment="1" applyProtection="1">
      <alignment horizontal="left" vertical="center"/>
    </xf>
    <xf numFmtId="165" fontId="6" fillId="8" borderId="1" xfId="2" applyNumberFormat="1" applyFont="1" applyFill="1" applyBorder="1" applyAlignment="1" applyProtection="1">
      <alignment horizontal="right" vertical="top" wrapText="1"/>
    </xf>
    <xf numFmtId="14" fontId="6" fillId="8" borderId="1" xfId="2" applyNumberFormat="1" applyFont="1" applyFill="1" applyBorder="1" applyAlignment="1" applyProtection="1">
      <alignment horizontal="center" vertical="top" wrapText="1"/>
    </xf>
    <xf numFmtId="14" fontId="6" fillId="0" borderId="1" xfId="2" applyNumberFormat="1" applyFont="1" applyFill="1" applyBorder="1" applyAlignment="1" applyProtection="1">
      <alignment horizontal="center" vertical="center"/>
    </xf>
    <xf numFmtId="166" fontId="6" fillId="0" borderId="1" xfId="2" applyNumberFormat="1" applyFont="1" applyFill="1" applyBorder="1" applyAlignment="1" applyProtection="1">
      <alignment horizontal="right" vertical="center"/>
    </xf>
    <xf numFmtId="0" fontId="6" fillId="0" borderId="1" xfId="2" applyNumberFormat="1" applyFont="1" applyFill="1" applyBorder="1" applyAlignment="1" applyProtection="1">
      <alignment horizontal="right" vertical="center"/>
    </xf>
    <xf numFmtId="164" fontId="6" fillId="0" borderId="1" xfId="1" applyFont="1" applyFill="1" applyBorder="1" applyAlignment="1" applyProtection="1">
      <alignment horizontal="right" vertical="center"/>
    </xf>
    <xf numFmtId="0" fontId="4" fillId="0" borderId="0" xfId="2" applyNumberFormat="1" applyFont="1" applyFill="1" applyBorder="1" applyAlignment="1" applyProtection="1">
      <alignment horizontal="left" vertical="center"/>
    </xf>
    <xf numFmtId="4" fontId="4" fillId="0" borderId="0" xfId="2" applyNumberFormat="1" applyFont="1" applyFill="1" applyBorder="1" applyAlignment="1" applyProtection="1">
      <alignment horizontal="center" vertical="center"/>
    </xf>
    <xf numFmtId="167" fontId="4" fillId="0" borderId="0" xfId="2" applyNumberFormat="1" applyFont="1" applyFill="1" applyBorder="1" applyAlignment="1" applyProtection="1">
      <alignment horizontal="left" vertical="center"/>
    </xf>
    <xf numFmtId="14" fontId="6" fillId="0" borderId="1" xfId="2" applyNumberFormat="1" applyFont="1" applyFill="1" applyBorder="1" applyAlignment="1" applyProtection="1">
      <alignment horizontal="left" vertical="center"/>
    </xf>
    <xf numFmtId="0" fontId="6" fillId="0" borderId="1" xfId="2" applyNumberFormat="1" applyFont="1" applyFill="1" applyBorder="1" applyAlignment="1" applyProtection="1">
      <alignment horizontal="left" vertical="center"/>
    </xf>
    <xf numFmtId="2" fontId="6" fillId="0" borderId="1" xfId="2" applyNumberFormat="1" applyFont="1" applyFill="1" applyBorder="1" applyAlignment="1" applyProtection="1">
      <alignment horizontal="right" vertical="center"/>
    </xf>
    <xf numFmtId="4" fontId="4" fillId="0" borderId="0" xfId="2" applyNumberFormat="1" applyFont="1" applyFill="1" applyBorder="1" applyAlignment="1" applyProtection="1">
      <alignment horizontal="left" vertical="center"/>
    </xf>
    <xf numFmtId="168" fontId="6" fillId="0" borderId="1" xfId="2" applyNumberFormat="1" applyFont="1" applyFill="1" applyBorder="1" applyAlignment="1" applyProtection="1">
      <alignment horizontal="left" vertical="center"/>
    </xf>
    <xf numFmtId="164" fontId="6" fillId="0" borderId="1" xfId="1" applyFont="1" applyFill="1" applyBorder="1" applyAlignment="1" applyProtection="1">
      <alignment horizontal="left" vertical="center"/>
    </xf>
    <xf numFmtId="0" fontId="4" fillId="0" borderId="0" xfId="2" applyNumberFormat="1" applyFont="1" applyFill="1" applyBorder="1" applyAlignment="1" applyProtection="1">
      <alignment horizontal="center" vertical="center"/>
    </xf>
    <xf numFmtId="0" fontId="6" fillId="0" borderId="1" xfId="2" applyNumberFormat="1" applyFont="1" applyFill="1" applyBorder="1" applyAlignment="1" applyProtection="1">
      <alignment horizontal="center" vertical="center"/>
    </xf>
    <xf numFmtId="0" fontId="7" fillId="0" borderId="1" xfId="2" applyNumberFormat="1" applyFont="1" applyFill="1" applyBorder="1" applyAlignment="1" applyProtection="1">
      <alignment horizontal="left" vertical="center"/>
    </xf>
    <xf numFmtId="0" fontId="4" fillId="0" borderId="1" xfId="2" applyNumberFormat="1" applyFont="1" applyFill="1" applyBorder="1" applyAlignment="1" applyProtection="1">
      <alignment horizontal="left" vertical="center"/>
    </xf>
    <xf numFmtId="164" fontId="7" fillId="0" borderId="1" xfId="1" applyFont="1" applyFill="1" applyBorder="1" applyAlignment="1" applyProtection="1">
      <alignment horizontal="left" vertical="center"/>
    </xf>
  </cellXfs>
  <cellStyles count="3">
    <cellStyle name="Moeda" xfId="1" builtinId="4"/>
    <cellStyle name="Normal" xfId="0" builtinId="0"/>
    <cellStyle name="Normal 2" xfId="2" xr:uid="{B353D562-63A9-4CFB-90B7-8F7B56F5F1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ioaveadm.sharepoint.com/sites/CLOUDRA/ENGENHARIA/GEST&#195;O%20DE%20OBRAS/03%20-%20Arquivos%20Gerenciais/08%20-%20Controle%20M&#227;o%20de%20Obra/AN&#193;LISE%20DE%20M.O.xlsm" TargetMode="External"/><Relationship Id="rId1" Type="http://schemas.openxmlformats.org/officeDocument/2006/relationships/externalLinkPath" Target="https://rioaveadm.sharepoint.com/sites/CLOUDRA/ENGENHARIA/GEST&#195;O%20DE%20OBRAS/03%20-%20Arquivos%20Gerenciais/08%20-%20Controle%20M&#227;o%20de%20Obra/AN&#193;LISE%20DE%20M.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IDAÇÃO"/>
      <sheetName val="EFETIVO ENGENHARIA"/>
      <sheetName val="FOLHA_DP"/>
      <sheetName val="CUSTO E PLANEJAMENTO"/>
      <sheetName val="PESO PRODUÇÃO"/>
      <sheetName val="PESO HH"/>
      <sheetName val="RANK RESUMO"/>
      <sheetName val="DADOS - BOSSA"/>
      <sheetName val="BOSSA"/>
      <sheetName val="DADOS - MARIE CURIE"/>
      <sheetName val="RANK RESUMO - MARIE CURIE"/>
      <sheetName val="MARIE CURIE"/>
      <sheetName val="DADOS - VIVANT"/>
      <sheetName val="VIVANT"/>
      <sheetName val="RANK RESUMO - VIVANT"/>
      <sheetName val="DADOS - UNIQUE"/>
      <sheetName val="RANK RESUMO - UNIQUE"/>
      <sheetName val="UNIQUE"/>
      <sheetName val="DADOS - ESSENZA"/>
      <sheetName val="RANK RESUMO - ESSENZA"/>
      <sheetName val="ESSENZA"/>
      <sheetName val="DADOS - AUGURI"/>
      <sheetName val="RANK RESUMO - AUGURI"/>
      <sheetName val="AUGURI"/>
      <sheetName val="LOGIN"/>
      <sheetName val="RANK RESUMO - ÂNGELA"/>
      <sheetName val="DADOS - ÂNGELA"/>
      <sheetName val="ÂNGELA"/>
    </sheetNames>
    <sheetDataSet>
      <sheetData sheetId="0">
        <row r="13">
          <cell r="D13" t="str">
            <v>Armador de estrutura de concreto</v>
          </cell>
          <cell r="E13" t="str">
            <v>DIRETO</v>
          </cell>
        </row>
        <row r="14">
          <cell r="D14" t="str">
            <v>Servente de obras</v>
          </cell>
          <cell r="E14" t="str">
            <v>DIRETO</v>
          </cell>
        </row>
        <row r="15">
          <cell r="D15" t="str">
            <v>Encanador</v>
          </cell>
          <cell r="E15" t="str">
            <v>DIRETO</v>
          </cell>
        </row>
        <row r="16">
          <cell r="D16" t="str">
            <v>Operador de betoneira</v>
          </cell>
          <cell r="E16" t="str">
            <v>DIRETO</v>
          </cell>
        </row>
        <row r="17">
          <cell r="D17" t="str">
            <v>Encarregado de Obra</v>
          </cell>
          <cell r="E17" t="str">
            <v>INDIRETO</v>
          </cell>
        </row>
        <row r="18">
          <cell r="D18" t="str">
            <v>Assistente de DP</v>
          </cell>
          <cell r="E18" t="str">
            <v>INDIRETO</v>
          </cell>
        </row>
        <row r="19">
          <cell r="D19" t="str">
            <v>Carpinteiro de obras</v>
          </cell>
          <cell r="E19" t="str">
            <v>DIRETO</v>
          </cell>
        </row>
        <row r="20">
          <cell r="D20" t="str">
            <v>Servente</v>
          </cell>
          <cell r="E20" t="str">
            <v>DIRETO</v>
          </cell>
        </row>
        <row r="21">
          <cell r="D21" t="str">
            <v>Auxiliar de Engenharia Civil</v>
          </cell>
          <cell r="E21" t="str">
            <v>INDIRETO</v>
          </cell>
        </row>
        <row r="22">
          <cell r="D22" t="str">
            <v>Almoxarife</v>
          </cell>
          <cell r="E22" t="str">
            <v>INDIRETO</v>
          </cell>
        </row>
        <row r="23">
          <cell r="D23" t="str">
            <v>ENCARREGADO DE CARPINTARIA</v>
          </cell>
          <cell r="E23" t="str">
            <v>INDIRETO</v>
          </cell>
        </row>
        <row r="24">
          <cell r="D24" t="str">
            <v>Carpinteiro</v>
          </cell>
          <cell r="E24" t="str">
            <v>DIRETO</v>
          </cell>
        </row>
        <row r="25">
          <cell r="D25" t="str">
            <v>Coordenador de Projetos</v>
          </cell>
          <cell r="E25" t="str">
            <v>INDIRETO</v>
          </cell>
        </row>
        <row r="26">
          <cell r="D26" t="str">
            <v>Operador de Grua</v>
          </cell>
          <cell r="E26" t="str">
            <v>DIRETO</v>
          </cell>
        </row>
        <row r="27">
          <cell r="D27" t="str">
            <v>Armador</v>
          </cell>
          <cell r="E27" t="str">
            <v>DIRETO</v>
          </cell>
        </row>
        <row r="28">
          <cell r="D28" t="str">
            <v>Operador de Elevador Cremalheira</v>
          </cell>
          <cell r="E28" t="str">
            <v>DIRETO</v>
          </cell>
        </row>
        <row r="29">
          <cell r="D29" t="str">
            <v>Estagiario Engenharia Civil</v>
          </cell>
          <cell r="E29" t="str">
            <v>INDIRETO</v>
          </cell>
        </row>
        <row r="30">
          <cell r="D30" t="str">
            <v>Mestre de Obras I</v>
          </cell>
          <cell r="E30" t="str">
            <v>INDIRETO</v>
          </cell>
        </row>
        <row r="31">
          <cell r="D31" t="str">
            <v>Tecnico em Seguranca do Trabalho</v>
          </cell>
          <cell r="E31" t="str">
            <v>INDIRETO</v>
          </cell>
        </row>
        <row r="32">
          <cell r="D32" t="str">
            <v>Sinaleiro</v>
          </cell>
          <cell r="E32" t="str">
            <v>DIRETO</v>
          </cell>
        </row>
        <row r="33">
          <cell r="D33" t="str">
            <v>Pedreiro</v>
          </cell>
          <cell r="E33" t="str">
            <v>DIRETO</v>
          </cell>
        </row>
        <row r="34">
          <cell r="D34" t="str">
            <v>Eletricista</v>
          </cell>
          <cell r="E34" t="str">
            <v>DIRETO</v>
          </cell>
        </row>
        <row r="35">
          <cell r="D35" t="str">
            <v>Encarregado Eletricista de Instalacoes</v>
          </cell>
          <cell r="E35" t="str">
            <v>INDIRETO</v>
          </cell>
        </row>
        <row r="36">
          <cell r="D36" t="str">
            <v>Estagiario Arquitetura</v>
          </cell>
          <cell r="E36" t="str">
            <v>INDIRETO</v>
          </cell>
        </row>
        <row r="37">
          <cell r="D37" t="str">
            <v>Aprendiz Administrativo</v>
          </cell>
          <cell r="E37" t="str">
            <v>INDIRETO</v>
          </cell>
        </row>
        <row r="38">
          <cell r="D38" t="str">
            <v>Auxiliar de Almoxarife</v>
          </cell>
          <cell r="E38" t="str">
            <v>INDIRETO</v>
          </cell>
        </row>
        <row r="39">
          <cell r="D39" t="str">
            <v>COORDENADOR DE ENGENHARIA</v>
          </cell>
          <cell r="E39" t="str">
            <v>INDIRETO</v>
          </cell>
        </row>
        <row r="40">
          <cell r="D40" t="str">
            <v>Auxiliar de Encanador</v>
          </cell>
          <cell r="E40" t="str">
            <v>DIRETO</v>
          </cell>
        </row>
        <row r="41">
          <cell r="D41" t="str">
            <v>Auxiliar de Eletricista</v>
          </cell>
          <cell r="E41" t="str">
            <v>DIRETO</v>
          </cell>
        </row>
        <row r="42">
          <cell r="D42" t="str">
            <v>Encarregado de Obras (construÃ§Ã£o civil)</v>
          </cell>
          <cell r="E42" t="str">
            <v>INDIRETO</v>
          </cell>
        </row>
        <row r="43">
          <cell r="D43" t="str">
            <v>Marceneiro</v>
          </cell>
          <cell r="E43" t="str">
            <v>DIRETO</v>
          </cell>
        </row>
        <row r="44">
          <cell r="D44" t="str">
            <v>Encarregado de Encanador</v>
          </cell>
          <cell r="E44" t="str">
            <v>INDIRETO</v>
          </cell>
        </row>
        <row r="45">
          <cell r="D45" t="str">
            <v>Estagiario Tec Seg Trabalho</v>
          </cell>
          <cell r="E45" t="str">
            <v>INDIRETO</v>
          </cell>
        </row>
        <row r="46">
          <cell r="D46" t="str">
            <v>Gesseiro</v>
          </cell>
          <cell r="E46" t="str">
            <v>DIRETO</v>
          </cell>
        </row>
        <row r="47">
          <cell r="D47" t="str">
            <v>Encarregado de Armacao</v>
          </cell>
          <cell r="E47" t="str">
            <v>INDIRETO</v>
          </cell>
        </row>
        <row r="48">
          <cell r="D48" t="str">
            <v>Mestre de Obra II</v>
          </cell>
          <cell r="E48" t="str">
            <v>INDIRETO</v>
          </cell>
        </row>
        <row r="49">
          <cell r="D49" t="str">
            <v>Engenheiro Trainee</v>
          </cell>
          <cell r="E49" t="str">
            <v>INDIRETO</v>
          </cell>
        </row>
        <row r="50">
          <cell r="D50" t="str">
            <v>ESTAGIARIO DE ARQUITETURA</v>
          </cell>
          <cell r="E50" t="str">
            <v>INDIRETO</v>
          </cell>
        </row>
        <row r="51">
          <cell r="D51" t="str">
            <v>TECNICO (A) DE EDIFICACOES</v>
          </cell>
          <cell r="E51" t="str">
            <v>INDIRETO</v>
          </cell>
        </row>
        <row r="52">
          <cell r="D52" t="str">
            <v>Recepcionista</v>
          </cell>
          <cell r="E52" t="str">
            <v>INDIRETO</v>
          </cell>
        </row>
        <row r="53">
          <cell r="D53" t="str">
            <v>Mestre de Obras</v>
          </cell>
          <cell r="E53" t="str">
            <v>INDIRETO</v>
          </cell>
        </row>
        <row r="54">
          <cell r="D54" t="str">
            <v>GarÃ§om</v>
          </cell>
          <cell r="E54" t="str">
            <v>INDIRETO</v>
          </cell>
        </row>
        <row r="55">
          <cell r="D55" t="str">
            <v>Servicos Gerais</v>
          </cell>
          <cell r="E55" t="str">
            <v>INDIRETO</v>
          </cell>
        </row>
        <row r="56">
          <cell r="D56" t="str">
            <v>AUX DE ALMOXARIFE</v>
          </cell>
          <cell r="E56" t="str">
            <v>INDIRETO</v>
          </cell>
        </row>
        <row r="57">
          <cell r="D57" t="str">
            <v>Pintor</v>
          </cell>
          <cell r="E57" t="str">
            <v>DIRETO</v>
          </cell>
        </row>
        <row r="58">
          <cell r="D58" t="str">
            <v>MONTADOR DE ANDAIMES (EDIFICACOES)</v>
          </cell>
          <cell r="E58" t="str">
            <v>DIRETO</v>
          </cell>
        </row>
        <row r="59">
          <cell r="D59" t="str">
            <v>Jovem Aprendiz</v>
          </cell>
          <cell r="E59" t="str">
            <v>INDIRETO</v>
          </cell>
        </row>
        <row r="60">
          <cell r="D60" t="str">
            <v>Auxiliar de Servicos Gerais</v>
          </cell>
          <cell r="E60" t="str">
            <v>INDIRETO</v>
          </cell>
        </row>
        <row r="61">
          <cell r="D61" t="str">
            <v>Analista de Controladoria</v>
          </cell>
          <cell r="E61" t="str">
            <v>INDIRETO</v>
          </cell>
        </row>
        <row r="62">
          <cell r="D62" t="str">
            <v>ENCARREGADO DE HIDRAULICA</v>
          </cell>
          <cell r="E62" t="str">
            <v>INDIRETO</v>
          </cell>
        </row>
        <row r="63">
          <cell r="D63" t="str">
            <v>ENCARREGADO DE OBRAS</v>
          </cell>
          <cell r="E63" t="str">
            <v>INDIRETO</v>
          </cell>
        </row>
        <row r="64">
          <cell r="D64" t="str">
            <v>Auxiliar Administrativo</v>
          </cell>
          <cell r="E64" t="str">
            <v>INDIRETO</v>
          </cell>
        </row>
        <row r="65">
          <cell r="D65" t="str">
            <v>AUX TEC SEG TRABALHO</v>
          </cell>
          <cell r="E65" t="str">
            <v>INDIRETO</v>
          </cell>
        </row>
        <row r="66">
          <cell r="D66" t="str">
            <v>SERRALHEIRO</v>
          </cell>
          <cell r="E66" t="str">
            <v>DIRETO</v>
          </cell>
        </row>
        <row r="67">
          <cell r="D67" t="str">
            <v>Auxiliar de Topografia</v>
          </cell>
          <cell r="E67" t="str">
            <v>INDIRETO</v>
          </cell>
        </row>
        <row r="68">
          <cell r="D68" t="str">
            <v>Assistente de Projetos</v>
          </cell>
          <cell r="E68" t="str">
            <v>INDIRETO</v>
          </cell>
        </row>
        <row r="69">
          <cell r="D69" t="str">
            <v>Supervisor de Equipamentos</v>
          </cell>
          <cell r="E69" t="str">
            <v>INDIRETO</v>
          </cell>
        </row>
        <row r="70">
          <cell r="D70" t="str">
            <v>Coordenador de obras</v>
          </cell>
          <cell r="E70" t="str">
            <v>INDIRETO</v>
          </cell>
        </row>
        <row r="71">
          <cell r="D71" t="str">
            <v>Lider de Manutenção</v>
          </cell>
          <cell r="E71" t="str">
            <v>INDIRETO</v>
          </cell>
        </row>
        <row r="72">
          <cell r="D72" t="str">
            <v>Coordenador de Seguranca do Trabalho</v>
          </cell>
          <cell r="E72" t="str">
            <v>INDIRETO</v>
          </cell>
        </row>
        <row r="73">
          <cell r="D73" t="str">
            <v>Auxiliar de Arquitetura</v>
          </cell>
          <cell r="E73" t="str">
            <v>INDIRETO</v>
          </cell>
        </row>
        <row r="74">
          <cell r="D74" t="str">
            <v>OPERADOR DE GUINCHO</v>
          </cell>
          <cell r="E74" t="str">
            <v>DIRETO</v>
          </cell>
        </row>
        <row r="75">
          <cell r="D75" t="str">
            <v>ESTAGIÁRIO DE INSTALACOES ELETRICAS</v>
          </cell>
          <cell r="E75" t="str">
            <v>INDIRETO</v>
          </cell>
        </row>
        <row r="76">
          <cell r="D76" t="str">
            <v>Gerente de Instalacoes</v>
          </cell>
          <cell r="E76" t="str">
            <v>INDIRETO</v>
          </cell>
        </row>
        <row r="77">
          <cell r="D77" t="str">
            <v>AUXILIAR DE LOGISTICA</v>
          </cell>
          <cell r="E77" t="str">
            <v>DIRETO</v>
          </cell>
        </row>
        <row r="78">
          <cell r="D78" t="str">
            <v>Auxiliar de Almoxarifado</v>
          </cell>
          <cell r="E78" t="str">
            <v>INDIRETO</v>
          </cell>
        </row>
        <row r="79">
          <cell r="D79" t="str">
            <v>Analista de Qualidade</v>
          </cell>
          <cell r="E79" t="str">
            <v>INDIRETO</v>
          </cell>
        </row>
        <row r="80">
          <cell r="D80" t="str">
            <v>Lider de Manutencao</v>
          </cell>
          <cell r="E80" t="str">
            <v>INDIRETO</v>
          </cell>
        </row>
        <row r="81">
          <cell r="D81" t="str">
            <v>Tecnico em Edificacoes</v>
          </cell>
          <cell r="E81" t="str">
            <v>INDIRETO</v>
          </cell>
        </row>
        <row r="82">
          <cell r="D82" t="str">
            <v>Gerente Tecnico</v>
          </cell>
          <cell r="E82" t="str">
            <v>INDIRETO</v>
          </cell>
        </row>
        <row r="83">
          <cell r="D83" t="str">
            <v>porteiro</v>
          </cell>
          <cell r="E83" t="str">
            <v>INDIRETO</v>
          </cell>
        </row>
        <row r="84">
          <cell r="D84" t="str">
            <v>Motorista de Caminhao</v>
          </cell>
          <cell r="E84" t="str">
            <v>INDIRETO</v>
          </cell>
        </row>
        <row r="85">
          <cell r="D85" t="str">
            <v>Analista de Compras</v>
          </cell>
          <cell r="E85" t="str">
            <v>INDIRETO</v>
          </cell>
        </row>
        <row r="86">
          <cell r="D86" t="str">
            <v>Comprador II</v>
          </cell>
          <cell r="E86" t="str">
            <v>INDIRETO</v>
          </cell>
        </row>
        <row r="87">
          <cell r="D87" t="str">
            <v>Gerente de Qsms e Garantia</v>
          </cell>
          <cell r="E87" t="str">
            <v>INDIRETO</v>
          </cell>
        </row>
        <row r="88">
          <cell r="D88" t="str">
            <v>Analista Tecnico</v>
          </cell>
          <cell r="E88" t="str">
            <v>INDIRETO</v>
          </cell>
        </row>
        <row r="89">
          <cell r="D89" t="str">
            <v>Coordenador de Engenharia e Suprimentos</v>
          </cell>
          <cell r="E89" t="str">
            <v>INDIRETO</v>
          </cell>
        </row>
        <row r="90">
          <cell r="D90" t="str">
            <v>Assistente de Compras</v>
          </cell>
          <cell r="E90" t="str">
            <v>INDIRETO</v>
          </cell>
        </row>
        <row r="91">
          <cell r="D91" t="str">
            <v>Coordenador de Qualidade e Meio Ambiente</v>
          </cell>
          <cell r="E91" t="str">
            <v>INDIRETO</v>
          </cell>
        </row>
        <row r="92">
          <cell r="D92" t="str">
            <v>ESTAGIARIO DE MEIO AMBIENTE</v>
          </cell>
          <cell r="E92" t="str">
            <v>INDIRETO</v>
          </cell>
        </row>
        <row r="93">
          <cell r="D93" t="str">
            <v>Estagiario de Suprimentos</v>
          </cell>
          <cell r="E93" t="str">
            <v>INDIRETO</v>
          </cell>
        </row>
        <row r="94">
          <cell r="D94" t="str">
            <v>ESTAGIARIO QSMS</v>
          </cell>
          <cell r="E94" t="str">
            <v>INDIRETO</v>
          </cell>
        </row>
        <row r="95">
          <cell r="D95" t="str">
            <v>AUXILIAR DE LOGISTICA</v>
          </cell>
          <cell r="E95" t="str">
            <v>INDIRETO</v>
          </cell>
        </row>
        <row r="96">
          <cell r="D96" t="str">
            <v>Analista de DP</v>
          </cell>
          <cell r="E96" t="str">
            <v>INDIRETO</v>
          </cell>
        </row>
        <row r="97">
          <cell r="D97" t="str">
            <v>Analista de Patrimonio</v>
          </cell>
          <cell r="E97" t="str">
            <v>INDIRETO</v>
          </cell>
        </row>
        <row r="98">
          <cell r="D98" t="str">
            <v>Auxiliar Engenharia Civil</v>
          </cell>
          <cell r="E98" t="str">
            <v>INDIRETO</v>
          </cell>
        </row>
        <row r="99">
          <cell r="D99" t="str">
            <v>Gerente de Manutençao</v>
          </cell>
          <cell r="E99" t="str">
            <v>INDIRETO</v>
          </cell>
        </row>
        <row r="100">
          <cell r="D100" t="str">
            <v>Gerente Executiva de Incorporacao</v>
          </cell>
          <cell r="E100" t="str">
            <v>INDIRETO</v>
          </cell>
        </row>
        <row r="101">
          <cell r="D101" t="str">
            <v>Operador de mquina perfuratriz</v>
          </cell>
          <cell r="E101" t="str">
            <v>INDIRETO</v>
          </cell>
        </row>
        <row r="102">
          <cell r="D102" t="str">
            <v>Secretaria(o) executiva(o)</v>
          </cell>
          <cell r="E102" t="str">
            <v>INDIRETO</v>
          </cell>
        </row>
        <row r="103">
          <cell r="D103" t="str">
            <v xml:space="preserve">Auxiliar de manutenção </v>
          </cell>
          <cell r="E103" t="str">
            <v>INDIRETO</v>
          </cell>
        </row>
        <row r="104">
          <cell r="D104" t="str">
            <v>Encarregado de Topografia</v>
          </cell>
          <cell r="E104" t="str">
            <v>INDIRETO</v>
          </cell>
        </row>
        <row r="105">
          <cell r="D105" t="str">
            <v>PEDREIRO DE EDIFICACOES</v>
          </cell>
          <cell r="E105" t="str">
            <v>INDIRETO</v>
          </cell>
        </row>
        <row r="106">
          <cell r="D106" t="str">
            <v>Marmorista (construÃƒÂ§ÃƒÂ£o)</v>
          </cell>
          <cell r="E106" t="str">
            <v>INDIRETO</v>
          </cell>
        </row>
        <row r="107">
          <cell r="D107" t="str">
            <v>SUPERVISOR DE MANUTENCAO</v>
          </cell>
          <cell r="E107" t="str">
            <v>INDIRETO</v>
          </cell>
        </row>
        <row r="108">
          <cell r="D108" t="str">
            <v>SECRETARIA EXECUTIVA JR I</v>
          </cell>
          <cell r="E108" t="str">
            <v>INDIRETO</v>
          </cell>
        </row>
        <row r="109">
          <cell r="D109" t="str">
            <v>Engenheiro Civil</v>
          </cell>
          <cell r="E109" t="str">
            <v>INDIRETO</v>
          </cell>
        </row>
        <row r="110">
          <cell r="D110" t="str">
            <v>Assistente de Patrimonio</v>
          </cell>
          <cell r="E110" t="str">
            <v>INDIRETO</v>
          </cell>
        </row>
        <row r="111">
          <cell r="D111" t="str">
            <v>Analista de Patrimonio</v>
          </cell>
          <cell r="E111" t="str">
            <v>INDIRETO</v>
          </cell>
        </row>
        <row r="112">
          <cell r="D112" t="str">
            <v>Assistente Administrativo</v>
          </cell>
          <cell r="E112" t="str">
            <v>INDIRETO</v>
          </cell>
        </row>
        <row r="113">
          <cell r="D113" t="str">
            <v>Soldador</v>
          </cell>
          <cell r="E113" t="str">
            <v>INDIRETO</v>
          </cell>
        </row>
        <row r="114">
          <cell r="D114" t="str">
            <v>Estagiario Manutencao</v>
          </cell>
          <cell r="E114" t="str">
            <v>INDIRETO</v>
          </cell>
        </row>
        <row r="115">
          <cell r="D115" t="str">
            <v>Assistente Administrativo</v>
          </cell>
          <cell r="E115" t="str">
            <v>INDIRETO</v>
          </cell>
        </row>
        <row r="116">
          <cell r="D116" t="str">
            <v>Secretaria(o) executiva(o)</v>
          </cell>
          <cell r="E116" t="str">
            <v>INDIRETO</v>
          </cell>
        </row>
        <row r="117">
          <cell r="D117" t="str">
            <v xml:space="preserve">Auxiliar de manutenção </v>
          </cell>
          <cell r="E117" t="str">
            <v>INDIRETO</v>
          </cell>
        </row>
        <row r="118">
          <cell r="D118" t="str">
            <v>PEDREIRO DE EDIFICACOES</v>
          </cell>
          <cell r="E118" t="str">
            <v>INDIRETO</v>
          </cell>
        </row>
        <row r="119">
          <cell r="D119" t="str">
            <v>SECRETARIA EXECUTIVA JR I</v>
          </cell>
          <cell r="E119" t="str">
            <v>INDIRETO</v>
          </cell>
        </row>
        <row r="120">
          <cell r="D120" t="str">
            <v>Assistente de Patrimonio</v>
          </cell>
          <cell r="E120" t="str">
            <v>INDIRETO</v>
          </cell>
        </row>
        <row r="121">
          <cell r="D121" t="str">
            <v>Assistente Administrativo</v>
          </cell>
          <cell r="E121" t="str">
            <v>INDIRETO</v>
          </cell>
        </row>
        <row r="122">
          <cell r="D122" t="str">
            <v>Assistente Administrativo</v>
          </cell>
          <cell r="E122" t="str">
            <v>INDIRETO</v>
          </cell>
        </row>
        <row r="123">
          <cell r="D123" t="str">
            <v>ESTAGIARIO TEC.SEG.TRABALHO</v>
          </cell>
          <cell r="E123" t="str">
            <v>INDIRETO</v>
          </cell>
        </row>
        <row r="124">
          <cell r="D124" t="str">
            <v>Assistente Administrativo</v>
          </cell>
          <cell r="E124" t="str">
            <v>INDIRETO</v>
          </cell>
        </row>
        <row r="125">
          <cell r="D125" t="str">
            <v>Secretaria(o) executiva(o)</v>
          </cell>
          <cell r="E125" t="str">
            <v>INDIRETO</v>
          </cell>
        </row>
        <row r="126">
          <cell r="D126" t="str">
            <v>ENCARREGADO ELETRICISTA</v>
          </cell>
          <cell r="E126" t="str">
            <v>INDIRETO</v>
          </cell>
        </row>
        <row r="127">
          <cell r="D127" t="str">
            <v>ESTAGIARIO DE PROJETOS</v>
          </cell>
          <cell r="E127" t="str">
            <v>INDIRETO</v>
          </cell>
        </row>
        <row r="128">
          <cell r="D128" t="str">
            <v>Montador de Esquadria</v>
          </cell>
          <cell r="E128" t="str">
            <v>INDIRETO</v>
          </cell>
        </row>
        <row r="129">
          <cell r="D129" t="str">
            <v>Supervisor de Projetos</v>
          </cell>
          <cell r="E129" t="str">
            <v>INDIRETO</v>
          </cell>
        </row>
        <row r="130">
          <cell r="D130" t="str">
            <v>Montador de Andaimes</v>
          </cell>
          <cell r="E130" t="str">
            <v>DIRETO</v>
          </cell>
        </row>
        <row r="131">
          <cell r="D131" t="str">
            <v>Marmorista</v>
          </cell>
          <cell r="E131" t="str">
            <v>DIRETO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6B8E-3407-4294-A0E5-3CBE6F1CB1C1}">
  <sheetPr codeName="Planilha1">
    <pageSetUpPr autoPageBreaks="0" fitToPage="1"/>
  </sheetPr>
  <dimension ref="A1:BA1641"/>
  <sheetViews>
    <sheetView tabSelected="1" zoomScale="85" zoomScaleNormal="85" workbookViewId="0">
      <pane ySplit="1" topLeftCell="A2" activePane="bottomLeft" state="frozen"/>
      <selection pane="bottomLeft" activeCell="J6" sqref="J6"/>
    </sheetView>
  </sheetViews>
  <sheetFormatPr defaultColWidth="12.140625" defaultRowHeight="15" customHeight="1" x14ac:dyDescent="0.25"/>
  <cols>
    <col min="1" max="1" width="8.85546875" style="13" bestFit="1" customWidth="1"/>
    <col min="2" max="2" width="51" style="26" hidden="1" customWidth="1"/>
    <col min="3" max="3" width="15.7109375" style="35" hidden="1" customWidth="1"/>
    <col min="4" max="4" width="51" style="26" hidden="1" customWidth="1"/>
    <col min="5" max="5" width="15.5703125" style="35" hidden="1" customWidth="1"/>
    <col min="6" max="6" width="51" style="26" hidden="1" customWidth="1"/>
    <col min="7" max="7" width="13.28515625" style="26" hidden="1" customWidth="1"/>
    <col min="8" max="8" width="48.85546875" style="26" hidden="1" customWidth="1"/>
    <col min="9" max="9" width="7.85546875" style="26" hidden="1" customWidth="1"/>
    <col min="10" max="10" width="54.7109375" style="37" customWidth="1"/>
    <col min="11" max="11" width="49" style="37" bestFit="1" customWidth="1"/>
    <col min="12" max="12" width="42.85546875" style="37" bestFit="1" customWidth="1"/>
    <col min="13" max="13" width="27.85546875" style="37" bestFit="1" customWidth="1"/>
    <col min="14" max="14" width="29.7109375" style="37" bestFit="1" customWidth="1"/>
    <col min="15" max="15" width="16.7109375" style="37" bestFit="1" customWidth="1"/>
    <col min="16" max="16" width="14" style="38" bestFit="1" customWidth="1"/>
    <col min="17" max="17" width="14" style="38" customWidth="1"/>
    <col min="18" max="18" width="16" style="38" bestFit="1" customWidth="1"/>
    <col min="19" max="19" width="22.7109375" style="38" customWidth="1"/>
    <col min="20" max="20" width="20.28515625" style="38" bestFit="1" customWidth="1"/>
    <col min="21" max="21" width="27" style="38" bestFit="1" customWidth="1"/>
    <col min="22" max="22" width="15.7109375" style="38" customWidth="1"/>
    <col min="23" max="23" width="25" style="38" bestFit="1" customWidth="1"/>
    <col min="24" max="24" width="31.7109375" style="38" bestFit="1" customWidth="1"/>
    <col min="25" max="25" width="21.28515625" style="38" bestFit="1" customWidth="1"/>
    <col min="26" max="26" width="22" style="38" customWidth="1"/>
    <col min="27" max="27" width="25.5703125" style="38" bestFit="1" customWidth="1"/>
    <col min="28" max="28" width="29.85546875" style="37" bestFit="1" customWidth="1"/>
    <col min="29" max="29" width="37" style="37" bestFit="1" customWidth="1"/>
    <col min="30" max="30" width="30.42578125" style="37" bestFit="1" customWidth="1"/>
    <col min="31" max="31" width="37.42578125" style="37" bestFit="1" customWidth="1"/>
    <col min="32" max="32" width="30.140625" style="38" bestFit="1" customWidth="1"/>
    <col min="33" max="33" width="36" style="38" bestFit="1" customWidth="1"/>
    <col min="34" max="34" width="36.28515625" style="38" bestFit="1" customWidth="1"/>
    <col min="35" max="35" width="43.42578125" style="38" bestFit="1" customWidth="1"/>
    <col min="36" max="36" width="17.28515625" style="39" bestFit="1" customWidth="1"/>
    <col min="37" max="37" width="29" style="38" bestFit="1" customWidth="1"/>
    <col min="38" max="38" width="13.140625" style="38" bestFit="1" customWidth="1"/>
    <col min="39" max="39" width="20.140625" style="38" bestFit="1" customWidth="1"/>
    <col min="40" max="40" width="19.85546875" style="38" bestFit="1" customWidth="1"/>
    <col min="41" max="41" width="27" style="38" bestFit="1" customWidth="1"/>
    <col min="42" max="42" width="21.85546875" style="37" bestFit="1" customWidth="1"/>
    <col min="43" max="43" width="28.85546875" style="37" bestFit="1" customWidth="1"/>
    <col min="44" max="44" width="24.7109375" style="38" bestFit="1" customWidth="1"/>
    <col min="45" max="45" width="17.85546875" style="38" customWidth="1"/>
    <col min="46" max="46" width="18.28515625" style="38" customWidth="1"/>
    <col min="47" max="47" width="24.85546875" style="38" bestFit="1" customWidth="1"/>
    <col min="48" max="48" width="12.85546875" style="26" bestFit="1" customWidth="1"/>
    <col min="49" max="49" width="15.7109375" style="35" bestFit="1" customWidth="1"/>
    <col min="50" max="51" width="15.5703125" style="35" bestFit="1" customWidth="1"/>
    <col min="52" max="52" width="16.5703125" style="35" bestFit="1" customWidth="1"/>
    <col min="53" max="16384" width="12.140625" style="26"/>
  </cols>
  <sheetData>
    <row r="1" spans="1:52" s="11" customFormat="1" ht="41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14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0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8</v>
      </c>
      <c r="AQ1" s="1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W1" s="12" t="s">
        <v>34</v>
      </c>
      <c r="AX1" s="12" t="s">
        <v>45</v>
      </c>
      <c r="AY1" s="12" t="s">
        <v>46</v>
      </c>
      <c r="AZ1" s="12" t="s">
        <v>47</v>
      </c>
    </row>
    <row r="2" spans="1:52" ht="15" customHeight="1" x14ac:dyDescent="0.25">
      <c r="A2" s="13" t="str">
        <f>VLOOKUP(L2,[1]VALIDAÇÃO!$D$13:$E$350,2,0)</f>
        <v>INDIRETO</v>
      </c>
      <c r="B2" s="14" t="str">
        <f t="shared" ref="B2:B58" si="0">C2&amp;J2</f>
        <v>78RIO AVE 200 SPE LTDA.</v>
      </c>
      <c r="C2" s="15">
        <f>1+SUMPRODUCT(($J$2:$J$1437=$J2)*(AW$2:AW$1437&gt;AW2))</f>
        <v>78</v>
      </c>
      <c r="D2" s="16" t="str">
        <f t="shared" ref="D2:D58" si="1">E2&amp;J2</f>
        <v>8RIO AVE 200 SPE LTDA.</v>
      </c>
      <c r="E2" s="17">
        <f t="shared" ref="E2:E65" si="2">1+SUMPRODUCT(($J$2:$J$1437=$J2)*(AX$2:AX$1437&gt;AX2))</f>
        <v>8</v>
      </c>
      <c r="F2" s="18" t="str">
        <f t="shared" ref="F2:F58" si="3">G2&amp;J2</f>
        <v>3RIO AVE 200 SPE LTDA.</v>
      </c>
      <c r="G2" s="18">
        <f t="shared" ref="G2:G65" si="4">1+SUMPRODUCT(($J$2:$J$1437=$J2)*(AY$2:AY$1437&gt;AY2))</f>
        <v>3</v>
      </c>
      <c r="H2" s="19" t="str">
        <f t="shared" ref="H2:H58" si="5">I2&amp;J2</f>
        <v>78RIO AVE 200 SPE LTDA.</v>
      </c>
      <c r="I2" s="19">
        <f t="shared" ref="I2:I65" si="6">1+SUMPRODUCT(($J$2:$J$1437=$J2)*(AZ$2:AZ$1437&gt;AZ2))</f>
        <v>78</v>
      </c>
      <c r="J2" s="13" t="s">
        <v>48</v>
      </c>
      <c r="K2" s="13" t="s">
        <v>49</v>
      </c>
      <c r="L2" s="13" t="s">
        <v>50</v>
      </c>
      <c r="M2" s="13" t="s">
        <v>51</v>
      </c>
      <c r="N2" s="20">
        <v>2553.77</v>
      </c>
      <c r="O2" s="20">
        <v>3434.3</v>
      </c>
      <c r="P2" s="21">
        <v>45937</v>
      </c>
      <c r="Q2" s="22"/>
      <c r="R2" s="23">
        <v>3434.3</v>
      </c>
      <c r="S2" s="24"/>
      <c r="T2" s="23"/>
      <c r="U2" s="24"/>
      <c r="V2" s="23"/>
      <c r="W2" s="23"/>
      <c r="X2" s="24"/>
      <c r="Y2" s="23"/>
      <c r="Z2" s="23"/>
      <c r="AA2" s="23"/>
      <c r="AB2" s="23">
        <v>291.53999999999996</v>
      </c>
      <c r="AC2" s="24">
        <v>1136.7142857142858</v>
      </c>
      <c r="AD2" s="23">
        <v>385.72</v>
      </c>
      <c r="AE2" s="24">
        <v>1371.5714285714284</v>
      </c>
      <c r="AF2" s="23"/>
      <c r="AG2" s="23"/>
      <c r="AH2" s="23"/>
      <c r="AI2" s="24"/>
      <c r="AJ2" s="25"/>
      <c r="AK2" s="23"/>
      <c r="AL2" s="23"/>
      <c r="AM2" s="24"/>
      <c r="AN2" s="23"/>
      <c r="AO2" s="24"/>
      <c r="AP2" s="23"/>
      <c r="AQ2" s="24"/>
      <c r="AR2" s="23">
        <v>152.54</v>
      </c>
      <c r="AS2" s="23">
        <v>-1571.84</v>
      </c>
      <c r="AT2" s="23"/>
      <c r="AU2" s="24"/>
      <c r="AW2" s="27">
        <f t="shared" ref="AW2:AW65" si="7">AJ2+ROW(C2)/1000000</f>
        <v>1.9999999999999999E-6</v>
      </c>
      <c r="AX2" s="27">
        <f t="shared" ref="AX2:AX65" si="8">AD2+ROW(C2)/1000000</f>
        <v>385.72000200000002</v>
      </c>
      <c r="AY2" s="27">
        <f t="shared" ref="AY2:AY65" si="9">AB2+ROW(A2)/1000000</f>
        <v>291.54000199999996</v>
      </c>
      <c r="AZ2" s="27">
        <f t="shared" ref="AZ2:AZ65" si="10">AP2+ROW(A2)/1000000</f>
        <v>1.9999999999999999E-6</v>
      </c>
    </row>
    <row r="3" spans="1:52" ht="15" customHeight="1" x14ac:dyDescent="0.25">
      <c r="A3" s="13" t="str">
        <f>VLOOKUP(L3,[1]VALIDAÇÃO!$D$13:$E$350,2,0)</f>
        <v>DIRETO</v>
      </c>
      <c r="B3" s="14" t="str">
        <f t="shared" si="0"/>
        <v>129RESERVA DO PAIVA SPE 03 LTDA</v>
      </c>
      <c r="C3" s="15">
        <f t="shared" ref="C3:C66" si="11">1+SUMPRODUCT(($J$2:$J$1437=J3)*($AW$2:$AW$1437&gt;AW3))</f>
        <v>129</v>
      </c>
      <c r="D3" s="16" t="str">
        <f t="shared" si="1"/>
        <v>58RESERVA DO PAIVA SPE 03 LTDA</v>
      </c>
      <c r="E3" s="17">
        <f t="shared" si="2"/>
        <v>58</v>
      </c>
      <c r="F3" s="18" t="str">
        <f t="shared" si="3"/>
        <v>93RESERVA DO PAIVA SPE 03 LTDA</v>
      </c>
      <c r="G3" s="18">
        <f t="shared" si="4"/>
        <v>93</v>
      </c>
      <c r="H3" s="19" t="str">
        <f t="shared" si="5"/>
        <v>79RESERVA DO PAIVA SPE 03 LTDA</v>
      </c>
      <c r="I3" s="19">
        <f t="shared" si="6"/>
        <v>79</v>
      </c>
      <c r="J3" s="13" t="s">
        <v>52</v>
      </c>
      <c r="K3" s="13" t="s">
        <v>53</v>
      </c>
      <c r="L3" s="13" t="s">
        <v>54</v>
      </c>
      <c r="M3" s="13" t="s">
        <v>55</v>
      </c>
      <c r="N3" s="20">
        <v>836.19</v>
      </c>
      <c r="O3" s="20">
        <v>1332.47</v>
      </c>
      <c r="P3" s="21">
        <v>45798</v>
      </c>
      <c r="Q3" s="22"/>
      <c r="R3" s="23">
        <v>1332.47</v>
      </c>
      <c r="S3" s="24"/>
      <c r="T3" s="23">
        <v>289.67</v>
      </c>
      <c r="U3" s="24">
        <v>5</v>
      </c>
      <c r="V3" s="23"/>
      <c r="W3" s="23"/>
      <c r="X3" s="24"/>
      <c r="Y3" s="23"/>
      <c r="Z3" s="23"/>
      <c r="AA3" s="23">
        <v>0.18</v>
      </c>
      <c r="AB3" s="23">
        <v>63.269999999999996</v>
      </c>
      <c r="AC3" s="24">
        <v>590.95714285714291</v>
      </c>
      <c r="AD3" s="23">
        <v>263.77999999999997</v>
      </c>
      <c r="AE3" s="24">
        <v>1546.27</v>
      </c>
      <c r="AF3" s="23"/>
      <c r="AG3" s="23"/>
      <c r="AH3" s="23">
        <v>0.76</v>
      </c>
      <c r="AI3" s="24">
        <v>0</v>
      </c>
      <c r="AJ3" s="25">
        <v>10.66</v>
      </c>
      <c r="AK3" s="23">
        <v>2.69</v>
      </c>
      <c r="AL3" s="23"/>
      <c r="AM3" s="24"/>
      <c r="AN3" s="23"/>
      <c r="AO3" s="24"/>
      <c r="AP3" s="23">
        <v>12.370000000000001</v>
      </c>
      <c r="AQ3" s="24">
        <v>98.199999999999989</v>
      </c>
      <c r="AR3" s="23">
        <v>73.77</v>
      </c>
      <c r="AS3" s="23">
        <v>-695.2</v>
      </c>
      <c r="AT3" s="23"/>
      <c r="AU3" s="24"/>
      <c r="AW3" s="27">
        <f t="shared" si="7"/>
        <v>10.660003</v>
      </c>
      <c r="AX3" s="27">
        <f t="shared" si="8"/>
        <v>263.78000299999997</v>
      </c>
      <c r="AY3" s="27">
        <f t="shared" si="9"/>
        <v>63.270002999999996</v>
      </c>
      <c r="AZ3" s="27">
        <f t="shared" si="10"/>
        <v>12.370003000000001</v>
      </c>
    </row>
    <row r="4" spans="1:52" ht="15" customHeight="1" x14ac:dyDescent="0.25">
      <c r="A4" s="13" t="str">
        <f>VLOOKUP(L4,[1]VALIDAÇÃO!$D$13:$E$350,2,0)</f>
        <v>DIRETO</v>
      </c>
      <c r="B4" s="14" t="str">
        <f t="shared" si="0"/>
        <v>63RESERVA DO PAIVA SPE 03 LTDA</v>
      </c>
      <c r="C4" s="15">
        <f t="shared" si="11"/>
        <v>63</v>
      </c>
      <c r="D4" s="16" t="str">
        <f t="shared" si="1"/>
        <v>65RESERVA DO PAIVA SPE 03 LTDA</v>
      </c>
      <c r="E4" s="17">
        <f t="shared" si="2"/>
        <v>65</v>
      </c>
      <c r="F4" s="18" t="str">
        <f t="shared" si="3"/>
        <v>99RESERVA DO PAIVA SPE 03 LTDA</v>
      </c>
      <c r="G4" s="18">
        <f t="shared" si="4"/>
        <v>99</v>
      </c>
      <c r="H4" s="19" t="str">
        <f t="shared" si="5"/>
        <v>166RESERVA DO PAIVA SPE 03 LTDA</v>
      </c>
      <c r="I4" s="19">
        <f t="shared" si="6"/>
        <v>166</v>
      </c>
      <c r="J4" s="13" t="s">
        <v>52</v>
      </c>
      <c r="K4" s="13" t="s">
        <v>56</v>
      </c>
      <c r="L4" s="13" t="s">
        <v>54</v>
      </c>
      <c r="M4" s="13" t="s">
        <v>55</v>
      </c>
      <c r="N4" s="20">
        <v>1014.67</v>
      </c>
      <c r="O4" s="20">
        <v>1622.13</v>
      </c>
      <c r="P4" s="21">
        <v>45782</v>
      </c>
      <c r="Q4" s="22"/>
      <c r="R4" s="23">
        <v>1622.13</v>
      </c>
      <c r="S4" s="24"/>
      <c r="T4" s="23"/>
      <c r="U4" s="24"/>
      <c r="V4" s="23"/>
      <c r="W4" s="23">
        <v>0.63</v>
      </c>
      <c r="X4" s="24">
        <v>31.45</v>
      </c>
      <c r="Y4" s="23"/>
      <c r="Z4" s="23"/>
      <c r="AA4" s="23">
        <v>1.48</v>
      </c>
      <c r="AB4" s="23">
        <v>48.43</v>
      </c>
      <c r="AC4" s="24">
        <v>403.17142857142852</v>
      </c>
      <c r="AD4" s="23">
        <v>251.34999999999997</v>
      </c>
      <c r="AE4" s="24">
        <v>1694.27</v>
      </c>
      <c r="AF4" s="23"/>
      <c r="AG4" s="23"/>
      <c r="AH4" s="23">
        <v>6.6099999999999994</v>
      </c>
      <c r="AI4" s="24">
        <v>0</v>
      </c>
      <c r="AJ4" s="25">
        <v>212.85</v>
      </c>
      <c r="AK4" s="23">
        <v>46.430000000000007</v>
      </c>
      <c r="AL4" s="23">
        <v>-2.39</v>
      </c>
      <c r="AM4" s="24">
        <v>18.170000000000002</v>
      </c>
      <c r="AN4" s="23"/>
      <c r="AO4" s="24"/>
      <c r="AP4" s="23"/>
      <c r="AQ4" s="24"/>
      <c r="AR4" s="23">
        <v>67.69</v>
      </c>
      <c r="AS4" s="23">
        <v>-695.2</v>
      </c>
      <c r="AT4" s="23"/>
      <c r="AU4" s="24"/>
      <c r="AW4" s="27">
        <f t="shared" si="7"/>
        <v>212.85000399999998</v>
      </c>
      <c r="AX4" s="27">
        <f t="shared" si="8"/>
        <v>251.35000399999996</v>
      </c>
      <c r="AY4" s="27">
        <f t="shared" si="9"/>
        <v>48.430003999999997</v>
      </c>
      <c r="AZ4" s="27">
        <f t="shared" si="10"/>
        <v>3.9999999999999998E-6</v>
      </c>
    </row>
    <row r="5" spans="1:52" ht="15" customHeight="1" x14ac:dyDescent="0.25">
      <c r="A5" s="13" t="str">
        <f>VLOOKUP(L5,[1]VALIDAÇÃO!$D$13:$E$350,2,0)</f>
        <v>DIRETO</v>
      </c>
      <c r="B5" s="14" t="str">
        <f t="shared" si="0"/>
        <v>20CONDOMINIO DO EDIFICIO EMPRESARIAL MARIE CURIE</v>
      </c>
      <c r="C5" s="15">
        <f t="shared" si="11"/>
        <v>20</v>
      </c>
      <c r="D5" s="16" t="str">
        <f t="shared" si="1"/>
        <v>64CONDOMINIO DO EDIFICIO EMPRESARIAL MARIE CURIE</v>
      </c>
      <c r="E5" s="17">
        <f t="shared" si="2"/>
        <v>64</v>
      </c>
      <c r="F5" s="18" t="str">
        <f t="shared" si="3"/>
        <v>51CONDOMINIO DO EDIFICIO EMPRESARIAL MARIE CURIE</v>
      </c>
      <c r="G5" s="18">
        <f t="shared" si="4"/>
        <v>51</v>
      </c>
      <c r="H5" s="19" t="str">
        <f t="shared" si="5"/>
        <v>129CONDOMINIO DO EDIFICIO EMPRESARIAL MARIE CURIE</v>
      </c>
      <c r="I5" s="19">
        <f t="shared" si="6"/>
        <v>129</v>
      </c>
      <c r="J5" s="13" t="s">
        <v>57</v>
      </c>
      <c r="K5" s="13" t="s">
        <v>58</v>
      </c>
      <c r="L5" s="13" t="s">
        <v>59</v>
      </c>
      <c r="M5" s="13" t="s">
        <v>60</v>
      </c>
      <c r="N5" s="20">
        <v>1276.29</v>
      </c>
      <c r="O5" s="20">
        <v>1617</v>
      </c>
      <c r="P5" s="21">
        <v>45362</v>
      </c>
      <c r="Q5" s="22"/>
      <c r="R5" s="23">
        <v>1617</v>
      </c>
      <c r="S5" s="24"/>
      <c r="T5" s="23"/>
      <c r="U5" s="24"/>
      <c r="V5" s="23"/>
      <c r="W5" s="23"/>
      <c r="X5" s="24"/>
      <c r="Y5" s="23"/>
      <c r="Z5" s="23"/>
      <c r="AA5" s="23">
        <v>2.54</v>
      </c>
      <c r="AB5" s="23">
        <v>69.72</v>
      </c>
      <c r="AC5" s="24">
        <v>234.35</v>
      </c>
      <c r="AD5" s="23">
        <v>111.96</v>
      </c>
      <c r="AE5" s="24">
        <v>376.32</v>
      </c>
      <c r="AF5" s="23"/>
      <c r="AG5" s="23"/>
      <c r="AH5" s="23">
        <v>12.34</v>
      </c>
      <c r="AI5" s="24">
        <v>0</v>
      </c>
      <c r="AJ5" s="25">
        <v>924.59</v>
      </c>
      <c r="AK5" s="23">
        <v>171.91</v>
      </c>
      <c r="AL5" s="23"/>
      <c r="AM5" s="24"/>
      <c r="AN5" s="23"/>
      <c r="AO5" s="24"/>
      <c r="AP5" s="23"/>
      <c r="AQ5" s="24"/>
      <c r="AR5" s="23">
        <v>34.94</v>
      </c>
      <c r="AS5" s="23">
        <v>-616</v>
      </c>
      <c r="AT5" s="23"/>
      <c r="AU5" s="24"/>
      <c r="AW5" s="27">
        <f t="shared" si="7"/>
        <v>924.59000500000002</v>
      </c>
      <c r="AX5" s="27">
        <f t="shared" si="8"/>
        <v>111.960005</v>
      </c>
      <c r="AY5" s="27">
        <f t="shared" si="9"/>
        <v>69.720005</v>
      </c>
      <c r="AZ5" s="27">
        <f t="shared" si="10"/>
        <v>5.0000000000000004E-6</v>
      </c>
    </row>
    <row r="6" spans="1:52" ht="15" customHeight="1" x14ac:dyDescent="0.25">
      <c r="A6" s="13" t="str">
        <f>VLOOKUP(L6,[1]VALIDAÇÃO!$D$13:$E$350,2,0)</f>
        <v>DIRETO</v>
      </c>
      <c r="B6" s="14" t="str">
        <f t="shared" si="0"/>
        <v>39RIO AVE CARNEIROS 01 SPE LTDA.</v>
      </c>
      <c r="C6" s="15">
        <f t="shared" si="11"/>
        <v>39</v>
      </c>
      <c r="D6" s="16" t="str">
        <f t="shared" si="1"/>
        <v>90RIO AVE CARNEIROS 01 SPE LTDA.</v>
      </c>
      <c r="E6" s="17">
        <f t="shared" si="2"/>
        <v>90</v>
      </c>
      <c r="F6" s="18" t="str">
        <f t="shared" si="3"/>
        <v>10RIO AVE CARNEIROS 01 SPE LTDA.</v>
      </c>
      <c r="G6" s="18">
        <f t="shared" si="4"/>
        <v>10</v>
      </c>
      <c r="H6" s="19" t="str">
        <f t="shared" si="5"/>
        <v>49RIO AVE CARNEIROS 01 SPE LTDA.</v>
      </c>
      <c r="I6" s="19">
        <f t="shared" si="6"/>
        <v>49</v>
      </c>
      <c r="J6" s="13" t="s">
        <v>61</v>
      </c>
      <c r="K6" s="13" t="s">
        <v>62</v>
      </c>
      <c r="L6" s="13" t="s">
        <v>63</v>
      </c>
      <c r="M6" s="13" t="s">
        <v>55</v>
      </c>
      <c r="N6" s="20">
        <v>1290.54</v>
      </c>
      <c r="O6" s="20">
        <v>2156</v>
      </c>
      <c r="P6" s="21">
        <v>45797</v>
      </c>
      <c r="Q6" s="22"/>
      <c r="R6" s="23">
        <v>2156</v>
      </c>
      <c r="S6" s="24"/>
      <c r="T6" s="23"/>
      <c r="U6" s="24"/>
      <c r="V6" s="23"/>
      <c r="W6" s="23"/>
      <c r="X6" s="24"/>
      <c r="Y6" s="23"/>
      <c r="Z6" s="23"/>
      <c r="AA6" s="23">
        <v>4.1400000000000006</v>
      </c>
      <c r="AB6" s="23">
        <v>227.18</v>
      </c>
      <c r="AC6" s="24">
        <v>1112.1571428571428</v>
      </c>
      <c r="AD6" s="23">
        <v>31.790000000000003</v>
      </c>
      <c r="AE6" s="24">
        <v>194.98571428571432</v>
      </c>
      <c r="AF6" s="23"/>
      <c r="AG6" s="23"/>
      <c r="AH6" s="23">
        <v>18.71</v>
      </c>
      <c r="AI6" s="24">
        <v>0</v>
      </c>
      <c r="AJ6" s="25">
        <v>523.04</v>
      </c>
      <c r="AK6" s="23">
        <v>114.38</v>
      </c>
      <c r="AL6" s="23"/>
      <c r="AM6" s="24"/>
      <c r="AN6" s="23">
        <v>-154</v>
      </c>
      <c r="AO6" s="24">
        <v>2</v>
      </c>
      <c r="AP6" s="23">
        <v>32.25</v>
      </c>
      <c r="AQ6" s="24">
        <v>192.65714285714287</v>
      </c>
      <c r="AR6" s="23">
        <v>64.289999999999992</v>
      </c>
      <c r="AS6" s="23">
        <v>-1014</v>
      </c>
      <c r="AT6" s="23">
        <v>-154</v>
      </c>
      <c r="AU6" s="24">
        <v>2</v>
      </c>
      <c r="AW6" s="27">
        <f t="shared" si="7"/>
        <v>523.04000599999995</v>
      </c>
      <c r="AX6" s="27">
        <f t="shared" si="8"/>
        <v>31.790006000000002</v>
      </c>
      <c r="AY6" s="27">
        <f t="shared" si="9"/>
        <v>227.18000600000002</v>
      </c>
      <c r="AZ6" s="27">
        <f t="shared" si="10"/>
        <v>32.250005999999999</v>
      </c>
    </row>
    <row r="7" spans="1:52" ht="15" customHeight="1" x14ac:dyDescent="0.25">
      <c r="A7" s="13" t="str">
        <f>VLOOKUP(L7,[1]VALIDAÇÃO!$D$13:$E$350,2,0)</f>
        <v>DIRETO</v>
      </c>
      <c r="B7" s="14" t="str">
        <f t="shared" si="0"/>
        <v>43RIO AVE CARNEIROS 01 SPE LTDA.</v>
      </c>
      <c r="C7" s="15">
        <f t="shared" si="11"/>
        <v>43</v>
      </c>
      <c r="D7" s="16" t="str">
        <f t="shared" si="1"/>
        <v>72RIO AVE CARNEIROS 01 SPE LTDA.</v>
      </c>
      <c r="E7" s="17">
        <f t="shared" si="2"/>
        <v>72</v>
      </c>
      <c r="F7" s="18" t="str">
        <f t="shared" si="3"/>
        <v>12RIO AVE CARNEIROS 01 SPE LTDA.</v>
      </c>
      <c r="G7" s="18">
        <f t="shared" si="4"/>
        <v>12</v>
      </c>
      <c r="H7" s="19" t="str">
        <f t="shared" si="5"/>
        <v>13RIO AVE CARNEIROS 01 SPE LTDA.</v>
      </c>
      <c r="I7" s="19">
        <f t="shared" si="6"/>
        <v>13</v>
      </c>
      <c r="J7" s="13" t="s">
        <v>61</v>
      </c>
      <c r="K7" s="13" t="s">
        <v>64</v>
      </c>
      <c r="L7" s="13" t="s">
        <v>54</v>
      </c>
      <c r="M7" s="13" t="s">
        <v>55</v>
      </c>
      <c r="N7" s="20">
        <v>1107.9100000000001</v>
      </c>
      <c r="O7" s="20">
        <v>1622.13</v>
      </c>
      <c r="P7" s="21">
        <v>45782</v>
      </c>
      <c r="Q7" s="22"/>
      <c r="R7" s="23">
        <v>1622.13</v>
      </c>
      <c r="S7" s="24"/>
      <c r="T7" s="23"/>
      <c r="U7" s="24"/>
      <c r="V7" s="23"/>
      <c r="W7" s="23"/>
      <c r="X7" s="24"/>
      <c r="Y7" s="23"/>
      <c r="Z7" s="23"/>
      <c r="AA7" s="23">
        <v>5.52</v>
      </c>
      <c r="AB7" s="23">
        <v>218.19</v>
      </c>
      <c r="AC7" s="24">
        <v>1432.9857142857143</v>
      </c>
      <c r="AD7" s="23">
        <v>66.92</v>
      </c>
      <c r="AE7" s="24">
        <v>545.01428571428573</v>
      </c>
      <c r="AF7" s="23"/>
      <c r="AG7" s="23"/>
      <c r="AH7" s="23">
        <v>26.2</v>
      </c>
      <c r="AI7" s="24">
        <v>0</v>
      </c>
      <c r="AJ7" s="25">
        <v>489.02</v>
      </c>
      <c r="AK7" s="23">
        <v>107.53999999999999</v>
      </c>
      <c r="AL7" s="23"/>
      <c r="AM7" s="24"/>
      <c r="AN7" s="23"/>
      <c r="AO7" s="24"/>
      <c r="AP7" s="23">
        <v>70.460000000000008</v>
      </c>
      <c r="AQ7" s="24">
        <v>498.57142857142856</v>
      </c>
      <c r="AR7" s="23">
        <v>74.92</v>
      </c>
      <c r="AS7" s="23">
        <v>-695.2</v>
      </c>
      <c r="AT7" s="23"/>
      <c r="AU7" s="24"/>
      <c r="AW7" s="27">
        <f t="shared" si="7"/>
        <v>489.02000699999996</v>
      </c>
      <c r="AX7" s="27">
        <f t="shared" si="8"/>
        <v>66.920006999999998</v>
      </c>
      <c r="AY7" s="27">
        <f t="shared" si="9"/>
        <v>218.19000700000001</v>
      </c>
      <c r="AZ7" s="27">
        <f t="shared" si="10"/>
        <v>70.460007000000004</v>
      </c>
    </row>
    <row r="8" spans="1:52" ht="15" customHeight="1" x14ac:dyDescent="0.25">
      <c r="A8" s="13" t="str">
        <f>VLOOKUP(L8,[1]VALIDAÇÃO!$D$13:$E$350,2,0)</f>
        <v>DIRETO</v>
      </c>
      <c r="B8" s="14" t="str">
        <f t="shared" si="0"/>
        <v>67RESERVA DO PAIVA SPE 03 LTDA</v>
      </c>
      <c r="C8" s="15">
        <f t="shared" si="11"/>
        <v>67</v>
      </c>
      <c r="D8" s="16" t="str">
        <f t="shared" si="1"/>
        <v>124RESERVA DO PAIVA SPE 03 LTDA</v>
      </c>
      <c r="E8" s="17">
        <f t="shared" si="2"/>
        <v>124</v>
      </c>
      <c r="F8" s="18" t="str">
        <f t="shared" si="3"/>
        <v>166RESERVA DO PAIVA SPE 03 LTDA</v>
      </c>
      <c r="G8" s="18">
        <f t="shared" si="4"/>
        <v>166</v>
      </c>
      <c r="H8" s="19" t="str">
        <f t="shared" si="5"/>
        <v>165RESERVA DO PAIVA SPE 03 LTDA</v>
      </c>
      <c r="I8" s="19">
        <f t="shared" si="6"/>
        <v>165</v>
      </c>
      <c r="J8" s="13" t="s">
        <v>52</v>
      </c>
      <c r="K8" s="13" t="s">
        <v>65</v>
      </c>
      <c r="L8" s="13" t="s">
        <v>66</v>
      </c>
      <c r="M8" s="13" t="s">
        <v>55</v>
      </c>
      <c r="N8" s="20">
        <v>1390.34</v>
      </c>
      <c r="O8" s="20">
        <v>2156</v>
      </c>
      <c r="P8" s="21">
        <v>45922</v>
      </c>
      <c r="Q8" s="22"/>
      <c r="R8" s="23">
        <v>2156</v>
      </c>
      <c r="S8" s="24"/>
      <c r="T8" s="23"/>
      <c r="U8" s="24"/>
      <c r="V8" s="23"/>
      <c r="W8" s="23"/>
      <c r="X8" s="24"/>
      <c r="Y8" s="23"/>
      <c r="Z8" s="23"/>
      <c r="AA8" s="23">
        <v>0.36000000000000004</v>
      </c>
      <c r="AB8" s="23"/>
      <c r="AC8" s="24"/>
      <c r="AD8" s="23">
        <v>51.71</v>
      </c>
      <c r="AE8" s="24">
        <v>274.81428571428575</v>
      </c>
      <c r="AF8" s="23"/>
      <c r="AG8" s="23"/>
      <c r="AH8" s="23">
        <v>1.54</v>
      </c>
      <c r="AI8" s="24">
        <v>0</v>
      </c>
      <c r="AJ8" s="25">
        <v>205.51999999999998</v>
      </c>
      <c r="AK8" s="23">
        <v>46.960000000000008</v>
      </c>
      <c r="AL8" s="23"/>
      <c r="AM8" s="24"/>
      <c r="AN8" s="23"/>
      <c r="AO8" s="24"/>
      <c r="AP8" s="23"/>
      <c r="AQ8" s="24"/>
      <c r="AR8" s="23">
        <v>11.879999999999999</v>
      </c>
      <c r="AS8" s="23">
        <v>-984</v>
      </c>
      <c r="AT8" s="23"/>
      <c r="AU8" s="24"/>
      <c r="AW8" s="27">
        <f t="shared" si="7"/>
        <v>205.52000799999999</v>
      </c>
      <c r="AX8" s="27">
        <f t="shared" si="8"/>
        <v>51.710008000000002</v>
      </c>
      <c r="AY8" s="27">
        <f t="shared" si="9"/>
        <v>7.9999999999999996E-6</v>
      </c>
      <c r="AZ8" s="27">
        <f t="shared" si="10"/>
        <v>7.9999999999999996E-6</v>
      </c>
    </row>
    <row r="9" spans="1:52" ht="15" customHeight="1" x14ac:dyDescent="0.25">
      <c r="A9" s="13" t="str">
        <f>VLOOKUP(L9,[1]VALIDAÇÃO!$D$13:$E$350,2,0)</f>
        <v>DIRETO</v>
      </c>
      <c r="B9" s="14" t="str">
        <f t="shared" si="0"/>
        <v>4RIO AVE 200 SPE LTDA.</v>
      </c>
      <c r="C9" s="15">
        <f t="shared" si="11"/>
        <v>4</v>
      </c>
      <c r="D9" s="16" t="str">
        <f t="shared" si="1"/>
        <v>22RIO AVE 200 SPE LTDA.</v>
      </c>
      <c r="E9" s="17">
        <f t="shared" si="2"/>
        <v>22</v>
      </c>
      <c r="F9" s="18" t="str">
        <f t="shared" si="3"/>
        <v>28RIO AVE 200 SPE LTDA.</v>
      </c>
      <c r="G9" s="18">
        <f t="shared" si="4"/>
        <v>28</v>
      </c>
      <c r="H9" s="19" t="str">
        <f t="shared" si="5"/>
        <v>18RIO AVE 200 SPE LTDA.</v>
      </c>
      <c r="I9" s="19">
        <f t="shared" si="6"/>
        <v>18</v>
      </c>
      <c r="J9" s="13" t="s">
        <v>48</v>
      </c>
      <c r="K9" s="13" t="s">
        <v>67</v>
      </c>
      <c r="L9" s="13" t="s">
        <v>66</v>
      </c>
      <c r="M9" s="13" t="s">
        <v>55</v>
      </c>
      <c r="N9" s="20">
        <v>1942.57</v>
      </c>
      <c r="O9" s="20">
        <v>2156</v>
      </c>
      <c r="P9" s="21">
        <v>45938</v>
      </c>
      <c r="Q9" s="22"/>
      <c r="R9" s="23">
        <v>2156</v>
      </c>
      <c r="S9" s="24"/>
      <c r="T9" s="23"/>
      <c r="U9" s="24"/>
      <c r="V9" s="23"/>
      <c r="W9" s="23"/>
      <c r="X9" s="24"/>
      <c r="Y9" s="23"/>
      <c r="Z9" s="23"/>
      <c r="AA9" s="23">
        <v>7.81</v>
      </c>
      <c r="AB9" s="23">
        <v>40.56</v>
      </c>
      <c r="AC9" s="24">
        <v>556.42857142857144</v>
      </c>
      <c r="AD9" s="23">
        <v>173.46</v>
      </c>
      <c r="AE9" s="24">
        <v>746.42857142857144</v>
      </c>
      <c r="AF9" s="23"/>
      <c r="AG9" s="23"/>
      <c r="AH9" s="23">
        <v>32.11</v>
      </c>
      <c r="AI9" s="24">
        <v>0</v>
      </c>
      <c r="AJ9" s="25">
        <v>1152.05</v>
      </c>
      <c r="AK9" s="23">
        <v>259.33</v>
      </c>
      <c r="AL9" s="23"/>
      <c r="AM9" s="24"/>
      <c r="AN9" s="23"/>
      <c r="AO9" s="24"/>
      <c r="AP9" s="23">
        <v>10.6</v>
      </c>
      <c r="AQ9" s="24">
        <v>123.57142857142857</v>
      </c>
      <c r="AR9" s="23">
        <v>54.510000000000005</v>
      </c>
      <c r="AS9" s="23">
        <v>-924</v>
      </c>
      <c r="AT9" s="23"/>
      <c r="AU9" s="24"/>
      <c r="AW9" s="27">
        <f t="shared" si="7"/>
        <v>1152.050009</v>
      </c>
      <c r="AX9" s="27">
        <f t="shared" si="8"/>
        <v>173.46000900000001</v>
      </c>
      <c r="AY9" s="27">
        <f t="shared" si="9"/>
        <v>40.560009000000001</v>
      </c>
      <c r="AZ9" s="27">
        <f t="shared" si="10"/>
        <v>10.600009</v>
      </c>
    </row>
    <row r="10" spans="1:52" ht="15" customHeight="1" x14ac:dyDescent="0.25">
      <c r="A10" s="13" t="str">
        <f>VLOOKUP(L10,[1]VALIDAÇÃO!$D$13:$E$350,2,0)</f>
        <v>DIRETO</v>
      </c>
      <c r="B10" s="14" t="str">
        <f t="shared" si="0"/>
        <v>65RESERVA DO PAIVA SPE 01 LTDA.</v>
      </c>
      <c r="C10" s="15">
        <f t="shared" si="11"/>
        <v>65</v>
      </c>
      <c r="D10" s="16" t="str">
        <f t="shared" si="1"/>
        <v>61RESERVA DO PAIVA SPE 01 LTDA.</v>
      </c>
      <c r="E10" s="17">
        <f t="shared" si="2"/>
        <v>61</v>
      </c>
      <c r="F10" s="18" t="str">
        <f t="shared" si="3"/>
        <v>59RESERVA DO PAIVA SPE 01 LTDA.</v>
      </c>
      <c r="G10" s="18">
        <f t="shared" si="4"/>
        <v>59</v>
      </c>
      <c r="H10" s="19" t="str">
        <f t="shared" si="5"/>
        <v>72RESERVA DO PAIVA SPE 01 LTDA.</v>
      </c>
      <c r="I10" s="19">
        <f t="shared" si="6"/>
        <v>72</v>
      </c>
      <c r="J10" s="13" t="s">
        <v>68</v>
      </c>
      <c r="K10" s="13" t="s">
        <v>69</v>
      </c>
      <c r="L10" s="13" t="s">
        <v>54</v>
      </c>
      <c r="M10" s="13" t="s">
        <v>55</v>
      </c>
      <c r="N10" s="20">
        <v>896.41</v>
      </c>
      <c r="O10" s="20">
        <v>1622.13</v>
      </c>
      <c r="P10" s="21">
        <v>45729</v>
      </c>
      <c r="Q10" s="22"/>
      <c r="R10" s="23">
        <v>1622.13</v>
      </c>
      <c r="S10" s="24"/>
      <c r="T10" s="23"/>
      <c r="U10" s="24"/>
      <c r="V10" s="23"/>
      <c r="W10" s="23"/>
      <c r="X10" s="24"/>
      <c r="Y10" s="23"/>
      <c r="Z10" s="23"/>
      <c r="AA10" s="23">
        <v>3.4</v>
      </c>
      <c r="AB10" s="23">
        <v>122.11</v>
      </c>
      <c r="AC10" s="24">
        <v>835.05714285714282</v>
      </c>
      <c r="AD10" s="23">
        <v>81.12</v>
      </c>
      <c r="AE10" s="24">
        <v>440.53999999999996</v>
      </c>
      <c r="AF10" s="23"/>
      <c r="AG10" s="23"/>
      <c r="AH10" s="23">
        <v>13.490000000000002</v>
      </c>
      <c r="AI10" s="24">
        <v>0</v>
      </c>
      <c r="AJ10" s="25">
        <v>374.63</v>
      </c>
      <c r="AK10" s="23">
        <v>83.07</v>
      </c>
      <c r="AL10" s="23"/>
      <c r="AM10" s="24"/>
      <c r="AN10" s="23"/>
      <c r="AO10" s="24"/>
      <c r="AP10" s="23">
        <v>104.19</v>
      </c>
      <c r="AQ10" s="24">
        <v>605.6</v>
      </c>
      <c r="AR10" s="23">
        <v>77.78</v>
      </c>
      <c r="AS10" s="23">
        <v>-695.2</v>
      </c>
      <c r="AT10" s="23"/>
      <c r="AU10" s="24"/>
      <c r="AW10" s="27">
        <f t="shared" si="7"/>
        <v>374.63000999999997</v>
      </c>
      <c r="AX10" s="27">
        <f t="shared" si="8"/>
        <v>81.120010000000008</v>
      </c>
      <c r="AY10" s="27">
        <f t="shared" si="9"/>
        <v>122.11001</v>
      </c>
      <c r="AZ10" s="27">
        <f t="shared" si="10"/>
        <v>104.19001</v>
      </c>
    </row>
    <row r="11" spans="1:52" ht="15" customHeight="1" x14ac:dyDescent="0.25">
      <c r="A11" s="13" t="str">
        <f>VLOOKUP(L11,[1]VALIDAÇÃO!$D$13:$E$350,2,0)</f>
        <v>DIRETO</v>
      </c>
      <c r="B11" s="14" t="str">
        <f t="shared" si="0"/>
        <v>90RESERVA DO PAIVA SPE 03 LTDA</v>
      </c>
      <c r="C11" s="15">
        <f t="shared" si="11"/>
        <v>90</v>
      </c>
      <c r="D11" s="16" t="str">
        <f t="shared" si="1"/>
        <v>41RESERVA DO PAIVA SPE 03 LTDA</v>
      </c>
      <c r="E11" s="17">
        <f t="shared" si="2"/>
        <v>41</v>
      </c>
      <c r="F11" s="18" t="str">
        <f t="shared" si="3"/>
        <v>38RESERVA DO PAIVA SPE 03 LTDA</v>
      </c>
      <c r="G11" s="18">
        <f t="shared" si="4"/>
        <v>38</v>
      </c>
      <c r="H11" s="19" t="str">
        <f t="shared" si="5"/>
        <v>12RESERVA DO PAIVA SPE 03 LTDA</v>
      </c>
      <c r="I11" s="19">
        <f t="shared" si="6"/>
        <v>12</v>
      </c>
      <c r="J11" s="13" t="s">
        <v>52</v>
      </c>
      <c r="K11" s="13" t="s">
        <v>70</v>
      </c>
      <c r="L11" s="13" t="s">
        <v>71</v>
      </c>
      <c r="M11" s="13" t="s">
        <v>55</v>
      </c>
      <c r="N11" s="20">
        <v>2123.4299999999998</v>
      </c>
      <c r="O11" s="20">
        <v>1622.13</v>
      </c>
      <c r="P11" s="21">
        <v>45978</v>
      </c>
      <c r="Q11" s="22"/>
      <c r="R11" s="23">
        <v>1622.13</v>
      </c>
      <c r="S11" s="24"/>
      <c r="T11" s="23"/>
      <c r="U11" s="24"/>
      <c r="V11" s="23"/>
      <c r="W11" s="23"/>
      <c r="X11" s="24"/>
      <c r="Y11" s="23"/>
      <c r="Z11" s="23"/>
      <c r="AA11" s="23">
        <v>8.51</v>
      </c>
      <c r="AB11" s="23">
        <v>244.87</v>
      </c>
      <c r="AC11" s="24">
        <v>1094</v>
      </c>
      <c r="AD11" s="23">
        <v>361.94</v>
      </c>
      <c r="AE11" s="24">
        <v>1617</v>
      </c>
      <c r="AF11" s="23"/>
      <c r="AG11" s="23"/>
      <c r="AH11" s="23">
        <v>39.14</v>
      </c>
      <c r="AI11" s="24">
        <v>0</v>
      </c>
      <c r="AJ11" s="25">
        <v>164.29</v>
      </c>
      <c r="AK11" s="23">
        <v>35.720000000000006</v>
      </c>
      <c r="AL11" s="23">
        <v>-13.17</v>
      </c>
      <c r="AM11" s="24">
        <v>100</v>
      </c>
      <c r="AN11" s="23"/>
      <c r="AO11" s="24"/>
      <c r="AP11" s="23">
        <v>469</v>
      </c>
      <c r="AQ11" s="24">
        <v>1781</v>
      </c>
      <c r="AR11" s="23">
        <v>233.87</v>
      </c>
      <c r="AS11" s="23">
        <v>-695.2</v>
      </c>
      <c r="AT11" s="23"/>
      <c r="AU11" s="24"/>
      <c r="AW11" s="27">
        <f t="shared" si="7"/>
        <v>164.29001099999999</v>
      </c>
      <c r="AX11" s="27">
        <f t="shared" si="8"/>
        <v>361.94001099999997</v>
      </c>
      <c r="AY11" s="27">
        <f t="shared" si="9"/>
        <v>244.87001100000001</v>
      </c>
      <c r="AZ11" s="27">
        <f t="shared" si="10"/>
        <v>469.00001099999997</v>
      </c>
    </row>
    <row r="12" spans="1:52" ht="15" customHeight="1" x14ac:dyDescent="0.25">
      <c r="A12" s="13" t="str">
        <f>VLOOKUP(L12,[1]VALIDAÇÃO!$D$13:$E$350,2,0)</f>
        <v>DIRETO</v>
      </c>
      <c r="B12" s="14" t="str">
        <f t="shared" si="0"/>
        <v>24RIO AVE CARNEIROS 01 SPE LTDA.</v>
      </c>
      <c r="C12" s="15">
        <f t="shared" si="11"/>
        <v>24</v>
      </c>
      <c r="D12" s="16" t="str">
        <f t="shared" si="1"/>
        <v>34RIO AVE CARNEIROS 01 SPE LTDA.</v>
      </c>
      <c r="E12" s="17">
        <f t="shared" si="2"/>
        <v>34</v>
      </c>
      <c r="F12" s="18" t="str">
        <f t="shared" si="3"/>
        <v>40RIO AVE CARNEIROS 01 SPE LTDA.</v>
      </c>
      <c r="G12" s="18">
        <f t="shared" si="4"/>
        <v>40</v>
      </c>
      <c r="H12" s="19" t="str">
        <f t="shared" si="5"/>
        <v>28RIO AVE CARNEIROS 01 SPE LTDA.</v>
      </c>
      <c r="I12" s="19">
        <f t="shared" si="6"/>
        <v>28</v>
      </c>
      <c r="J12" s="13" t="s">
        <v>61</v>
      </c>
      <c r="K12" s="13" t="s">
        <v>72</v>
      </c>
      <c r="L12" s="13" t="s">
        <v>54</v>
      </c>
      <c r="M12" s="13" t="s">
        <v>55</v>
      </c>
      <c r="N12" s="20">
        <v>1414.84</v>
      </c>
      <c r="O12" s="20">
        <v>1622.13</v>
      </c>
      <c r="P12" s="21">
        <v>45817</v>
      </c>
      <c r="Q12" s="22"/>
      <c r="R12" s="23">
        <v>1622.13</v>
      </c>
      <c r="S12" s="24"/>
      <c r="T12" s="23"/>
      <c r="U12" s="24"/>
      <c r="V12" s="23"/>
      <c r="W12" s="23"/>
      <c r="X12" s="24"/>
      <c r="Y12" s="23"/>
      <c r="Z12" s="23"/>
      <c r="AA12" s="23">
        <v>8.43</v>
      </c>
      <c r="AB12" s="23">
        <v>136</v>
      </c>
      <c r="AC12" s="24">
        <v>1270.242857142857</v>
      </c>
      <c r="AD12" s="23">
        <v>267.75</v>
      </c>
      <c r="AE12" s="24">
        <v>1796.242857142857</v>
      </c>
      <c r="AF12" s="23"/>
      <c r="AG12" s="23"/>
      <c r="AH12" s="23">
        <v>38.180000000000007</v>
      </c>
      <c r="AI12" s="24">
        <v>0</v>
      </c>
      <c r="AJ12" s="25">
        <v>631.75</v>
      </c>
      <c r="AK12" s="23">
        <v>137.79999999999998</v>
      </c>
      <c r="AL12" s="23"/>
      <c r="AM12" s="24"/>
      <c r="AN12" s="23"/>
      <c r="AO12" s="24"/>
      <c r="AP12" s="23">
        <v>43.33</v>
      </c>
      <c r="AQ12" s="24">
        <v>344.04285714285714</v>
      </c>
      <c r="AR12" s="23">
        <v>98.35</v>
      </c>
      <c r="AS12" s="23">
        <v>-765.2</v>
      </c>
      <c r="AT12" s="23"/>
      <c r="AU12" s="24"/>
      <c r="AW12" s="27">
        <f t="shared" si="7"/>
        <v>631.75001199999997</v>
      </c>
      <c r="AX12" s="27">
        <f t="shared" si="8"/>
        <v>267.75001200000003</v>
      </c>
      <c r="AY12" s="27">
        <f t="shared" si="9"/>
        <v>136.000012</v>
      </c>
      <c r="AZ12" s="27">
        <f t="shared" si="10"/>
        <v>43.330011999999996</v>
      </c>
    </row>
    <row r="13" spans="1:52" ht="15" customHeight="1" x14ac:dyDescent="0.25">
      <c r="A13" s="13" t="str">
        <f>VLOOKUP(L13,[1]VALIDAÇÃO!$D$13:$E$350,2,0)</f>
        <v>DIRETO</v>
      </c>
      <c r="B13" s="14" t="str">
        <f t="shared" si="0"/>
        <v>25RIO AVE 200 SPE LTDA.</v>
      </c>
      <c r="C13" s="15">
        <f t="shared" si="11"/>
        <v>25</v>
      </c>
      <c r="D13" s="16" t="str">
        <f t="shared" si="1"/>
        <v>39RIO AVE 200 SPE LTDA.</v>
      </c>
      <c r="E13" s="17">
        <f t="shared" si="2"/>
        <v>39</v>
      </c>
      <c r="F13" s="18" t="str">
        <f t="shared" si="3"/>
        <v>39RIO AVE 200 SPE LTDA.</v>
      </c>
      <c r="G13" s="18">
        <f t="shared" si="4"/>
        <v>39</v>
      </c>
      <c r="H13" s="19" t="str">
        <f t="shared" si="5"/>
        <v>77RIO AVE 200 SPE LTDA.</v>
      </c>
      <c r="I13" s="19">
        <f t="shared" si="6"/>
        <v>77</v>
      </c>
      <c r="J13" s="13" t="s">
        <v>48</v>
      </c>
      <c r="K13" s="13" t="s">
        <v>73</v>
      </c>
      <c r="L13" s="13" t="s">
        <v>59</v>
      </c>
      <c r="M13" s="13" t="s">
        <v>55</v>
      </c>
      <c r="N13" s="20">
        <v>1873.72</v>
      </c>
      <c r="O13" s="20">
        <v>2156</v>
      </c>
      <c r="P13" s="21">
        <v>45938</v>
      </c>
      <c r="Q13" s="22"/>
      <c r="R13" s="23">
        <v>2156</v>
      </c>
      <c r="S13" s="24"/>
      <c r="T13" s="23"/>
      <c r="U13" s="24"/>
      <c r="V13" s="23"/>
      <c r="W13" s="23"/>
      <c r="X13" s="24"/>
      <c r="Y13" s="23"/>
      <c r="Z13" s="23"/>
      <c r="AA13" s="23">
        <v>2.23</v>
      </c>
      <c r="AB13" s="23">
        <v>13.9</v>
      </c>
      <c r="AC13" s="24">
        <v>190.71428571428572</v>
      </c>
      <c r="AD13" s="23">
        <v>108.50999999999999</v>
      </c>
      <c r="AE13" s="24">
        <v>508.71428571428572</v>
      </c>
      <c r="AF13" s="23"/>
      <c r="AG13" s="23"/>
      <c r="AH13" s="23">
        <v>10.1</v>
      </c>
      <c r="AI13" s="24">
        <v>0</v>
      </c>
      <c r="AJ13" s="25">
        <v>656.02</v>
      </c>
      <c r="AK13" s="23">
        <v>150.22</v>
      </c>
      <c r="AL13" s="23"/>
      <c r="AM13" s="24"/>
      <c r="AN13" s="23"/>
      <c r="AO13" s="24"/>
      <c r="AP13" s="23"/>
      <c r="AQ13" s="24"/>
      <c r="AR13" s="23">
        <v>26.630000000000003</v>
      </c>
      <c r="AS13" s="23">
        <v>-998</v>
      </c>
      <c r="AT13" s="23"/>
      <c r="AU13" s="24"/>
      <c r="AW13" s="27">
        <f t="shared" si="7"/>
        <v>656.02001299999995</v>
      </c>
      <c r="AX13" s="27">
        <f t="shared" si="8"/>
        <v>108.51001299999999</v>
      </c>
      <c r="AY13" s="27">
        <f t="shared" si="9"/>
        <v>13.900013</v>
      </c>
      <c r="AZ13" s="27">
        <f t="shared" si="10"/>
        <v>1.2999999999999999E-5</v>
      </c>
    </row>
    <row r="14" spans="1:52" ht="15" customHeight="1" x14ac:dyDescent="0.25">
      <c r="A14" s="13" t="str">
        <f>VLOOKUP(L14,[1]VALIDAÇÃO!$D$13:$E$350,2,0)</f>
        <v>DIRETO</v>
      </c>
      <c r="B14" s="14" t="str">
        <f t="shared" si="0"/>
        <v>12RESERVA DO PAIVA SPE 03 LTDA</v>
      </c>
      <c r="C14" s="15">
        <f t="shared" si="11"/>
        <v>12</v>
      </c>
      <c r="D14" s="16" t="str">
        <f t="shared" si="1"/>
        <v>74RESERVA DO PAIVA SPE 03 LTDA</v>
      </c>
      <c r="E14" s="17">
        <f t="shared" si="2"/>
        <v>74</v>
      </c>
      <c r="F14" s="18" t="str">
        <f t="shared" si="3"/>
        <v>8RESERVA DO PAIVA SPE 03 LTDA</v>
      </c>
      <c r="G14" s="18">
        <f t="shared" si="4"/>
        <v>8</v>
      </c>
      <c r="H14" s="19" t="str">
        <f t="shared" si="5"/>
        <v>3RESERVA DO PAIVA SPE 03 LTDA</v>
      </c>
      <c r="I14" s="19">
        <f t="shared" si="6"/>
        <v>3</v>
      </c>
      <c r="J14" s="13" t="s">
        <v>52</v>
      </c>
      <c r="K14" s="13" t="s">
        <v>74</v>
      </c>
      <c r="L14" s="13" t="s">
        <v>63</v>
      </c>
      <c r="M14" s="13" t="s">
        <v>55</v>
      </c>
      <c r="N14" s="20">
        <v>2909.11</v>
      </c>
      <c r="O14" s="20">
        <v>2156</v>
      </c>
      <c r="P14" s="21">
        <v>45839</v>
      </c>
      <c r="Q14" s="22"/>
      <c r="R14" s="23">
        <v>2156</v>
      </c>
      <c r="S14" s="24"/>
      <c r="T14" s="23"/>
      <c r="U14" s="24"/>
      <c r="V14" s="23"/>
      <c r="W14" s="23"/>
      <c r="X14" s="24"/>
      <c r="Y14" s="23"/>
      <c r="Z14" s="23"/>
      <c r="AA14" s="23">
        <v>35.9</v>
      </c>
      <c r="AB14" s="23">
        <v>455.41</v>
      </c>
      <c r="AC14" s="24">
        <v>2267.6985714285715</v>
      </c>
      <c r="AD14" s="23">
        <v>200.53</v>
      </c>
      <c r="AE14" s="24">
        <v>1571.5557142857144</v>
      </c>
      <c r="AF14" s="23"/>
      <c r="AG14" s="23"/>
      <c r="AH14" s="23">
        <v>161.38</v>
      </c>
      <c r="AI14" s="24">
        <v>0</v>
      </c>
      <c r="AJ14" s="25">
        <v>955.35</v>
      </c>
      <c r="AK14" s="23">
        <v>209.34</v>
      </c>
      <c r="AL14" s="23">
        <v>-2.13</v>
      </c>
      <c r="AM14" s="24">
        <v>12.17</v>
      </c>
      <c r="AN14" s="23"/>
      <c r="AO14" s="24"/>
      <c r="AP14" s="23">
        <v>976.2</v>
      </c>
      <c r="AQ14" s="24">
        <v>3969.8414285714289</v>
      </c>
      <c r="AR14" s="23">
        <v>363.55</v>
      </c>
      <c r="AS14" s="23">
        <v>-1014</v>
      </c>
      <c r="AT14" s="23"/>
      <c r="AU14" s="24"/>
      <c r="AV14" s="28"/>
      <c r="AW14" s="27">
        <f t="shared" si="7"/>
        <v>955.35001399999999</v>
      </c>
      <c r="AX14" s="27">
        <f t="shared" si="8"/>
        <v>200.53001399999999</v>
      </c>
      <c r="AY14" s="27">
        <f t="shared" si="9"/>
        <v>455.41001400000005</v>
      </c>
      <c r="AZ14" s="27">
        <f t="shared" si="10"/>
        <v>976.20001400000001</v>
      </c>
    </row>
    <row r="15" spans="1:52" ht="15" customHeight="1" x14ac:dyDescent="0.25">
      <c r="A15" s="13" t="str">
        <f>VLOOKUP(L15,[1]VALIDAÇÃO!$D$13:$E$350,2,0)</f>
        <v>DIRETO</v>
      </c>
      <c r="B15" s="14" t="str">
        <f t="shared" si="0"/>
        <v>88CONDOMINIO DO EDIFICIO EMPRESARIAL MARIE CURIE</v>
      </c>
      <c r="C15" s="15">
        <f t="shared" si="11"/>
        <v>88</v>
      </c>
      <c r="D15" s="16" t="str">
        <f t="shared" si="1"/>
        <v>112CONDOMINIO DO EDIFICIO EMPRESARIAL MARIE CURIE</v>
      </c>
      <c r="E15" s="17">
        <f t="shared" si="2"/>
        <v>112</v>
      </c>
      <c r="F15" s="18" t="str">
        <f t="shared" si="3"/>
        <v>90CONDOMINIO DO EDIFICIO EMPRESARIAL MARIE CURIE</v>
      </c>
      <c r="G15" s="18">
        <f t="shared" si="4"/>
        <v>90</v>
      </c>
      <c r="H15" s="19" t="str">
        <f t="shared" si="5"/>
        <v>128CONDOMINIO DO EDIFICIO EMPRESARIAL MARIE CURIE</v>
      </c>
      <c r="I15" s="19">
        <f t="shared" si="6"/>
        <v>128</v>
      </c>
      <c r="J15" s="13" t="s">
        <v>57</v>
      </c>
      <c r="K15" s="13" t="s">
        <v>75</v>
      </c>
      <c r="L15" s="13" t="s">
        <v>54</v>
      </c>
      <c r="M15" s="13" t="s">
        <v>60</v>
      </c>
      <c r="N15" s="20">
        <v>731.72</v>
      </c>
      <c r="O15" s="20">
        <v>1622.13</v>
      </c>
      <c r="P15" s="21">
        <v>45579</v>
      </c>
      <c r="Q15" s="22"/>
      <c r="R15" s="23">
        <v>1622.13</v>
      </c>
      <c r="S15" s="24"/>
      <c r="T15" s="23"/>
      <c r="U15" s="24"/>
      <c r="V15" s="23"/>
      <c r="W15" s="23"/>
      <c r="X15" s="24"/>
      <c r="Y15" s="23"/>
      <c r="Z15" s="23"/>
      <c r="AA15" s="23">
        <v>0.04</v>
      </c>
      <c r="AB15" s="23">
        <v>8.02</v>
      </c>
      <c r="AC15" s="24">
        <v>45.71142857142857</v>
      </c>
      <c r="AD15" s="23">
        <v>7.3500000000000005</v>
      </c>
      <c r="AE15" s="24">
        <v>47.98571428571428</v>
      </c>
      <c r="AF15" s="23"/>
      <c r="AG15" s="23"/>
      <c r="AH15" s="23">
        <v>0.29000000000000004</v>
      </c>
      <c r="AI15" s="24">
        <v>0</v>
      </c>
      <c r="AJ15" s="25">
        <v>201.64</v>
      </c>
      <c r="AK15" s="23">
        <v>42.7</v>
      </c>
      <c r="AL15" s="23"/>
      <c r="AM15" s="24"/>
      <c r="AN15" s="23"/>
      <c r="AO15" s="24"/>
      <c r="AP15" s="23"/>
      <c r="AQ15" s="24"/>
      <c r="AR15" s="23">
        <v>2.23</v>
      </c>
      <c r="AS15" s="23">
        <v>-695.2</v>
      </c>
      <c r="AT15" s="23"/>
      <c r="AU15" s="24"/>
      <c r="AW15" s="27">
        <f t="shared" si="7"/>
        <v>201.64001499999998</v>
      </c>
      <c r="AX15" s="27">
        <f t="shared" si="8"/>
        <v>7.3500150000000009</v>
      </c>
      <c r="AY15" s="27">
        <f t="shared" si="9"/>
        <v>8.020014999999999</v>
      </c>
      <c r="AZ15" s="27">
        <f t="shared" si="10"/>
        <v>1.5E-5</v>
      </c>
    </row>
    <row r="16" spans="1:52" ht="15" customHeight="1" x14ac:dyDescent="0.25">
      <c r="A16" s="13" t="str">
        <f>VLOOKUP(L16,[1]VALIDAÇÃO!$D$13:$E$350,2,0)</f>
        <v>DIRETO</v>
      </c>
      <c r="B16" s="14" t="str">
        <f t="shared" si="0"/>
        <v>48CONDOMINIO DO EDIFICIO EMPRESARIAL MARIE CURIE</v>
      </c>
      <c r="C16" s="15">
        <f t="shared" si="11"/>
        <v>48</v>
      </c>
      <c r="D16" s="16" t="str">
        <f t="shared" si="1"/>
        <v>68CONDOMINIO DO EDIFICIO EMPRESARIAL MARIE CURIE</v>
      </c>
      <c r="E16" s="17">
        <f t="shared" si="2"/>
        <v>68</v>
      </c>
      <c r="F16" s="18" t="str">
        <f t="shared" si="3"/>
        <v>129CONDOMINIO DO EDIFICIO EMPRESARIAL MARIE CURIE</v>
      </c>
      <c r="G16" s="18">
        <f t="shared" si="4"/>
        <v>129</v>
      </c>
      <c r="H16" s="19" t="str">
        <f t="shared" si="5"/>
        <v>127CONDOMINIO DO EDIFICIO EMPRESARIAL MARIE CURIE</v>
      </c>
      <c r="I16" s="19">
        <f t="shared" si="6"/>
        <v>127</v>
      </c>
      <c r="J16" s="13" t="s">
        <v>57</v>
      </c>
      <c r="K16" s="13" t="s">
        <v>76</v>
      </c>
      <c r="L16" s="13" t="s">
        <v>54</v>
      </c>
      <c r="M16" s="13" t="s">
        <v>60</v>
      </c>
      <c r="N16" s="20">
        <v>802.03</v>
      </c>
      <c r="O16" s="20">
        <v>1622.13</v>
      </c>
      <c r="P16" s="21">
        <v>45726</v>
      </c>
      <c r="Q16" s="22"/>
      <c r="R16" s="23">
        <v>1622.13</v>
      </c>
      <c r="S16" s="24"/>
      <c r="T16" s="23"/>
      <c r="U16" s="24"/>
      <c r="V16" s="23"/>
      <c r="W16" s="23"/>
      <c r="X16" s="24"/>
      <c r="Y16" s="23"/>
      <c r="Z16" s="23"/>
      <c r="AA16" s="23">
        <v>1.29</v>
      </c>
      <c r="AB16" s="23"/>
      <c r="AC16" s="24"/>
      <c r="AD16" s="23">
        <v>95.36</v>
      </c>
      <c r="AE16" s="24">
        <v>633.01428571428573</v>
      </c>
      <c r="AF16" s="23"/>
      <c r="AG16" s="23"/>
      <c r="AH16" s="23">
        <v>6.6000000000000005</v>
      </c>
      <c r="AI16" s="24">
        <v>0</v>
      </c>
      <c r="AJ16" s="25">
        <v>535.70000000000005</v>
      </c>
      <c r="AK16" s="23">
        <v>115.31</v>
      </c>
      <c r="AL16" s="23"/>
      <c r="AM16" s="24"/>
      <c r="AN16" s="23">
        <v>-115.87</v>
      </c>
      <c r="AO16" s="24">
        <v>2</v>
      </c>
      <c r="AP16" s="23"/>
      <c r="AQ16" s="24"/>
      <c r="AR16" s="23">
        <v>18.810000000000002</v>
      </c>
      <c r="AS16" s="23">
        <v>-695.2</v>
      </c>
      <c r="AT16" s="23">
        <v>-57.93</v>
      </c>
      <c r="AU16" s="24">
        <v>1</v>
      </c>
      <c r="AW16" s="27">
        <f t="shared" si="7"/>
        <v>535.70001600000001</v>
      </c>
      <c r="AX16" s="27">
        <f t="shared" si="8"/>
        <v>95.360016000000002</v>
      </c>
      <c r="AY16" s="27">
        <f t="shared" si="9"/>
        <v>1.5999999999999999E-5</v>
      </c>
      <c r="AZ16" s="27">
        <f t="shared" si="10"/>
        <v>1.5999999999999999E-5</v>
      </c>
    </row>
    <row r="17" spans="1:52" ht="15" customHeight="1" x14ac:dyDescent="0.25">
      <c r="A17" s="13" t="str">
        <f>VLOOKUP(L17,[1]VALIDAÇÃO!$D$13:$E$350,2,0)</f>
        <v>DIRETO</v>
      </c>
      <c r="B17" s="14" t="str">
        <f t="shared" si="0"/>
        <v>97RESERVA DO PAIVA SPE 03 LTDA</v>
      </c>
      <c r="C17" s="15">
        <f t="shared" si="11"/>
        <v>97</v>
      </c>
      <c r="D17" s="16" t="str">
        <f t="shared" si="1"/>
        <v>33RESERVA DO PAIVA SPE 03 LTDA</v>
      </c>
      <c r="E17" s="17">
        <f t="shared" si="2"/>
        <v>33</v>
      </c>
      <c r="F17" s="18" t="str">
        <f t="shared" si="3"/>
        <v>90RESERVA DO PAIVA SPE 03 LTDA</v>
      </c>
      <c r="G17" s="18">
        <f t="shared" si="4"/>
        <v>90</v>
      </c>
      <c r="H17" s="19" t="str">
        <f t="shared" si="5"/>
        <v>31RESERVA DO PAIVA SPE 03 LTDA</v>
      </c>
      <c r="I17" s="19">
        <f t="shared" si="6"/>
        <v>31</v>
      </c>
      <c r="J17" s="13" t="s">
        <v>52</v>
      </c>
      <c r="K17" s="13" t="s">
        <v>77</v>
      </c>
      <c r="L17" s="13" t="s">
        <v>54</v>
      </c>
      <c r="M17" s="13" t="s">
        <v>55</v>
      </c>
      <c r="N17" s="20">
        <v>1275.24</v>
      </c>
      <c r="O17" s="20">
        <v>1622.13</v>
      </c>
      <c r="P17" s="21">
        <v>45873</v>
      </c>
      <c r="Q17" s="22"/>
      <c r="R17" s="23">
        <v>1622.13</v>
      </c>
      <c r="S17" s="24"/>
      <c r="T17" s="23"/>
      <c r="U17" s="24"/>
      <c r="V17" s="23"/>
      <c r="W17" s="23"/>
      <c r="X17" s="24"/>
      <c r="Y17" s="23"/>
      <c r="Z17" s="23"/>
      <c r="AA17" s="23">
        <v>3.8600000000000003</v>
      </c>
      <c r="AB17" s="23">
        <v>81.440000000000012</v>
      </c>
      <c r="AC17" s="24">
        <v>1006.0714285714286</v>
      </c>
      <c r="AD17" s="23">
        <v>429.34000000000003</v>
      </c>
      <c r="AE17" s="24">
        <v>3339.0714285714284</v>
      </c>
      <c r="AF17" s="23"/>
      <c r="AG17" s="23"/>
      <c r="AH17" s="23">
        <v>16.439999999999998</v>
      </c>
      <c r="AI17" s="24">
        <v>0</v>
      </c>
      <c r="AJ17" s="25">
        <v>139.81</v>
      </c>
      <c r="AK17" s="23">
        <v>31.6</v>
      </c>
      <c r="AL17" s="23"/>
      <c r="AM17" s="24"/>
      <c r="AN17" s="23"/>
      <c r="AO17" s="24"/>
      <c r="AP17" s="23">
        <v>190.29000000000002</v>
      </c>
      <c r="AQ17" s="24">
        <v>940.78571428571422</v>
      </c>
      <c r="AR17" s="23">
        <v>157.69999999999999</v>
      </c>
      <c r="AS17" s="23">
        <v>-695.2</v>
      </c>
      <c r="AT17" s="23"/>
      <c r="AU17" s="24"/>
      <c r="AW17" s="27">
        <f t="shared" si="7"/>
        <v>139.81001700000002</v>
      </c>
      <c r="AX17" s="27">
        <f t="shared" si="8"/>
        <v>429.34001700000005</v>
      </c>
      <c r="AY17" s="27">
        <f t="shared" si="9"/>
        <v>81.440017000000012</v>
      </c>
      <c r="AZ17" s="27">
        <f t="shared" si="10"/>
        <v>190.29001700000003</v>
      </c>
    </row>
    <row r="18" spans="1:52" ht="15" customHeight="1" x14ac:dyDescent="0.25">
      <c r="A18" s="13" t="str">
        <f>VLOOKUP(L18,[1]VALIDAÇÃO!$D$13:$E$350,2,0)</f>
        <v>DIRETO</v>
      </c>
      <c r="B18" s="14" t="str">
        <f t="shared" si="0"/>
        <v>33RESERVA DO PAIVA SPE 03 LTDA</v>
      </c>
      <c r="C18" s="15">
        <f t="shared" si="11"/>
        <v>33</v>
      </c>
      <c r="D18" s="16" t="str">
        <f t="shared" si="1"/>
        <v>7RESERVA DO PAIVA SPE 03 LTDA</v>
      </c>
      <c r="E18" s="17">
        <f t="shared" si="2"/>
        <v>7</v>
      </c>
      <c r="F18" s="18" t="str">
        <f t="shared" si="3"/>
        <v>10RESERVA DO PAIVA SPE 03 LTDA</v>
      </c>
      <c r="G18" s="18">
        <f t="shared" si="4"/>
        <v>10</v>
      </c>
      <c r="H18" s="19" t="str">
        <f t="shared" si="5"/>
        <v>65RESERVA DO PAIVA SPE 03 LTDA</v>
      </c>
      <c r="I18" s="19">
        <f t="shared" si="6"/>
        <v>65</v>
      </c>
      <c r="J18" s="13" t="s">
        <v>52</v>
      </c>
      <c r="K18" s="13" t="s">
        <v>78</v>
      </c>
      <c r="L18" s="13" t="s">
        <v>54</v>
      </c>
      <c r="M18" s="13" t="s">
        <v>55</v>
      </c>
      <c r="N18" s="20">
        <v>1750.08</v>
      </c>
      <c r="O18" s="20">
        <v>1622.13</v>
      </c>
      <c r="P18" s="21">
        <v>45488</v>
      </c>
      <c r="Q18" s="22"/>
      <c r="R18" s="23">
        <v>1622.13</v>
      </c>
      <c r="S18" s="24"/>
      <c r="T18" s="23"/>
      <c r="U18" s="24"/>
      <c r="V18" s="23"/>
      <c r="W18" s="23">
        <v>2.12</v>
      </c>
      <c r="X18" s="24">
        <v>73.88</v>
      </c>
      <c r="Y18" s="23"/>
      <c r="Z18" s="23"/>
      <c r="AA18" s="23">
        <v>15.830000000000002</v>
      </c>
      <c r="AB18" s="23">
        <v>430.27</v>
      </c>
      <c r="AC18" s="24">
        <v>2124.4071428571428</v>
      </c>
      <c r="AD18" s="23">
        <v>1054.73</v>
      </c>
      <c r="AE18" s="24">
        <v>5243.3071428571429</v>
      </c>
      <c r="AF18" s="23"/>
      <c r="AG18" s="23"/>
      <c r="AH18" s="23">
        <v>70.650000000000006</v>
      </c>
      <c r="AI18" s="24">
        <v>0</v>
      </c>
      <c r="AJ18" s="25">
        <v>408.94000000000005</v>
      </c>
      <c r="AK18" s="23">
        <v>90.23</v>
      </c>
      <c r="AL18" s="23">
        <v>-7</v>
      </c>
      <c r="AM18" s="24">
        <v>53.17</v>
      </c>
      <c r="AN18" s="23"/>
      <c r="AO18" s="24"/>
      <c r="AP18" s="23">
        <v>34.65</v>
      </c>
      <c r="AQ18" s="24">
        <v>131.59</v>
      </c>
      <c r="AR18" s="23">
        <v>331.75</v>
      </c>
      <c r="AS18" s="23">
        <v>-695.2</v>
      </c>
      <c r="AT18" s="23"/>
      <c r="AU18" s="24"/>
      <c r="AW18" s="27">
        <f t="shared" si="7"/>
        <v>408.94001800000007</v>
      </c>
      <c r="AX18" s="27">
        <f t="shared" si="8"/>
        <v>1054.730018</v>
      </c>
      <c r="AY18" s="27">
        <f t="shared" si="9"/>
        <v>430.27001799999999</v>
      </c>
      <c r="AZ18" s="27">
        <f t="shared" si="10"/>
        <v>34.650017999999996</v>
      </c>
    </row>
    <row r="19" spans="1:52" ht="15" customHeight="1" x14ac:dyDescent="0.25">
      <c r="A19" s="13" t="str">
        <f>VLOOKUP(L19,[1]VALIDAÇÃO!$D$13:$E$350,2,0)</f>
        <v>DIRETO</v>
      </c>
      <c r="B19" s="14" t="str">
        <f t="shared" si="0"/>
        <v>110RESERVA DO PAIVA SPE 03 LTDA</v>
      </c>
      <c r="C19" s="15">
        <f t="shared" si="11"/>
        <v>110</v>
      </c>
      <c r="D19" s="16" t="str">
        <f t="shared" si="1"/>
        <v>73RESERVA DO PAIVA SPE 03 LTDA</v>
      </c>
      <c r="E19" s="17">
        <f t="shared" si="2"/>
        <v>73</v>
      </c>
      <c r="F19" s="18" t="str">
        <f t="shared" si="3"/>
        <v>43RESERVA DO PAIVA SPE 03 LTDA</v>
      </c>
      <c r="G19" s="18">
        <f t="shared" si="4"/>
        <v>43</v>
      </c>
      <c r="H19" s="19" t="str">
        <f t="shared" si="5"/>
        <v>43RESERVA DO PAIVA SPE 03 LTDA</v>
      </c>
      <c r="I19" s="19">
        <f t="shared" si="6"/>
        <v>43</v>
      </c>
      <c r="J19" s="13" t="s">
        <v>52</v>
      </c>
      <c r="K19" s="13" t="s">
        <v>79</v>
      </c>
      <c r="L19" s="13" t="s">
        <v>54</v>
      </c>
      <c r="M19" s="13" t="s">
        <v>55</v>
      </c>
      <c r="N19" s="20">
        <v>1371.07</v>
      </c>
      <c r="O19" s="20">
        <v>1622.13</v>
      </c>
      <c r="P19" s="21">
        <v>45938</v>
      </c>
      <c r="Q19" s="22"/>
      <c r="R19" s="23">
        <v>1622.13</v>
      </c>
      <c r="S19" s="24"/>
      <c r="T19" s="23"/>
      <c r="U19" s="24"/>
      <c r="V19" s="23"/>
      <c r="W19" s="23"/>
      <c r="X19" s="24"/>
      <c r="Y19" s="23"/>
      <c r="Z19" s="23"/>
      <c r="AA19" s="23">
        <v>2.2400000000000002</v>
      </c>
      <c r="AB19" s="23">
        <v>218.91</v>
      </c>
      <c r="AC19" s="24">
        <v>978</v>
      </c>
      <c r="AD19" s="23">
        <v>205</v>
      </c>
      <c r="AE19" s="24">
        <v>1750.7142857142858</v>
      </c>
      <c r="AF19" s="23"/>
      <c r="AG19" s="23"/>
      <c r="AH19" s="23">
        <v>10.01</v>
      </c>
      <c r="AI19" s="24">
        <v>0</v>
      </c>
      <c r="AJ19" s="25">
        <v>95.570000000000007</v>
      </c>
      <c r="AK19" s="23">
        <v>21.95</v>
      </c>
      <c r="AL19" s="23"/>
      <c r="AM19" s="24"/>
      <c r="AN19" s="23"/>
      <c r="AO19" s="24"/>
      <c r="AP19" s="23">
        <v>126.93</v>
      </c>
      <c r="AQ19" s="24">
        <v>482</v>
      </c>
      <c r="AR19" s="23">
        <v>124.42999999999999</v>
      </c>
      <c r="AS19" s="23">
        <v>-695.2</v>
      </c>
      <c r="AT19" s="23"/>
      <c r="AU19" s="24"/>
      <c r="AW19" s="27">
        <f t="shared" si="7"/>
        <v>95.570019000000002</v>
      </c>
      <c r="AX19" s="27">
        <f t="shared" si="8"/>
        <v>205.00001900000001</v>
      </c>
      <c r="AY19" s="27">
        <f t="shared" si="9"/>
        <v>218.91001900000001</v>
      </c>
      <c r="AZ19" s="27">
        <f t="shared" si="10"/>
        <v>126.930019</v>
      </c>
    </row>
    <row r="20" spans="1:52" ht="15" customHeight="1" x14ac:dyDescent="0.25">
      <c r="A20" s="13" t="str">
        <f>VLOOKUP(L20,[1]VALIDAÇÃO!$D$13:$E$350,2,0)</f>
        <v>DIRETO</v>
      </c>
      <c r="B20" s="14" t="str">
        <f t="shared" si="0"/>
        <v>12RIO AVE PRAIA HOTEL SPE LTDA.</v>
      </c>
      <c r="C20" s="15">
        <f t="shared" si="11"/>
        <v>12</v>
      </c>
      <c r="D20" s="16" t="str">
        <f t="shared" si="1"/>
        <v>8RIO AVE PRAIA HOTEL SPE LTDA.</v>
      </c>
      <c r="E20" s="17">
        <f t="shared" si="2"/>
        <v>8</v>
      </c>
      <c r="F20" s="18" t="str">
        <f t="shared" si="3"/>
        <v>17RIO AVE PRAIA HOTEL SPE LTDA.</v>
      </c>
      <c r="G20" s="18">
        <f t="shared" si="4"/>
        <v>17</v>
      </c>
      <c r="H20" s="19" t="str">
        <f t="shared" si="5"/>
        <v>21RIO AVE PRAIA HOTEL SPE LTDA.</v>
      </c>
      <c r="I20" s="19">
        <f t="shared" si="6"/>
        <v>21</v>
      </c>
      <c r="J20" s="13" t="s">
        <v>80</v>
      </c>
      <c r="K20" s="13" t="s">
        <v>81</v>
      </c>
      <c r="L20" s="13" t="s">
        <v>54</v>
      </c>
      <c r="M20" s="13" t="s">
        <v>82</v>
      </c>
      <c r="N20" s="20">
        <v>923.69</v>
      </c>
      <c r="O20" s="20">
        <v>1564.2</v>
      </c>
      <c r="P20" s="21">
        <v>45418</v>
      </c>
      <c r="Q20" s="22"/>
      <c r="R20" s="23">
        <v>1564.2</v>
      </c>
      <c r="S20" s="24"/>
      <c r="T20" s="23"/>
      <c r="U20" s="24"/>
      <c r="V20" s="23"/>
      <c r="W20" s="23"/>
      <c r="X20" s="24"/>
      <c r="Y20" s="23"/>
      <c r="Z20" s="23"/>
      <c r="AA20" s="23">
        <v>7.42</v>
      </c>
      <c r="AB20" s="23">
        <v>298.75</v>
      </c>
      <c r="AC20" s="24">
        <v>1544.21</v>
      </c>
      <c r="AD20" s="23">
        <v>384.03</v>
      </c>
      <c r="AE20" s="24">
        <v>1994.9414285714286</v>
      </c>
      <c r="AF20" s="23"/>
      <c r="AG20" s="23"/>
      <c r="AH20" s="23">
        <v>34.130000000000003</v>
      </c>
      <c r="AI20" s="24">
        <v>0</v>
      </c>
      <c r="AJ20" s="25">
        <v>395.69000000000005</v>
      </c>
      <c r="AK20" s="23">
        <v>84.66</v>
      </c>
      <c r="AL20" s="23">
        <v>-24.89</v>
      </c>
      <c r="AM20" s="24">
        <v>189</v>
      </c>
      <c r="AN20" s="23"/>
      <c r="AO20" s="24"/>
      <c r="AP20" s="23">
        <v>82.48</v>
      </c>
      <c r="AQ20" s="24">
        <v>327</v>
      </c>
      <c r="AR20" s="23">
        <v>160.37</v>
      </c>
      <c r="AS20" s="23">
        <v>-695.2</v>
      </c>
      <c r="AT20" s="23"/>
      <c r="AU20" s="24"/>
      <c r="AW20" s="27">
        <f t="shared" si="7"/>
        <v>395.69002000000006</v>
      </c>
      <c r="AX20" s="27">
        <f t="shared" si="8"/>
        <v>384.03001999999998</v>
      </c>
      <c r="AY20" s="27">
        <f t="shared" si="9"/>
        <v>298.75002000000001</v>
      </c>
      <c r="AZ20" s="27">
        <f t="shared" si="10"/>
        <v>82.48002000000001</v>
      </c>
    </row>
    <row r="21" spans="1:52" ht="15" customHeight="1" x14ac:dyDescent="0.25">
      <c r="A21" s="13" t="str">
        <f>VLOOKUP(L21,[1]VALIDAÇÃO!$D$13:$E$350,2,0)</f>
        <v>INDIRETO</v>
      </c>
      <c r="B21" s="14" t="str">
        <f t="shared" si="0"/>
        <v>155RIO AVE CARNEIROS 01 SPE LTDA.</v>
      </c>
      <c r="C21" s="15">
        <f t="shared" si="11"/>
        <v>155</v>
      </c>
      <c r="D21" s="16" t="str">
        <f t="shared" si="1"/>
        <v>4RIO AVE CARNEIROS 01 SPE LTDA.</v>
      </c>
      <c r="E21" s="17">
        <f t="shared" si="2"/>
        <v>4</v>
      </c>
      <c r="F21" s="18" t="str">
        <f t="shared" si="3"/>
        <v>17RIO AVE CARNEIROS 01 SPE LTDA.</v>
      </c>
      <c r="G21" s="18">
        <f t="shared" si="4"/>
        <v>17</v>
      </c>
      <c r="H21" s="19" t="str">
        <f t="shared" si="5"/>
        <v>56RIO AVE CARNEIROS 01 SPE LTDA.</v>
      </c>
      <c r="I21" s="19">
        <f t="shared" si="6"/>
        <v>56</v>
      </c>
      <c r="J21" s="13" t="s">
        <v>61</v>
      </c>
      <c r="K21" s="13" t="s">
        <v>83</v>
      </c>
      <c r="L21" s="13" t="s">
        <v>84</v>
      </c>
      <c r="M21" s="13" t="s">
        <v>85</v>
      </c>
      <c r="N21" s="20">
        <v>2852.15</v>
      </c>
      <c r="O21" s="20">
        <v>4121.16</v>
      </c>
      <c r="P21" s="21">
        <v>45761</v>
      </c>
      <c r="Q21" s="22"/>
      <c r="R21" s="23">
        <v>4121.16</v>
      </c>
      <c r="S21" s="24"/>
      <c r="T21" s="23"/>
      <c r="U21" s="24"/>
      <c r="V21" s="23"/>
      <c r="W21" s="23"/>
      <c r="X21" s="24"/>
      <c r="Y21" s="23"/>
      <c r="Z21" s="23"/>
      <c r="AA21" s="23"/>
      <c r="AB21" s="23">
        <v>197.82000000000002</v>
      </c>
      <c r="AC21" s="24">
        <v>584.64285714285711</v>
      </c>
      <c r="AD21" s="23">
        <v>1192.72</v>
      </c>
      <c r="AE21" s="24">
        <v>2932.8571428571427</v>
      </c>
      <c r="AF21" s="23"/>
      <c r="AG21" s="23"/>
      <c r="AH21" s="23"/>
      <c r="AI21" s="24"/>
      <c r="AJ21" s="25"/>
      <c r="AK21" s="23"/>
      <c r="AL21" s="23">
        <v>-121.09</v>
      </c>
      <c r="AM21" s="24">
        <v>362</v>
      </c>
      <c r="AN21" s="23"/>
      <c r="AO21" s="24"/>
      <c r="AP21" s="23">
        <v>26.52</v>
      </c>
      <c r="AQ21" s="24">
        <v>66.614285714285714</v>
      </c>
      <c r="AR21" s="23">
        <v>289.95</v>
      </c>
      <c r="AS21" s="23">
        <v>-1766.21</v>
      </c>
      <c r="AT21" s="23"/>
      <c r="AU21" s="24"/>
      <c r="AW21" s="27">
        <f t="shared" si="7"/>
        <v>2.0999999999999999E-5</v>
      </c>
      <c r="AX21" s="27">
        <f t="shared" si="8"/>
        <v>1192.7200210000001</v>
      </c>
      <c r="AY21" s="27">
        <f t="shared" si="9"/>
        <v>197.82002100000003</v>
      </c>
      <c r="AZ21" s="27">
        <f t="shared" si="10"/>
        <v>26.520021</v>
      </c>
    </row>
    <row r="22" spans="1:52" ht="15" customHeight="1" x14ac:dyDescent="0.25">
      <c r="A22" s="13" t="str">
        <f>VLOOKUP(L22,[1]VALIDAÇÃO!$D$13:$E$350,2,0)</f>
        <v>DIRETO</v>
      </c>
      <c r="B22" s="14" t="str">
        <f t="shared" si="0"/>
        <v>28CONDOMINIO DO EDIFICIO EMPRESARIAL MARIE CURIE</v>
      </c>
      <c r="C22" s="15">
        <f t="shared" si="11"/>
        <v>28</v>
      </c>
      <c r="D22" s="16" t="str">
        <f t="shared" si="1"/>
        <v>35CONDOMINIO DO EDIFICIO EMPRESARIAL MARIE CURIE</v>
      </c>
      <c r="E22" s="17">
        <f t="shared" si="2"/>
        <v>35</v>
      </c>
      <c r="F22" s="18" t="str">
        <f t="shared" si="3"/>
        <v>35CONDOMINIO DO EDIFICIO EMPRESARIAL MARIE CURIE</v>
      </c>
      <c r="G22" s="18">
        <f t="shared" si="4"/>
        <v>35</v>
      </c>
      <c r="H22" s="19" t="str">
        <f t="shared" si="5"/>
        <v>10CONDOMINIO DO EDIFICIO EMPRESARIAL MARIE CURIE</v>
      </c>
      <c r="I22" s="19">
        <f t="shared" si="6"/>
        <v>10</v>
      </c>
      <c r="J22" s="13" t="s">
        <v>57</v>
      </c>
      <c r="K22" s="13" t="s">
        <v>86</v>
      </c>
      <c r="L22" s="13" t="s">
        <v>87</v>
      </c>
      <c r="M22" s="13" t="s">
        <v>60</v>
      </c>
      <c r="N22" s="20">
        <v>1583.33</v>
      </c>
      <c r="O22" s="20">
        <v>2156</v>
      </c>
      <c r="P22" s="21">
        <v>45691</v>
      </c>
      <c r="Q22" s="22"/>
      <c r="R22" s="23">
        <v>2156</v>
      </c>
      <c r="S22" s="24"/>
      <c r="T22" s="23"/>
      <c r="U22" s="24"/>
      <c r="V22" s="23"/>
      <c r="W22" s="23"/>
      <c r="X22" s="24"/>
      <c r="Y22" s="23"/>
      <c r="Z22" s="23"/>
      <c r="AA22" s="23">
        <v>7.879999999999999</v>
      </c>
      <c r="AB22" s="23">
        <v>128.12</v>
      </c>
      <c r="AC22" s="24">
        <v>605.15714285714284</v>
      </c>
      <c r="AD22" s="23">
        <v>224.8</v>
      </c>
      <c r="AE22" s="24">
        <v>1005.7757142857142</v>
      </c>
      <c r="AF22" s="23"/>
      <c r="AG22" s="23"/>
      <c r="AH22" s="23">
        <v>36.97</v>
      </c>
      <c r="AI22" s="24">
        <v>0</v>
      </c>
      <c r="AJ22" s="25">
        <v>755.66000000000008</v>
      </c>
      <c r="AK22" s="23">
        <v>163.76999999999998</v>
      </c>
      <c r="AL22" s="23"/>
      <c r="AM22" s="24"/>
      <c r="AN22" s="23"/>
      <c r="AO22" s="24"/>
      <c r="AP22" s="23">
        <v>177.28</v>
      </c>
      <c r="AQ22" s="24">
        <v>516.36142857142863</v>
      </c>
      <c r="AR22" s="23">
        <v>113.16999999999999</v>
      </c>
      <c r="AS22" s="23">
        <v>-924</v>
      </c>
      <c r="AT22" s="23"/>
      <c r="AU22" s="24"/>
      <c r="AW22" s="27">
        <f t="shared" si="7"/>
        <v>755.66002200000003</v>
      </c>
      <c r="AX22" s="27">
        <f t="shared" si="8"/>
        <v>224.80002200000001</v>
      </c>
      <c r="AY22" s="27">
        <f t="shared" si="9"/>
        <v>128.12002200000001</v>
      </c>
      <c r="AZ22" s="27">
        <f t="shared" si="10"/>
        <v>177.280022</v>
      </c>
    </row>
    <row r="23" spans="1:52" ht="15" customHeight="1" x14ac:dyDescent="0.25">
      <c r="A23" s="13" t="str">
        <f>VLOOKUP(L23,[1]VALIDAÇÃO!$D$13:$E$350,2,0)</f>
        <v>INDIRETO</v>
      </c>
      <c r="B23" s="14" t="str">
        <f t="shared" si="0"/>
        <v>166RESERVA DO PAIVA SPE 03 LTDA</v>
      </c>
      <c r="C23" s="15">
        <f t="shared" si="11"/>
        <v>166</v>
      </c>
      <c r="D23" s="16" t="str">
        <f t="shared" si="1"/>
        <v>166RESERVA DO PAIVA SPE 03 LTDA</v>
      </c>
      <c r="E23" s="17">
        <f t="shared" si="2"/>
        <v>166</v>
      </c>
      <c r="F23" s="18" t="str">
        <f t="shared" si="3"/>
        <v>165RESERVA DO PAIVA SPE 03 LTDA</v>
      </c>
      <c r="G23" s="18">
        <f t="shared" si="4"/>
        <v>165</v>
      </c>
      <c r="H23" s="19" t="str">
        <f t="shared" si="5"/>
        <v>164RESERVA DO PAIVA SPE 03 LTDA</v>
      </c>
      <c r="I23" s="19">
        <f t="shared" si="6"/>
        <v>164</v>
      </c>
      <c r="J23" s="13" t="s">
        <v>52</v>
      </c>
      <c r="K23" s="13" t="s">
        <v>88</v>
      </c>
      <c r="L23" s="13" t="s">
        <v>89</v>
      </c>
      <c r="M23" s="13" t="s">
        <v>85</v>
      </c>
      <c r="N23" s="20">
        <v>1108.96</v>
      </c>
      <c r="O23" s="20"/>
      <c r="P23" s="21">
        <v>45873</v>
      </c>
      <c r="Q23" s="22"/>
      <c r="R23" s="23"/>
      <c r="S23" s="24"/>
      <c r="T23" s="23"/>
      <c r="U23" s="24"/>
      <c r="V23" s="23"/>
      <c r="W23" s="23"/>
      <c r="X23" s="24"/>
      <c r="Y23" s="23"/>
      <c r="Z23" s="23"/>
      <c r="AA23" s="23"/>
      <c r="AB23" s="23"/>
      <c r="AC23" s="24"/>
      <c r="AD23" s="23"/>
      <c r="AE23" s="24"/>
      <c r="AF23" s="23"/>
      <c r="AG23" s="23"/>
      <c r="AH23" s="23"/>
      <c r="AI23" s="24"/>
      <c r="AJ23" s="25"/>
      <c r="AK23" s="23"/>
      <c r="AL23" s="23"/>
      <c r="AM23" s="24"/>
      <c r="AN23" s="23"/>
      <c r="AO23" s="24"/>
      <c r="AP23" s="23"/>
      <c r="AQ23" s="24"/>
      <c r="AR23" s="23"/>
      <c r="AS23" s="23">
        <v>-520</v>
      </c>
      <c r="AT23" s="23"/>
      <c r="AU23" s="24"/>
      <c r="AW23" s="27">
        <f t="shared" si="7"/>
        <v>2.3E-5</v>
      </c>
      <c r="AX23" s="27">
        <f t="shared" si="8"/>
        <v>2.3E-5</v>
      </c>
      <c r="AY23" s="27">
        <f t="shared" si="9"/>
        <v>2.3E-5</v>
      </c>
      <c r="AZ23" s="27">
        <f t="shared" si="10"/>
        <v>2.3E-5</v>
      </c>
    </row>
    <row r="24" spans="1:52" ht="15" customHeight="1" x14ac:dyDescent="0.25">
      <c r="A24" s="13" t="str">
        <f>VLOOKUP(L24,[1]VALIDAÇÃO!$D$13:$E$350,2,0)</f>
        <v>DIRETO</v>
      </c>
      <c r="B24" s="14" t="str">
        <f t="shared" si="0"/>
        <v>43RIO AVE 200 SPE LTDA.</v>
      </c>
      <c r="C24" s="15">
        <f t="shared" si="11"/>
        <v>43</v>
      </c>
      <c r="D24" s="16" t="str">
        <f t="shared" si="1"/>
        <v>4RIO AVE 200 SPE LTDA.</v>
      </c>
      <c r="E24" s="17">
        <f t="shared" si="2"/>
        <v>4</v>
      </c>
      <c r="F24" s="18" t="str">
        <f t="shared" si="3"/>
        <v>1RIO AVE 200 SPE LTDA.</v>
      </c>
      <c r="G24" s="18">
        <f t="shared" si="4"/>
        <v>1</v>
      </c>
      <c r="H24" s="19" t="str">
        <f t="shared" si="5"/>
        <v>1RIO AVE 200 SPE LTDA.</v>
      </c>
      <c r="I24" s="19">
        <f t="shared" si="6"/>
        <v>1</v>
      </c>
      <c r="J24" s="13" t="s">
        <v>48</v>
      </c>
      <c r="K24" s="13" t="s">
        <v>90</v>
      </c>
      <c r="L24" s="13" t="s">
        <v>54</v>
      </c>
      <c r="M24" s="13" t="s">
        <v>55</v>
      </c>
      <c r="N24" s="20">
        <v>1725.01</v>
      </c>
      <c r="O24" s="20">
        <v>1622.13</v>
      </c>
      <c r="P24" s="21">
        <v>45677</v>
      </c>
      <c r="Q24" s="22"/>
      <c r="R24" s="23">
        <v>1622.13</v>
      </c>
      <c r="S24" s="24"/>
      <c r="T24" s="23"/>
      <c r="U24" s="24"/>
      <c r="V24" s="23"/>
      <c r="W24" s="23"/>
      <c r="X24" s="24"/>
      <c r="Y24" s="23"/>
      <c r="Z24" s="23"/>
      <c r="AA24" s="23">
        <v>12.69</v>
      </c>
      <c r="AB24" s="23">
        <v>297.14</v>
      </c>
      <c r="AC24" s="24">
        <v>1667.2714285714285</v>
      </c>
      <c r="AD24" s="23">
        <v>645.41999999999996</v>
      </c>
      <c r="AE24" s="24">
        <v>3614.9714285714285</v>
      </c>
      <c r="AF24" s="23"/>
      <c r="AG24" s="23"/>
      <c r="AH24" s="23">
        <v>55.64</v>
      </c>
      <c r="AI24" s="24">
        <v>0</v>
      </c>
      <c r="AJ24" s="25">
        <v>323.21000000000004</v>
      </c>
      <c r="AK24" s="23">
        <v>71.649999999999991</v>
      </c>
      <c r="AL24" s="23"/>
      <c r="AM24" s="24"/>
      <c r="AN24" s="23"/>
      <c r="AO24" s="24"/>
      <c r="AP24" s="23">
        <v>517.28</v>
      </c>
      <c r="AQ24" s="24">
        <v>2167.9285714285716</v>
      </c>
      <c r="AR24" s="23">
        <v>330.27</v>
      </c>
      <c r="AS24" s="23">
        <v>-695.2</v>
      </c>
      <c r="AT24" s="23"/>
      <c r="AU24" s="24"/>
      <c r="AW24" s="27">
        <f t="shared" si="7"/>
        <v>323.21002400000003</v>
      </c>
      <c r="AX24" s="27">
        <f t="shared" si="8"/>
        <v>645.42002400000001</v>
      </c>
      <c r="AY24" s="27">
        <f t="shared" si="9"/>
        <v>297.14002399999998</v>
      </c>
      <c r="AZ24" s="27">
        <f t="shared" si="10"/>
        <v>517.28002400000003</v>
      </c>
    </row>
    <row r="25" spans="1:52" ht="15" customHeight="1" x14ac:dyDescent="0.25">
      <c r="A25" s="13" t="str">
        <f>VLOOKUP(L25,[1]VALIDAÇÃO!$D$13:$E$350,2,0)</f>
        <v>DIRETO</v>
      </c>
      <c r="B25" s="14" t="str">
        <f t="shared" si="0"/>
        <v>38RESERVA DO PAIVA SPE 01 LTDA.</v>
      </c>
      <c r="C25" s="15">
        <f t="shared" si="11"/>
        <v>38</v>
      </c>
      <c r="D25" s="16" t="str">
        <f t="shared" si="1"/>
        <v>72RESERVA DO PAIVA SPE 01 LTDA.</v>
      </c>
      <c r="E25" s="17">
        <f t="shared" si="2"/>
        <v>72</v>
      </c>
      <c r="F25" s="18" t="str">
        <f t="shared" si="3"/>
        <v>67RESERVA DO PAIVA SPE 01 LTDA.</v>
      </c>
      <c r="G25" s="18">
        <f t="shared" si="4"/>
        <v>67</v>
      </c>
      <c r="H25" s="19" t="str">
        <f t="shared" si="5"/>
        <v>41RESERVA DO PAIVA SPE 01 LTDA.</v>
      </c>
      <c r="I25" s="19">
        <f t="shared" si="6"/>
        <v>41</v>
      </c>
      <c r="J25" s="13" t="s">
        <v>68</v>
      </c>
      <c r="K25" s="13" t="s">
        <v>91</v>
      </c>
      <c r="L25" s="13" t="s">
        <v>92</v>
      </c>
      <c r="M25" s="13" t="s">
        <v>55</v>
      </c>
      <c r="N25" s="20">
        <v>1928.9</v>
      </c>
      <c r="O25" s="20">
        <v>2156</v>
      </c>
      <c r="P25" s="21">
        <v>45936</v>
      </c>
      <c r="Q25" s="22"/>
      <c r="R25" s="23">
        <v>2156</v>
      </c>
      <c r="S25" s="24"/>
      <c r="T25" s="23"/>
      <c r="U25" s="24"/>
      <c r="V25" s="23"/>
      <c r="W25" s="23"/>
      <c r="X25" s="24"/>
      <c r="Y25" s="23"/>
      <c r="Z25" s="23"/>
      <c r="AA25" s="23">
        <v>6.46</v>
      </c>
      <c r="AB25" s="23">
        <v>72.36</v>
      </c>
      <c r="AC25" s="24">
        <v>992.85714285714289</v>
      </c>
      <c r="AD25" s="23">
        <v>42.489999999999995</v>
      </c>
      <c r="AE25" s="24">
        <v>509</v>
      </c>
      <c r="AF25" s="23"/>
      <c r="AG25" s="23"/>
      <c r="AH25" s="23">
        <v>27.08</v>
      </c>
      <c r="AI25" s="24">
        <v>0</v>
      </c>
      <c r="AJ25" s="25">
        <v>719.5</v>
      </c>
      <c r="AK25" s="23">
        <v>160.19999999999999</v>
      </c>
      <c r="AL25" s="23"/>
      <c r="AM25" s="24"/>
      <c r="AN25" s="23"/>
      <c r="AO25" s="24"/>
      <c r="AP25" s="23">
        <v>303.97000000000003</v>
      </c>
      <c r="AQ25" s="24">
        <v>1880.7142857142858</v>
      </c>
      <c r="AR25" s="23">
        <v>107.75000000000001</v>
      </c>
      <c r="AS25" s="23">
        <v>-924</v>
      </c>
      <c r="AT25" s="23"/>
      <c r="AU25" s="24"/>
      <c r="AW25" s="27">
        <f t="shared" si="7"/>
        <v>719.50002500000005</v>
      </c>
      <c r="AX25" s="27">
        <f t="shared" si="8"/>
        <v>42.490024999999996</v>
      </c>
      <c r="AY25" s="27">
        <f t="shared" si="9"/>
        <v>72.360024999999993</v>
      </c>
      <c r="AZ25" s="27">
        <f t="shared" si="10"/>
        <v>303.97002500000002</v>
      </c>
    </row>
    <row r="26" spans="1:52" ht="15" customHeight="1" x14ac:dyDescent="0.25">
      <c r="A26" s="13" t="str">
        <f>VLOOKUP(L26,[1]VALIDAÇÃO!$D$13:$E$350,2,0)</f>
        <v>DIRETO</v>
      </c>
      <c r="B26" s="14" t="str">
        <f t="shared" si="0"/>
        <v>12RIO AVE 200 SPE LTDA.</v>
      </c>
      <c r="C26" s="15">
        <f t="shared" si="11"/>
        <v>12</v>
      </c>
      <c r="D26" s="16" t="str">
        <f t="shared" si="1"/>
        <v>24RIO AVE 200 SPE LTDA.</v>
      </c>
      <c r="E26" s="17">
        <f t="shared" si="2"/>
        <v>24</v>
      </c>
      <c r="F26" s="18" t="str">
        <f t="shared" si="3"/>
        <v>23RIO AVE 200 SPE LTDA.</v>
      </c>
      <c r="G26" s="18">
        <f t="shared" si="4"/>
        <v>23</v>
      </c>
      <c r="H26" s="19" t="str">
        <f t="shared" si="5"/>
        <v>76RIO AVE 200 SPE LTDA.</v>
      </c>
      <c r="I26" s="19">
        <f t="shared" si="6"/>
        <v>76</v>
      </c>
      <c r="J26" s="13" t="s">
        <v>48</v>
      </c>
      <c r="K26" s="13" t="s">
        <v>93</v>
      </c>
      <c r="L26" s="13" t="s">
        <v>59</v>
      </c>
      <c r="M26" s="13" t="s">
        <v>55</v>
      </c>
      <c r="N26" s="20">
        <v>2148.06</v>
      </c>
      <c r="O26" s="20">
        <v>2156</v>
      </c>
      <c r="P26" s="21">
        <v>45859</v>
      </c>
      <c r="Q26" s="22"/>
      <c r="R26" s="23">
        <v>2156</v>
      </c>
      <c r="S26" s="24"/>
      <c r="T26" s="23"/>
      <c r="U26" s="24"/>
      <c r="V26" s="23"/>
      <c r="W26" s="23"/>
      <c r="X26" s="24"/>
      <c r="Y26" s="23"/>
      <c r="Z26" s="23"/>
      <c r="AA26" s="23">
        <v>4.88</v>
      </c>
      <c r="AB26" s="23">
        <v>61.180000000000007</v>
      </c>
      <c r="AC26" s="24">
        <v>568.57142857142856</v>
      </c>
      <c r="AD26" s="23">
        <v>150.6</v>
      </c>
      <c r="AE26" s="24">
        <v>808.42857142857133</v>
      </c>
      <c r="AF26" s="23"/>
      <c r="AG26" s="23"/>
      <c r="AH26" s="23">
        <v>24.12</v>
      </c>
      <c r="AI26" s="24">
        <v>0</v>
      </c>
      <c r="AJ26" s="25">
        <v>986.4799999999999</v>
      </c>
      <c r="AK26" s="23">
        <v>214.82</v>
      </c>
      <c r="AL26" s="23"/>
      <c r="AM26" s="24"/>
      <c r="AN26" s="23"/>
      <c r="AO26" s="24"/>
      <c r="AP26" s="23"/>
      <c r="AQ26" s="24"/>
      <c r="AR26" s="23">
        <v>42.23</v>
      </c>
      <c r="AS26" s="23">
        <v>-1044</v>
      </c>
      <c r="AT26" s="23"/>
      <c r="AU26" s="24"/>
      <c r="AW26" s="27">
        <f t="shared" si="7"/>
        <v>986.48002599999995</v>
      </c>
      <c r="AX26" s="27">
        <f t="shared" si="8"/>
        <v>150.60002599999999</v>
      </c>
      <c r="AY26" s="27">
        <f t="shared" si="9"/>
        <v>61.180026000000005</v>
      </c>
      <c r="AZ26" s="27">
        <f t="shared" si="10"/>
        <v>2.5999999999999998E-5</v>
      </c>
    </row>
    <row r="27" spans="1:52" ht="15" customHeight="1" x14ac:dyDescent="0.25">
      <c r="A27" s="13" t="str">
        <f>VLOOKUP(L27,[1]VALIDAÇÃO!$D$13:$E$350,2,0)</f>
        <v>DIRETO</v>
      </c>
      <c r="B27" s="14" t="str">
        <f t="shared" si="0"/>
        <v>9RIO AVE PRAIA HOTEL SPE LTDA.</v>
      </c>
      <c r="C27" s="15">
        <f t="shared" si="11"/>
        <v>9</v>
      </c>
      <c r="D27" s="16" t="str">
        <f t="shared" si="1"/>
        <v>12RIO AVE PRAIA HOTEL SPE LTDA.</v>
      </c>
      <c r="E27" s="17">
        <f t="shared" si="2"/>
        <v>12</v>
      </c>
      <c r="F27" s="18" t="str">
        <f t="shared" si="3"/>
        <v>19RIO AVE PRAIA HOTEL SPE LTDA.</v>
      </c>
      <c r="G27" s="18">
        <f t="shared" si="4"/>
        <v>19</v>
      </c>
      <c r="H27" s="19" t="str">
        <f t="shared" si="5"/>
        <v>18RIO AVE PRAIA HOTEL SPE LTDA.</v>
      </c>
      <c r="I27" s="19">
        <f t="shared" si="6"/>
        <v>18</v>
      </c>
      <c r="J27" s="13" t="s">
        <v>80</v>
      </c>
      <c r="K27" s="13" t="s">
        <v>94</v>
      </c>
      <c r="L27" s="13" t="s">
        <v>54</v>
      </c>
      <c r="M27" s="13" t="s">
        <v>82</v>
      </c>
      <c r="N27" s="20">
        <v>1355.35</v>
      </c>
      <c r="O27" s="20">
        <v>1564.2</v>
      </c>
      <c r="P27" s="21">
        <v>45579</v>
      </c>
      <c r="Q27" s="22"/>
      <c r="R27" s="23">
        <v>1564.2</v>
      </c>
      <c r="S27" s="24"/>
      <c r="T27" s="23"/>
      <c r="U27" s="24"/>
      <c r="V27" s="23"/>
      <c r="W27" s="23"/>
      <c r="X27" s="24"/>
      <c r="Y27" s="23"/>
      <c r="Z27" s="23"/>
      <c r="AA27" s="23">
        <v>7.44</v>
      </c>
      <c r="AB27" s="23">
        <v>277.16999999999996</v>
      </c>
      <c r="AC27" s="24">
        <v>1331.3928571428571</v>
      </c>
      <c r="AD27" s="23">
        <v>184.92</v>
      </c>
      <c r="AE27" s="24">
        <v>900.14142857142849</v>
      </c>
      <c r="AF27" s="23"/>
      <c r="AG27" s="23"/>
      <c r="AH27" s="23">
        <v>33.47</v>
      </c>
      <c r="AI27" s="24">
        <v>0</v>
      </c>
      <c r="AJ27" s="25">
        <v>458.53</v>
      </c>
      <c r="AK27" s="23">
        <v>97.7</v>
      </c>
      <c r="AL27" s="23">
        <v>-8.56</v>
      </c>
      <c r="AM27" s="24">
        <v>65</v>
      </c>
      <c r="AN27" s="23"/>
      <c r="AO27" s="24"/>
      <c r="AP27" s="23">
        <v>198.75</v>
      </c>
      <c r="AQ27" s="24">
        <v>831.68</v>
      </c>
      <c r="AR27" s="23">
        <v>147.79</v>
      </c>
      <c r="AS27" s="23">
        <v>-695.2</v>
      </c>
      <c r="AT27" s="23"/>
      <c r="AU27" s="24"/>
      <c r="AW27" s="27">
        <f t="shared" si="7"/>
        <v>458.53002699999996</v>
      </c>
      <c r="AX27" s="27">
        <f t="shared" si="8"/>
        <v>184.92002699999998</v>
      </c>
      <c r="AY27" s="27">
        <f t="shared" si="9"/>
        <v>277.17002699999995</v>
      </c>
      <c r="AZ27" s="27">
        <f t="shared" si="10"/>
        <v>198.75002699999999</v>
      </c>
    </row>
    <row r="28" spans="1:52" ht="15" customHeight="1" x14ac:dyDescent="0.25">
      <c r="A28" s="13" t="str">
        <f>VLOOKUP(L28,[1]VALIDAÇÃO!$D$13:$E$350,2,0)</f>
        <v>INDIRETO</v>
      </c>
      <c r="B28" s="14" t="str">
        <f t="shared" si="0"/>
        <v>129CONDOMINIO DO EDIFICIO EMPRESARIAL MARIE CURIE</v>
      </c>
      <c r="C28" s="15">
        <f t="shared" si="11"/>
        <v>129</v>
      </c>
      <c r="D28" s="16" t="str">
        <f t="shared" si="1"/>
        <v>52CONDOMINIO DO EDIFICIO EMPRESARIAL MARIE CURIE</v>
      </c>
      <c r="E28" s="17">
        <f t="shared" si="2"/>
        <v>52</v>
      </c>
      <c r="F28" s="18" t="str">
        <f t="shared" si="3"/>
        <v>13CONDOMINIO DO EDIFICIO EMPRESARIAL MARIE CURIE</v>
      </c>
      <c r="G28" s="18">
        <f t="shared" si="4"/>
        <v>13</v>
      </c>
      <c r="H28" s="19" t="str">
        <f t="shared" si="5"/>
        <v>4CONDOMINIO DO EDIFICIO EMPRESARIAL MARIE CURIE</v>
      </c>
      <c r="I28" s="19">
        <f t="shared" si="6"/>
        <v>4</v>
      </c>
      <c r="J28" s="13" t="s">
        <v>57</v>
      </c>
      <c r="K28" s="13" t="s">
        <v>95</v>
      </c>
      <c r="L28" s="13" t="s">
        <v>96</v>
      </c>
      <c r="M28" s="13" t="s">
        <v>60</v>
      </c>
      <c r="N28" s="20">
        <v>1788.2</v>
      </c>
      <c r="O28" s="20">
        <v>2747.44</v>
      </c>
      <c r="P28" s="21">
        <v>45918</v>
      </c>
      <c r="Q28" s="22"/>
      <c r="R28" s="23">
        <v>2747.44</v>
      </c>
      <c r="S28" s="24"/>
      <c r="T28" s="23"/>
      <c r="U28" s="24"/>
      <c r="V28" s="23"/>
      <c r="W28" s="23"/>
      <c r="X28" s="24"/>
      <c r="Y28" s="23"/>
      <c r="Z28" s="23"/>
      <c r="AA28" s="23"/>
      <c r="AB28" s="23">
        <v>286.61</v>
      </c>
      <c r="AC28" s="24">
        <v>756</v>
      </c>
      <c r="AD28" s="23">
        <v>152.82</v>
      </c>
      <c r="AE28" s="24">
        <v>646.85714285714289</v>
      </c>
      <c r="AF28" s="23"/>
      <c r="AG28" s="23"/>
      <c r="AH28" s="23"/>
      <c r="AI28" s="24"/>
      <c r="AJ28" s="25"/>
      <c r="AK28" s="23"/>
      <c r="AL28" s="23"/>
      <c r="AM28" s="24"/>
      <c r="AN28" s="23"/>
      <c r="AO28" s="24"/>
      <c r="AP28" s="23">
        <v>328.51</v>
      </c>
      <c r="AQ28" s="24">
        <v>907.67142857142858</v>
      </c>
      <c r="AR28" s="23">
        <v>169.56</v>
      </c>
      <c r="AS28" s="23">
        <v>-1177.48</v>
      </c>
      <c r="AT28" s="23"/>
      <c r="AU28" s="24"/>
      <c r="AW28" s="27">
        <f t="shared" si="7"/>
        <v>2.8E-5</v>
      </c>
      <c r="AX28" s="27">
        <f t="shared" si="8"/>
        <v>152.82002799999998</v>
      </c>
      <c r="AY28" s="27">
        <f t="shared" si="9"/>
        <v>286.610028</v>
      </c>
      <c r="AZ28" s="27">
        <f t="shared" si="10"/>
        <v>328.51002799999998</v>
      </c>
    </row>
    <row r="29" spans="1:52" ht="15" customHeight="1" x14ac:dyDescent="0.25">
      <c r="A29" s="13" t="str">
        <f>VLOOKUP(L29,[1]VALIDAÇÃO!$D$13:$E$350,2,0)</f>
        <v>DIRETO</v>
      </c>
      <c r="B29" s="14" t="str">
        <f t="shared" si="0"/>
        <v>83CONDOMINIO DO EDIFICIO EMPRESARIAL MARIE CURIE</v>
      </c>
      <c r="C29" s="15">
        <f t="shared" si="11"/>
        <v>83</v>
      </c>
      <c r="D29" s="16" t="str">
        <f t="shared" si="1"/>
        <v>74CONDOMINIO DO EDIFICIO EMPRESARIAL MARIE CURIE</v>
      </c>
      <c r="E29" s="17">
        <f t="shared" si="2"/>
        <v>74</v>
      </c>
      <c r="F29" s="18" t="str">
        <f t="shared" si="3"/>
        <v>43CONDOMINIO DO EDIFICIO EMPRESARIAL MARIE CURIE</v>
      </c>
      <c r="G29" s="18">
        <f t="shared" si="4"/>
        <v>43</v>
      </c>
      <c r="H29" s="19" t="str">
        <f t="shared" si="5"/>
        <v>126CONDOMINIO DO EDIFICIO EMPRESARIAL MARIE CURIE</v>
      </c>
      <c r="I29" s="19">
        <f t="shared" si="6"/>
        <v>126</v>
      </c>
      <c r="J29" s="13" t="s">
        <v>57</v>
      </c>
      <c r="K29" s="13" t="s">
        <v>97</v>
      </c>
      <c r="L29" s="13" t="s">
        <v>54</v>
      </c>
      <c r="M29" s="13" t="s">
        <v>60</v>
      </c>
      <c r="N29" s="20">
        <v>720.9</v>
      </c>
      <c r="O29" s="20">
        <v>1622.13</v>
      </c>
      <c r="P29" s="21">
        <v>45579</v>
      </c>
      <c r="Q29" s="22"/>
      <c r="R29" s="23">
        <v>1622.13</v>
      </c>
      <c r="S29" s="24"/>
      <c r="T29" s="23"/>
      <c r="U29" s="24"/>
      <c r="V29" s="23"/>
      <c r="W29" s="23"/>
      <c r="X29" s="24"/>
      <c r="Y29" s="23"/>
      <c r="Z29" s="23"/>
      <c r="AA29" s="23">
        <v>0.96</v>
      </c>
      <c r="AB29" s="23">
        <v>95.889999999999986</v>
      </c>
      <c r="AC29" s="24">
        <v>554.21285714285716</v>
      </c>
      <c r="AD29" s="23">
        <v>78.73</v>
      </c>
      <c r="AE29" s="24">
        <v>456.87857142857143</v>
      </c>
      <c r="AF29" s="23"/>
      <c r="AG29" s="23"/>
      <c r="AH29" s="23">
        <v>4.47</v>
      </c>
      <c r="AI29" s="24">
        <v>0</v>
      </c>
      <c r="AJ29" s="25">
        <v>220.09</v>
      </c>
      <c r="AK29" s="23">
        <v>46.61</v>
      </c>
      <c r="AL29" s="23">
        <v>-2.5299999999999998</v>
      </c>
      <c r="AM29" s="24">
        <v>19.190000000000001</v>
      </c>
      <c r="AN29" s="23">
        <v>-57.93</v>
      </c>
      <c r="AO29" s="24">
        <v>1</v>
      </c>
      <c r="AP29" s="23"/>
      <c r="AQ29" s="24"/>
      <c r="AR29" s="23">
        <v>36.330000000000005</v>
      </c>
      <c r="AS29" s="23">
        <v>-695.2</v>
      </c>
      <c r="AT29" s="23">
        <v>-57.93</v>
      </c>
      <c r="AU29" s="24">
        <v>1</v>
      </c>
      <c r="AW29" s="27">
        <f t="shared" si="7"/>
        <v>220.09002900000002</v>
      </c>
      <c r="AX29" s="27">
        <f t="shared" si="8"/>
        <v>78.730029000000002</v>
      </c>
      <c r="AY29" s="27">
        <f t="shared" si="9"/>
        <v>95.890028999999984</v>
      </c>
      <c r="AZ29" s="27">
        <f t="shared" si="10"/>
        <v>2.9E-5</v>
      </c>
    </row>
    <row r="30" spans="1:52" ht="15" customHeight="1" x14ac:dyDescent="0.25">
      <c r="A30" s="13" t="str">
        <f>VLOOKUP(L30,[1]VALIDAÇÃO!$D$13:$E$350,2,0)</f>
        <v>DIRETO</v>
      </c>
      <c r="B30" s="14" t="str">
        <f t="shared" si="0"/>
        <v>30RESERVA DO PAIVA SPE 01 LTDA.</v>
      </c>
      <c r="C30" s="15">
        <f t="shared" si="11"/>
        <v>30</v>
      </c>
      <c r="D30" s="16" t="str">
        <f t="shared" si="1"/>
        <v>11RESERVA DO PAIVA SPE 01 LTDA.</v>
      </c>
      <c r="E30" s="17">
        <f t="shared" si="2"/>
        <v>11</v>
      </c>
      <c r="F30" s="18" t="str">
        <f t="shared" si="3"/>
        <v>20RESERVA DO PAIVA SPE 01 LTDA.</v>
      </c>
      <c r="G30" s="18">
        <f t="shared" si="4"/>
        <v>20</v>
      </c>
      <c r="H30" s="19" t="str">
        <f t="shared" si="5"/>
        <v>10RESERVA DO PAIVA SPE 01 LTDA.</v>
      </c>
      <c r="I30" s="19">
        <f t="shared" si="6"/>
        <v>10</v>
      </c>
      <c r="J30" s="13" t="s">
        <v>68</v>
      </c>
      <c r="K30" s="13" t="s">
        <v>98</v>
      </c>
      <c r="L30" s="13" t="s">
        <v>71</v>
      </c>
      <c r="M30" s="13" t="s">
        <v>55</v>
      </c>
      <c r="N30" s="20">
        <v>2844.89</v>
      </c>
      <c r="O30" s="20">
        <v>1622.13</v>
      </c>
      <c r="P30" s="21">
        <v>45587</v>
      </c>
      <c r="Q30" s="22"/>
      <c r="R30" s="23">
        <v>1622.13</v>
      </c>
      <c r="S30" s="24"/>
      <c r="T30" s="23"/>
      <c r="U30" s="24"/>
      <c r="V30" s="23"/>
      <c r="W30" s="23"/>
      <c r="X30" s="24"/>
      <c r="Y30" s="23"/>
      <c r="Z30" s="23"/>
      <c r="AA30" s="23">
        <v>44.07</v>
      </c>
      <c r="AB30" s="23">
        <v>421.02000000000004</v>
      </c>
      <c r="AC30" s="24">
        <v>2147.8971428571431</v>
      </c>
      <c r="AD30" s="23">
        <v>887.96</v>
      </c>
      <c r="AE30" s="24">
        <v>4443.9785714285717</v>
      </c>
      <c r="AF30" s="23"/>
      <c r="AG30" s="23"/>
      <c r="AH30" s="23">
        <v>199.93</v>
      </c>
      <c r="AI30" s="24">
        <v>0</v>
      </c>
      <c r="AJ30" s="25">
        <v>781.06999999999994</v>
      </c>
      <c r="AK30" s="23">
        <v>170.70000000000002</v>
      </c>
      <c r="AL30" s="23"/>
      <c r="AM30" s="24"/>
      <c r="AN30" s="23"/>
      <c r="AO30" s="24"/>
      <c r="AP30" s="23">
        <v>802.96</v>
      </c>
      <c r="AQ30" s="24">
        <v>3276.5971428571424</v>
      </c>
      <c r="AR30" s="23">
        <v>466.83000000000004</v>
      </c>
      <c r="AS30" s="23">
        <v>-695.2</v>
      </c>
      <c r="AT30" s="23"/>
      <c r="AU30" s="24"/>
      <c r="AW30" s="27">
        <f t="shared" si="7"/>
        <v>781.07002999999997</v>
      </c>
      <c r="AX30" s="27">
        <f t="shared" si="8"/>
        <v>887.96003000000007</v>
      </c>
      <c r="AY30" s="27">
        <f t="shared" si="9"/>
        <v>421.02003000000002</v>
      </c>
      <c r="AZ30" s="27">
        <f t="shared" si="10"/>
        <v>802.96003000000007</v>
      </c>
    </row>
    <row r="31" spans="1:52" ht="15" customHeight="1" x14ac:dyDescent="0.25">
      <c r="A31" s="13" t="str">
        <f>VLOOKUP(L31,[1]VALIDAÇÃO!$D$13:$E$350,2,0)</f>
        <v>DIRETO</v>
      </c>
      <c r="B31" s="14" t="str">
        <f t="shared" si="0"/>
        <v>8RIO AVE PRAIA HOTEL SPE LTDA.</v>
      </c>
      <c r="C31" s="15">
        <f t="shared" si="11"/>
        <v>8</v>
      </c>
      <c r="D31" s="16" t="str">
        <f t="shared" si="1"/>
        <v>9RIO AVE PRAIA HOTEL SPE LTDA.</v>
      </c>
      <c r="E31" s="17">
        <f t="shared" si="2"/>
        <v>9</v>
      </c>
      <c r="F31" s="18" t="str">
        <f t="shared" si="3"/>
        <v>15RIO AVE PRAIA HOTEL SPE LTDA.</v>
      </c>
      <c r="G31" s="18">
        <f t="shared" si="4"/>
        <v>15</v>
      </c>
      <c r="H31" s="19" t="str">
        <f t="shared" si="5"/>
        <v>6RIO AVE PRAIA HOTEL SPE LTDA.</v>
      </c>
      <c r="I31" s="19">
        <f t="shared" si="6"/>
        <v>6</v>
      </c>
      <c r="J31" s="13" t="s">
        <v>80</v>
      </c>
      <c r="K31" s="13" t="s">
        <v>99</v>
      </c>
      <c r="L31" s="13" t="s">
        <v>54</v>
      </c>
      <c r="M31" s="13" t="s">
        <v>82</v>
      </c>
      <c r="N31" s="20">
        <v>1781.14</v>
      </c>
      <c r="O31" s="20">
        <v>1564.2</v>
      </c>
      <c r="P31" s="21">
        <v>45328</v>
      </c>
      <c r="Q31" s="22"/>
      <c r="R31" s="23">
        <v>1564.2</v>
      </c>
      <c r="S31" s="24"/>
      <c r="T31" s="23"/>
      <c r="U31" s="24"/>
      <c r="V31" s="23"/>
      <c r="W31" s="23"/>
      <c r="X31" s="24"/>
      <c r="Y31" s="23"/>
      <c r="Z31" s="23"/>
      <c r="AA31" s="23">
        <v>15.27</v>
      </c>
      <c r="AB31" s="23">
        <v>307.06</v>
      </c>
      <c r="AC31" s="24">
        <v>1602.6985714285713</v>
      </c>
      <c r="AD31" s="23">
        <v>371.31</v>
      </c>
      <c r="AE31" s="24">
        <v>1732.4071428571428</v>
      </c>
      <c r="AF31" s="23"/>
      <c r="AG31" s="23"/>
      <c r="AH31" s="23">
        <v>69.849999999999994</v>
      </c>
      <c r="AI31" s="24">
        <v>0</v>
      </c>
      <c r="AJ31" s="25">
        <v>490.7</v>
      </c>
      <c r="AK31" s="23">
        <v>105.09</v>
      </c>
      <c r="AL31" s="23"/>
      <c r="AM31" s="24"/>
      <c r="AN31" s="23"/>
      <c r="AO31" s="24"/>
      <c r="AP31" s="23">
        <v>622.84</v>
      </c>
      <c r="AQ31" s="24">
        <v>2405.0542857142859</v>
      </c>
      <c r="AR31" s="23">
        <v>276.14</v>
      </c>
      <c r="AS31" s="23">
        <v>-695.2</v>
      </c>
      <c r="AT31" s="23"/>
      <c r="AU31" s="24"/>
      <c r="AW31" s="27">
        <f t="shared" si="7"/>
        <v>490.70003099999997</v>
      </c>
      <c r="AX31" s="27">
        <f t="shared" si="8"/>
        <v>371.31003099999998</v>
      </c>
      <c r="AY31" s="27">
        <f t="shared" si="9"/>
        <v>307.06003099999998</v>
      </c>
      <c r="AZ31" s="27">
        <f t="shared" si="10"/>
        <v>622.84003100000007</v>
      </c>
    </row>
    <row r="32" spans="1:52" ht="15" customHeight="1" x14ac:dyDescent="0.25">
      <c r="A32" s="13" t="str">
        <f>VLOOKUP(L32,[1]VALIDAÇÃO!$D$13:$E$350,2,0)</f>
        <v>DIRETO</v>
      </c>
      <c r="B32" s="14" t="str">
        <f t="shared" si="0"/>
        <v>74CONDOMINIO DO EDIFICIO EMPRESARIAL MARIE CURIE</v>
      </c>
      <c r="C32" s="15">
        <f t="shared" si="11"/>
        <v>74</v>
      </c>
      <c r="D32" s="16" t="str">
        <f t="shared" si="1"/>
        <v>25CONDOMINIO DO EDIFICIO EMPRESARIAL MARIE CURIE</v>
      </c>
      <c r="E32" s="17">
        <f t="shared" si="2"/>
        <v>25</v>
      </c>
      <c r="F32" s="18" t="str">
        <f t="shared" si="3"/>
        <v>8CONDOMINIO DO EDIFICIO EMPRESARIAL MARIE CURIE</v>
      </c>
      <c r="G32" s="18">
        <f t="shared" si="4"/>
        <v>8</v>
      </c>
      <c r="H32" s="19" t="str">
        <f t="shared" si="5"/>
        <v>125CONDOMINIO DO EDIFICIO EMPRESARIAL MARIE CURIE</v>
      </c>
      <c r="I32" s="19">
        <f t="shared" si="6"/>
        <v>125</v>
      </c>
      <c r="J32" s="13" t="s">
        <v>57</v>
      </c>
      <c r="K32" s="13" t="s">
        <v>100</v>
      </c>
      <c r="L32" s="13" t="s">
        <v>101</v>
      </c>
      <c r="M32" s="13" t="s">
        <v>60</v>
      </c>
      <c r="N32" s="20">
        <v>1434.28</v>
      </c>
      <c r="O32" s="20">
        <v>2156</v>
      </c>
      <c r="P32" s="21">
        <v>45446</v>
      </c>
      <c r="Q32" s="22"/>
      <c r="R32" s="23">
        <v>2156</v>
      </c>
      <c r="S32" s="24"/>
      <c r="T32" s="23"/>
      <c r="U32" s="24"/>
      <c r="V32" s="23"/>
      <c r="W32" s="23"/>
      <c r="X32" s="24"/>
      <c r="Y32" s="23"/>
      <c r="Z32" s="23"/>
      <c r="AA32" s="23">
        <v>3.68</v>
      </c>
      <c r="AB32" s="23">
        <v>328.28999999999996</v>
      </c>
      <c r="AC32" s="24">
        <v>1156.2757142857145</v>
      </c>
      <c r="AD32" s="23">
        <v>276.87</v>
      </c>
      <c r="AE32" s="24">
        <v>960.61571428571438</v>
      </c>
      <c r="AF32" s="23"/>
      <c r="AG32" s="23"/>
      <c r="AH32" s="23">
        <v>17.43</v>
      </c>
      <c r="AI32" s="24">
        <v>0</v>
      </c>
      <c r="AJ32" s="25">
        <v>284.56</v>
      </c>
      <c r="AK32" s="23">
        <v>60.759999999999991</v>
      </c>
      <c r="AL32" s="23"/>
      <c r="AM32" s="24"/>
      <c r="AN32" s="23"/>
      <c r="AO32" s="24"/>
      <c r="AP32" s="23"/>
      <c r="AQ32" s="24"/>
      <c r="AR32" s="23">
        <v>125.03999999999999</v>
      </c>
      <c r="AS32" s="23">
        <v>-924</v>
      </c>
      <c r="AT32" s="23"/>
      <c r="AU32" s="24"/>
      <c r="AW32" s="27">
        <f t="shared" si="7"/>
        <v>284.56003199999998</v>
      </c>
      <c r="AX32" s="27">
        <f t="shared" si="8"/>
        <v>276.87003199999998</v>
      </c>
      <c r="AY32" s="27">
        <f t="shared" si="9"/>
        <v>328.29003199999994</v>
      </c>
      <c r="AZ32" s="27">
        <f t="shared" si="10"/>
        <v>3.1999999999999999E-5</v>
      </c>
    </row>
    <row r="33" spans="1:52" ht="15" customHeight="1" x14ac:dyDescent="0.25">
      <c r="A33" s="13" t="str">
        <f>VLOOKUP(L33,[1]VALIDAÇÃO!$D$13:$E$350,2,0)</f>
        <v>DIRETO</v>
      </c>
      <c r="B33" s="14" t="str">
        <f t="shared" si="0"/>
        <v>8RIO AVE 130 SPE LTDA</v>
      </c>
      <c r="C33" s="15">
        <f t="shared" si="11"/>
        <v>8</v>
      </c>
      <c r="D33" s="16" t="str">
        <f t="shared" si="1"/>
        <v>27RIO AVE 130 SPE LTDA</v>
      </c>
      <c r="E33" s="17">
        <f t="shared" si="2"/>
        <v>27</v>
      </c>
      <c r="F33" s="18" t="str">
        <f t="shared" si="3"/>
        <v>45RIO AVE 130 SPE LTDA</v>
      </c>
      <c r="G33" s="18">
        <f t="shared" si="4"/>
        <v>45</v>
      </c>
      <c r="H33" s="19" t="str">
        <f t="shared" si="5"/>
        <v>24RIO AVE 130 SPE LTDA</v>
      </c>
      <c r="I33" s="19">
        <f t="shared" si="6"/>
        <v>24</v>
      </c>
      <c r="J33" s="13" t="s">
        <v>102</v>
      </c>
      <c r="K33" s="13" t="s">
        <v>103</v>
      </c>
      <c r="L33" s="13" t="s">
        <v>87</v>
      </c>
      <c r="M33" s="13" t="s">
        <v>55</v>
      </c>
      <c r="N33" s="20">
        <v>1860.77</v>
      </c>
      <c r="O33" s="20">
        <v>2156</v>
      </c>
      <c r="P33" s="21">
        <v>45726</v>
      </c>
      <c r="Q33" s="22"/>
      <c r="R33" s="23">
        <v>2156</v>
      </c>
      <c r="S33" s="24"/>
      <c r="T33" s="23"/>
      <c r="U33" s="24"/>
      <c r="V33" s="23"/>
      <c r="W33" s="23"/>
      <c r="X33" s="24"/>
      <c r="Y33" s="23"/>
      <c r="Z33" s="23"/>
      <c r="AA33" s="23">
        <v>11.250000000000002</v>
      </c>
      <c r="AB33" s="23">
        <v>60.75</v>
      </c>
      <c r="AC33" s="24">
        <v>312.54285714285714</v>
      </c>
      <c r="AD33" s="23">
        <v>299.49</v>
      </c>
      <c r="AE33" s="24">
        <v>1160.9142857142858</v>
      </c>
      <c r="AF33" s="23"/>
      <c r="AG33" s="23"/>
      <c r="AH33" s="23">
        <v>51.68</v>
      </c>
      <c r="AI33" s="24">
        <v>0</v>
      </c>
      <c r="AJ33" s="25">
        <v>1108.3699999999999</v>
      </c>
      <c r="AK33" s="23">
        <v>239.63000000000002</v>
      </c>
      <c r="AL33" s="23">
        <v>-11.2</v>
      </c>
      <c r="AM33" s="24">
        <v>64</v>
      </c>
      <c r="AN33" s="23"/>
      <c r="AO33" s="24"/>
      <c r="AP33" s="23">
        <v>109.55</v>
      </c>
      <c r="AQ33" s="24">
        <v>313</v>
      </c>
      <c r="AR33" s="23">
        <v>101.91</v>
      </c>
      <c r="AS33" s="23">
        <v>-924</v>
      </c>
      <c r="AT33" s="23"/>
      <c r="AU33" s="24"/>
      <c r="AW33" s="27">
        <f t="shared" si="7"/>
        <v>1108.3700329999999</v>
      </c>
      <c r="AX33" s="27">
        <f t="shared" si="8"/>
        <v>299.49003299999998</v>
      </c>
      <c r="AY33" s="27">
        <f t="shared" si="9"/>
        <v>60.750033000000002</v>
      </c>
      <c r="AZ33" s="27">
        <f t="shared" si="10"/>
        <v>109.550033</v>
      </c>
    </row>
    <row r="34" spans="1:52" ht="15" customHeight="1" x14ac:dyDescent="0.25">
      <c r="A34" s="13" t="str">
        <f>VLOOKUP(L34,[1]VALIDAÇÃO!$D$13:$E$350,2,0)</f>
        <v>DIRETO</v>
      </c>
      <c r="B34" s="14" t="str">
        <f t="shared" si="0"/>
        <v>116RESERVA DO PAIVA SPE 03 LTDA</v>
      </c>
      <c r="C34" s="15">
        <f t="shared" si="11"/>
        <v>116</v>
      </c>
      <c r="D34" s="16" t="str">
        <f t="shared" si="1"/>
        <v>165RESERVA DO PAIVA SPE 03 LTDA</v>
      </c>
      <c r="E34" s="17">
        <f t="shared" si="2"/>
        <v>165</v>
      </c>
      <c r="F34" s="18" t="str">
        <f t="shared" si="3"/>
        <v>73RESERVA DO PAIVA SPE 03 LTDA</v>
      </c>
      <c r="G34" s="18">
        <f t="shared" si="4"/>
        <v>73</v>
      </c>
      <c r="H34" s="19" t="str">
        <f t="shared" si="5"/>
        <v>163RESERVA DO PAIVA SPE 03 LTDA</v>
      </c>
      <c r="I34" s="19">
        <f t="shared" si="6"/>
        <v>163</v>
      </c>
      <c r="J34" s="13" t="s">
        <v>52</v>
      </c>
      <c r="K34" s="13" t="s">
        <v>104</v>
      </c>
      <c r="L34" s="13" t="s">
        <v>54</v>
      </c>
      <c r="M34" s="13" t="s">
        <v>55</v>
      </c>
      <c r="N34" s="20">
        <v>930.17</v>
      </c>
      <c r="O34" s="20">
        <v>1622.13</v>
      </c>
      <c r="P34" s="21">
        <v>45964</v>
      </c>
      <c r="Q34" s="22"/>
      <c r="R34" s="23">
        <v>1622.13</v>
      </c>
      <c r="S34" s="24"/>
      <c r="T34" s="23"/>
      <c r="U34" s="24"/>
      <c r="V34" s="23"/>
      <c r="W34" s="23"/>
      <c r="X34" s="24"/>
      <c r="Y34" s="23"/>
      <c r="Z34" s="23"/>
      <c r="AA34" s="23">
        <v>0.46</v>
      </c>
      <c r="AB34" s="23">
        <v>108.33999999999997</v>
      </c>
      <c r="AC34" s="24">
        <v>484</v>
      </c>
      <c r="AD34" s="23"/>
      <c r="AE34" s="24"/>
      <c r="AF34" s="23"/>
      <c r="AG34" s="23"/>
      <c r="AH34" s="23">
        <v>2.11</v>
      </c>
      <c r="AI34" s="24">
        <v>0</v>
      </c>
      <c r="AJ34" s="25">
        <v>82.14</v>
      </c>
      <c r="AK34" s="23">
        <v>17.86</v>
      </c>
      <c r="AL34" s="23"/>
      <c r="AM34" s="24"/>
      <c r="AN34" s="23"/>
      <c r="AO34" s="24"/>
      <c r="AP34" s="23"/>
      <c r="AQ34" s="24"/>
      <c r="AR34" s="23">
        <v>23.55</v>
      </c>
      <c r="AS34" s="23">
        <v>-695.2</v>
      </c>
      <c r="AT34" s="23"/>
      <c r="AU34" s="24"/>
      <c r="AW34" s="27">
        <f t="shared" si="7"/>
        <v>82.140034</v>
      </c>
      <c r="AX34" s="27">
        <f t="shared" si="8"/>
        <v>3.4E-5</v>
      </c>
      <c r="AY34" s="27">
        <f t="shared" si="9"/>
        <v>108.34003399999997</v>
      </c>
      <c r="AZ34" s="27">
        <f t="shared" si="10"/>
        <v>3.4E-5</v>
      </c>
    </row>
    <row r="35" spans="1:52" ht="15" customHeight="1" x14ac:dyDescent="0.25">
      <c r="A35" s="13" t="str">
        <f>VLOOKUP(L35,[1]VALIDAÇÃO!$D$13:$E$350,2,0)</f>
        <v>DIRETO</v>
      </c>
      <c r="B35" s="14" t="str">
        <f t="shared" si="0"/>
        <v>154RIO AVE CARNEIROS 01 SPE LTDA.</v>
      </c>
      <c r="C35" s="15">
        <f t="shared" si="11"/>
        <v>154</v>
      </c>
      <c r="D35" s="16" t="str">
        <f t="shared" si="1"/>
        <v>118RIO AVE CARNEIROS 01 SPE LTDA.</v>
      </c>
      <c r="E35" s="17">
        <f t="shared" si="2"/>
        <v>118</v>
      </c>
      <c r="F35" s="18" t="str">
        <f t="shared" si="3"/>
        <v>155RIO AVE CARNEIROS 01 SPE LTDA.</v>
      </c>
      <c r="G35" s="18">
        <f t="shared" si="4"/>
        <v>155</v>
      </c>
      <c r="H35" s="19" t="str">
        <f t="shared" si="5"/>
        <v>155RIO AVE CARNEIROS 01 SPE LTDA.</v>
      </c>
      <c r="I35" s="19">
        <f t="shared" si="6"/>
        <v>155</v>
      </c>
      <c r="J35" s="13" t="s">
        <v>61</v>
      </c>
      <c r="K35" s="13" t="s">
        <v>105</v>
      </c>
      <c r="L35" s="13" t="s">
        <v>54</v>
      </c>
      <c r="M35" s="13" t="s">
        <v>55</v>
      </c>
      <c r="N35" s="20">
        <v>661.91</v>
      </c>
      <c r="O35" s="20">
        <v>1506.27</v>
      </c>
      <c r="P35" s="21">
        <v>45994</v>
      </c>
      <c r="Q35" s="22"/>
      <c r="R35" s="23">
        <v>1506.27</v>
      </c>
      <c r="S35" s="24"/>
      <c r="T35" s="23"/>
      <c r="U35" s="24"/>
      <c r="V35" s="23"/>
      <c r="W35" s="23"/>
      <c r="X35" s="24"/>
      <c r="Y35" s="23"/>
      <c r="Z35" s="23"/>
      <c r="AA35" s="23"/>
      <c r="AB35" s="23"/>
      <c r="AC35" s="24"/>
      <c r="AD35" s="23">
        <v>6.27</v>
      </c>
      <c r="AE35" s="24">
        <v>28</v>
      </c>
      <c r="AF35" s="23"/>
      <c r="AG35" s="23"/>
      <c r="AH35" s="23"/>
      <c r="AI35" s="24"/>
      <c r="AJ35" s="25"/>
      <c r="AK35" s="23"/>
      <c r="AL35" s="23"/>
      <c r="AM35" s="24"/>
      <c r="AN35" s="23"/>
      <c r="AO35" s="24"/>
      <c r="AP35" s="23"/>
      <c r="AQ35" s="24"/>
      <c r="AR35" s="23">
        <v>1.49</v>
      </c>
      <c r="AS35" s="23">
        <v>-735.2</v>
      </c>
      <c r="AT35" s="23"/>
      <c r="AU35" s="24"/>
      <c r="AW35" s="27">
        <f t="shared" si="7"/>
        <v>3.4999999999999997E-5</v>
      </c>
      <c r="AX35" s="27">
        <f t="shared" si="8"/>
        <v>6.2700349999999991</v>
      </c>
      <c r="AY35" s="27">
        <f t="shared" si="9"/>
        <v>3.4999999999999997E-5</v>
      </c>
      <c r="AZ35" s="27">
        <f t="shared" si="10"/>
        <v>3.4999999999999997E-5</v>
      </c>
    </row>
    <row r="36" spans="1:52" ht="15" customHeight="1" x14ac:dyDescent="0.25">
      <c r="A36" s="13" t="str">
        <f>VLOOKUP(L36,[1]VALIDAÇÃO!$D$13:$E$350,2,0)</f>
        <v>INDIRETO</v>
      </c>
      <c r="B36" s="14" t="str">
        <f t="shared" si="0"/>
        <v>128CONDOMINIO DO EDIFICIO EMPRESARIAL MARIE CURIE</v>
      </c>
      <c r="C36" s="15">
        <f t="shared" si="11"/>
        <v>128</v>
      </c>
      <c r="D36" s="16" t="str">
        <f t="shared" si="1"/>
        <v>4CONDOMINIO DO EDIFICIO EMPRESARIAL MARIE CURIE</v>
      </c>
      <c r="E36" s="17">
        <f t="shared" si="2"/>
        <v>4</v>
      </c>
      <c r="F36" s="18" t="str">
        <f t="shared" si="3"/>
        <v>29CONDOMINIO DO EDIFICIO EMPRESARIAL MARIE CURIE</v>
      </c>
      <c r="G36" s="18">
        <f t="shared" si="4"/>
        <v>29</v>
      </c>
      <c r="H36" s="19" t="str">
        <f t="shared" si="5"/>
        <v>124CONDOMINIO DO EDIFICIO EMPRESARIAL MARIE CURIE</v>
      </c>
      <c r="I36" s="19">
        <f t="shared" si="6"/>
        <v>124</v>
      </c>
      <c r="J36" s="13" t="s">
        <v>57</v>
      </c>
      <c r="K36" s="13" t="s">
        <v>106</v>
      </c>
      <c r="L36" s="13" t="s">
        <v>84</v>
      </c>
      <c r="M36" s="13" t="s">
        <v>60</v>
      </c>
      <c r="N36" s="20">
        <v>1380.93</v>
      </c>
      <c r="O36" s="20">
        <v>3777.73</v>
      </c>
      <c r="P36" s="21">
        <v>45603</v>
      </c>
      <c r="Q36" s="22"/>
      <c r="R36" s="23">
        <v>3777.73</v>
      </c>
      <c r="S36" s="24"/>
      <c r="T36" s="23"/>
      <c r="U36" s="24"/>
      <c r="V36" s="23"/>
      <c r="W36" s="23"/>
      <c r="X36" s="24"/>
      <c r="Y36" s="23"/>
      <c r="Z36" s="23"/>
      <c r="AA36" s="23"/>
      <c r="AB36" s="23">
        <v>143.4</v>
      </c>
      <c r="AC36" s="24">
        <v>306.58714285714285</v>
      </c>
      <c r="AD36" s="23">
        <v>740.07999999999993</v>
      </c>
      <c r="AE36" s="24">
        <v>1717.7671428571427</v>
      </c>
      <c r="AF36" s="23"/>
      <c r="AG36" s="23"/>
      <c r="AH36" s="23"/>
      <c r="AI36" s="24"/>
      <c r="AJ36" s="25"/>
      <c r="AK36" s="23"/>
      <c r="AL36" s="23"/>
      <c r="AM36" s="24"/>
      <c r="AN36" s="23"/>
      <c r="AO36" s="24"/>
      <c r="AP36" s="23"/>
      <c r="AQ36" s="24"/>
      <c r="AR36" s="23">
        <v>177.21</v>
      </c>
      <c r="AS36" s="23">
        <v>-1619.03</v>
      </c>
      <c r="AT36" s="23"/>
      <c r="AU36" s="24"/>
      <c r="AW36" s="27">
        <f t="shared" si="7"/>
        <v>3.6000000000000001E-5</v>
      </c>
      <c r="AX36" s="27">
        <f t="shared" si="8"/>
        <v>740.08003599999995</v>
      </c>
      <c r="AY36" s="27">
        <f t="shared" si="9"/>
        <v>143.400036</v>
      </c>
      <c r="AZ36" s="27">
        <f t="shared" si="10"/>
        <v>3.6000000000000001E-5</v>
      </c>
    </row>
    <row r="37" spans="1:52" ht="15" customHeight="1" x14ac:dyDescent="0.25">
      <c r="A37" s="13" t="str">
        <f>VLOOKUP(L37,[1]VALIDAÇÃO!$D$13:$E$350,2,0)</f>
        <v>INDIRETO</v>
      </c>
      <c r="B37" s="14" t="str">
        <f t="shared" si="0"/>
        <v>127CONDOMINIO DO EDIFICIO EMPRESARIAL MARIE CURIE</v>
      </c>
      <c r="C37" s="15">
        <f t="shared" si="11"/>
        <v>127</v>
      </c>
      <c r="D37" s="16" t="str">
        <f t="shared" si="1"/>
        <v>77CONDOMINIO DO EDIFICIO EMPRESARIAL MARIE CURIE</v>
      </c>
      <c r="E37" s="17">
        <f t="shared" si="2"/>
        <v>77</v>
      </c>
      <c r="F37" s="18" t="str">
        <f t="shared" si="3"/>
        <v>128CONDOMINIO DO EDIFICIO EMPRESARIAL MARIE CURIE</v>
      </c>
      <c r="G37" s="18">
        <f t="shared" si="4"/>
        <v>128</v>
      </c>
      <c r="H37" s="19" t="str">
        <f t="shared" si="5"/>
        <v>123CONDOMINIO DO EDIFICIO EMPRESARIAL MARIE CURIE</v>
      </c>
      <c r="I37" s="19">
        <f t="shared" si="6"/>
        <v>123</v>
      </c>
      <c r="J37" s="13" t="s">
        <v>57</v>
      </c>
      <c r="K37" s="13" t="s">
        <v>107</v>
      </c>
      <c r="L37" s="13" t="s">
        <v>108</v>
      </c>
      <c r="M37" s="13" t="s">
        <v>60</v>
      </c>
      <c r="N37" s="20">
        <v>817.39</v>
      </c>
      <c r="O37" s="20">
        <v>2156</v>
      </c>
      <c r="P37" s="21">
        <v>45670</v>
      </c>
      <c r="Q37" s="22"/>
      <c r="R37" s="23">
        <v>2156</v>
      </c>
      <c r="S37" s="24"/>
      <c r="T37" s="23"/>
      <c r="U37" s="24"/>
      <c r="V37" s="23"/>
      <c r="W37" s="23"/>
      <c r="X37" s="24"/>
      <c r="Y37" s="23"/>
      <c r="Z37" s="23"/>
      <c r="AA37" s="23"/>
      <c r="AB37" s="23"/>
      <c r="AC37" s="24"/>
      <c r="AD37" s="23">
        <v>73.13</v>
      </c>
      <c r="AE37" s="24">
        <v>266.3042857142857</v>
      </c>
      <c r="AF37" s="23"/>
      <c r="AG37" s="23"/>
      <c r="AH37" s="23"/>
      <c r="AI37" s="24"/>
      <c r="AJ37" s="25"/>
      <c r="AK37" s="23"/>
      <c r="AL37" s="23"/>
      <c r="AM37" s="24"/>
      <c r="AN37" s="23"/>
      <c r="AO37" s="24"/>
      <c r="AP37" s="23"/>
      <c r="AQ37" s="24"/>
      <c r="AR37" s="23">
        <v>15.57</v>
      </c>
      <c r="AS37" s="23">
        <v>-924</v>
      </c>
      <c r="AT37" s="23"/>
      <c r="AU37" s="24"/>
      <c r="AW37" s="27">
        <f t="shared" si="7"/>
        <v>3.6999999999999998E-5</v>
      </c>
      <c r="AX37" s="27">
        <f t="shared" si="8"/>
        <v>73.130037000000002</v>
      </c>
      <c r="AY37" s="27">
        <f t="shared" si="9"/>
        <v>3.6999999999999998E-5</v>
      </c>
      <c r="AZ37" s="27">
        <f t="shared" si="10"/>
        <v>3.6999999999999998E-5</v>
      </c>
    </row>
    <row r="38" spans="1:52" ht="15" customHeight="1" x14ac:dyDescent="0.25">
      <c r="A38" s="13" t="str">
        <f>VLOOKUP(L38,[1]VALIDAÇÃO!$D$13:$E$350,2,0)</f>
        <v>DIRETO</v>
      </c>
      <c r="B38" s="14" t="str">
        <f t="shared" si="0"/>
        <v>101CONDOMINIO DO EDIFICIO EMPRESARIAL MARIE CURIE</v>
      </c>
      <c r="C38" s="15">
        <f t="shared" si="11"/>
        <v>101</v>
      </c>
      <c r="D38" s="16" t="str">
        <f t="shared" si="1"/>
        <v>40CONDOMINIO DO EDIFICIO EMPRESARIAL MARIE CURIE</v>
      </c>
      <c r="E38" s="17">
        <f t="shared" si="2"/>
        <v>40</v>
      </c>
      <c r="F38" s="18" t="str">
        <f t="shared" si="3"/>
        <v>127CONDOMINIO DO EDIFICIO EMPRESARIAL MARIE CURIE</v>
      </c>
      <c r="G38" s="18">
        <f t="shared" si="4"/>
        <v>127</v>
      </c>
      <c r="H38" s="19" t="str">
        <f t="shared" si="5"/>
        <v>122CONDOMINIO DO EDIFICIO EMPRESARIAL MARIE CURIE</v>
      </c>
      <c r="I38" s="19">
        <f t="shared" si="6"/>
        <v>122</v>
      </c>
      <c r="J38" s="13" t="s">
        <v>57</v>
      </c>
      <c r="K38" s="13" t="s">
        <v>109</v>
      </c>
      <c r="L38" s="13" t="s">
        <v>87</v>
      </c>
      <c r="M38" s="13" t="s">
        <v>60</v>
      </c>
      <c r="N38" s="20">
        <v>1221.8699999999999</v>
      </c>
      <c r="O38" s="20">
        <v>2156</v>
      </c>
      <c r="P38" s="21">
        <v>45992</v>
      </c>
      <c r="Q38" s="22"/>
      <c r="R38" s="23">
        <v>2156</v>
      </c>
      <c r="S38" s="24"/>
      <c r="T38" s="23"/>
      <c r="U38" s="24"/>
      <c r="V38" s="23"/>
      <c r="W38" s="23"/>
      <c r="X38" s="24"/>
      <c r="Y38" s="23"/>
      <c r="Z38" s="23"/>
      <c r="AA38" s="23">
        <v>1.28</v>
      </c>
      <c r="AB38" s="23"/>
      <c r="AC38" s="24"/>
      <c r="AD38" s="23">
        <v>194.62</v>
      </c>
      <c r="AE38" s="24">
        <v>654.19000000000005</v>
      </c>
      <c r="AF38" s="23"/>
      <c r="AG38" s="23"/>
      <c r="AH38" s="23">
        <v>5.87</v>
      </c>
      <c r="AI38" s="24">
        <v>0</v>
      </c>
      <c r="AJ38" s="25">
        <v>169.23</v>
      </c>
      <c r="AK38" s="23">
        <v>36.79</v>
      </c>
      <c r="AL38" s="23"/>
      <c r="AM38" s="24"/>
      <c r="AN38" s="23"/>
      <c r="AO38" s="24"/>
      <c r="AP38" s="23"/>
      <c r="AQ38" s="24"/>
      <c r="AR38" s="23">
        <v>42.31</v>
      </c>
      <c r="AS38" s="23">
        <v>-924</v>
      </c>
      <c r="AT38" s="23"/>
      <c r="AU38" s="24"/>
      <c r="AW38" s="27">
        <f t="shared" si="7"/>
        <v>169.23003799999998</v>
      </c>
      <c r="AX38" s="27">
        <f t="shared" si="8"/>
        <v>194.62003799999999</v>
      </c>
      <c r="AY38" s="27">
        <f t="shared" si="9"/>
        <v>3.8000000000000002E-5</v>
      </c>
      <c r="AZ38" s="27">
        <f t="shared" si="10"/>
        <v>3.8000000000000002E-5</v>
      </c>
    </row>
    <row r="39" spans="1:52" ht="15" customHeight="1" x14ac:dyDescent="0.25">
      <c r="A39" s="13" t="str">
        <f>VLOOKUP(L39,[1]VALIDAÇÃO!$D$13:$E$350,2,0)</f>
        <v>DIRETO</v>
      </c>
      <c r="B39" s="14" t="str">
        <f t="shared" si="0"/>
        <v>52RESERVA DO PAIVA SPE 03 LTDA</v>
      </c>
      <c r="C39" s="15">
        <f t="shared" si="11"/>
        <v>52</v>
      </c>
      <c r="D39" s="16" t="str">
        <f t="shared" si="1"/>
        <v>39RESERVA DO PAIVA SPE 03 LTDA</v>
      </c>
      <c r="E39" s="17">
        <f t="shared" si="2"/>
        <v>39</v>
      </c>
      <c r="F39" s="18" t="str">
        <f t="shared" si="3"/>
        <v>106RESERVA DO PAIVA SPE 03 LTDA</v>
      </c>
      <c r="G39" s="18">
        <f t="shared" si="4"/>
        <v>106</v>
      </c>
      <c r="H39" s="19" t="str">
        <f t="shared" si="5"/>
        <v>162RESERVA DO PAIVA SPE 03 LTDA</v>
      </c>
      <c r="I39" s="19">
        <f t="shared" si="6"/>
        <v>162</v>
      </c>
      <c r="J39" s="13" t="s">
        <v>52</v>
      </c>
      <c r="K39" s="13" t="s">
        <v>110</v>
      </c>
      <c r="L39" s="13" t="s">
        <v>54</v>
      </c>
      <c r="M39" s="13" t="s">
        <v>55</v>
      </c>
      <c r="N39" s="20">
        <v>361.65</v>
      </c>
      <c r="O39" s="20">
        <v>1622.13</v>
      </c>
      <c r="P39" s="21">
        <v>45509</v>
      </c>
      <c r="Q39" s="22"/>
      <c r="R39" s="23">
        <v>1622.13</v>
      </c>
      <c r="S39" s="24"/>
      <c r="T39" s="23"/>
      <c r="U39" s="24"/>
      <c r="V39" s="23"/>
      <c r="W39" s="23">
        <v>1.8199999999999998</v>
      </c>
      <c r="X39" s="24">
        <v>63.43</v>
      </c>
      <c r="Y39" s="23"/>
      <c r="Z39" s="23"/>
      <c r="AA39" s="23">
        <v>2.89</v>
      </c>
      <c r="AB39" s="23">
        <v>37.630000000000003</v>
      </c>
      <c r="AC39" s="24">
        <v>212.71714285714285</v>
      </c>
      <c r="AD39" s="23">
        <v>375.38000000000005</v>
      </c>
      <c r="AE39" s="24">
        <v>2105.2085714285713</v>
      </c>
      <c r="AF39" s="23"/>
      <c r="AG39" s="23"/>
      <c r="AH39" s="23">
        <v>13.259999999999998</v>
      </c>
      <c r="AI39" s="24">
        <v>0</v>
      </c>
      <c r="AJ39" s="25">
        <v>285.26</v>
      </c>
      <c r="AK39" s="23">
        <v>62.2</v>
      </c>
      <c r="AL39" s="23">
        <v>-24.49</v>
      </c>
      <c r="AM39" s="24">
        <v>186</v>
      </c>
      <c r="AN39" s="23"/>
      <c r="AO39" s="24"/>
      <c r="AP39" s="23"/>
      <c r="AQ39" s="24"/>
      <c r="AR39" s="23">
        <v>88.56</v>
      </c>
      <c r="AS39" s="23">
        <v>-695.2</v>
      </c>
      <c r="AT39" s="23"/>
      <c r="AU39" s="24"/>
      <c r="AW39" s="27">
        <f t="shared" si="7"/>
        <v>285.26003900000001</v>
      </c>
      <c r="AX39" s="27">
        <f t="shared" si="8"/>
        <v>375.38003900000007</v>
      </c>
      <c r="AY39" s="27">
        <f t="shared" si="9"/>
        <v>37.630039000000004</v>
      </c>
      <c r="AZ39" s="27">
        <f t="shared" si="10"/>
        <v>3.8999999999999999E-5</v>
      </c>
    </row>
    <row r="40" spans="1:52" ht="15" customHeight="1" x14ac:dyDescent="0.25">
      <c r="A40" s="13" t="str">
        <f>VLOOKUP(L40,[1]VALIDAÇÃO!$D$13:$E$350,2,0)</f>
        <v>DIRETO</v>
      </c>
      <c r="B40" s="14" t="str">
        <f t="shared" si="0"/>
        <v>26RIO AVE 200 SPE LTDA.</v>
      </c>
      <c r="C40" s="15">
        <f t="shared" si="11"/>
        <v>26</v>
      </c>
      <c r="D40" s="16" t="str">
        <f t="shared" si="1"/>
        <v>27RIO AVE 200 SPE LTDA.</v>
      </c>
      <c r="E40" s="17">
        <f t="shared" si="2"/>
        <v>27</v>
      </c>
      <c r="F40" s="18" t="str">
        <f t="shared" si="3"/>
        <v>34RIO AVE 200 SPE LTDA.</v>
      </c>
      <c r="G40" s="18">
        <f t="shared" si="4"/>
        <v>34</v>
      </c>
      <c r="H40" s="19" t="str">
        <f t="shared" si="5"/>
        <v>75RIO AVE 200 SPE LTDA.</v>
      </c>
      <c r="I40" s="19">
        <f t="shared" si="6"/>
        <v>75</v>
      </c>
      <c r="J40" s="13" t="s">
        <v>48</v>
      </c>
      <c r="K40" s="13" t="s">
        <v>111</v>
      </c>
      <c r="L40" s="13" t="s">
        <v>59</v>
      </c>
      <c r="M40" s="13" t="s">
        <v>55</v>
      </c>
      <c r="N40" s="20">
        <v>1655.85</v>
      </c>
      <c r="O40" s="20">
        <v>2156</v>
      </c>
      <c r="P40" s="21">
        <v>45909</v>
      </c>
      <c r="Q40" s="22"/>
      <c r="R40" s="23">
        <v>2156</v>
      </c>
      <c r="S40" s="24"/>
      <c r="T40" s="23"/>
      <c r="U40" s="24"/>
      <c r="V40" s="23"/>
      <c r="W40" s="23"/>
      <c r="X40" s="24"/>
      <c r="Y40" s="23"/>
      <c r="Z40" s="23"/>
      <c r="AA40" s="23">
        <v>2.92</v>
      </c>
      <c r="AB40" s="23">
        <v>20.84</v>
      </c>
      <c r="AC40" s="24">
        <v>230.95714285714286</v>
      </c>
      <c r="AD40" s="23">
        <v>140</v>
      </c>
      <c r="AE40" s="24">
        <v>745.28571428571422</v>
      </c>
      <c r="AF40" s="23"/>
      <c r="AG40" s="23"/>
      <c r="AH40" s="23">
        <v>13.770000000000001</v>
      </c>
      <c r="AI40" s="24">
        <v>0</v>
      </c>
      <c r="AJ40" s="25">
        <v>646.45999999999992</v>
      </c>
      <c r="AK40" s="23">
        <v>145.15</v>
      </c>
      <c r="AL40" s="23"/>
      <c r="AM40" s="24"/>
      <c r="AN40" s="23"/>
      <c r="AO40" s="24"/>
      <c r="AP40" s="23"/>
      <c r="AQ40" s="24"/>
      <c r="AR40" s="23">
        <v>33.79</v>
      </c>
      <c r="AS40" s="23">
        <v>-924</v>
      </c>
      <c r="AT40" s="23"/>
      <c r="AU40" s="24"/>
      <c r="AW40" s="27">
        <f t="shared" si="7"/>
        <v>646.46003999999994</v>
      </c>
      <c r="AX40" s="27">
        <f t="shared" si="8"/>
        <v>140.00004000000001</v>
      </c>
      <c r="AY40" s="27">
        <f t="shared" si="9"/>
        <v>20.840039999999998</v>
      </c>
      <c r="AZ40" s="27">
        <f t="shared" si="10"/>
        <v>4.0000000000000003E-5</v>
      </c>
    </row>
    <row r="41" spans="1:52" ht="15" customHeight="1" x14ac:dyDescent="0.25">
      <c r="A41" s="13" t="str">
        <f>VLOOKUP(L41,[1]VALIDAÇÃO!$D$13:$E$350,2,0)</f>
        <v>DIRETO</v>
      </c>
      <c r="B41" s="14" t="str">
        <f t="shared" si="0"/>
        <v>109RESERVA DO PAIVA SPE 03 LTDA</v>
      </c>
      <c r="C41" s="15">
        <f t="shared" si="11"/>
        <v>109</v>
      </c>
      <c r="D41" s="16" t="str">
        <f t="shared" si="1"/>
        <v>96RESERVA DO PAIVA SPE 03 LTDA</v>
      </c>
      <c r="E41" s="17">
        <f t="shared" si="2"/>
        <v>96</v>
      </c>
      <c r="F41" s="18" t="str">
        <f t="shared" si="3"/>
        <v>30RESERVA DO PAIVA SPE 03 LTDA</v>
      </c>
      <c r="G41" s="18">
        <f t="shared" si="4"/>
        <v>30</v>
      </c>
      <c r="H41" s="19" t="str">
        <f t="shared" si="5"/>
        <v>161RESERVA DO PAIVA SPE 03 LTDA</v>
      </c>
      <c r="I41" s="19">
        <f t="shared" si="6"/>
        <v>161</v>
      </c>
      <c r="J41" s="13" t="s">
        <v>52</v>
      </c>
      <c r="K41" s="13" t="s">
        <v>112</v>
      </c>
      <c r="L41" s="13" t="s">
        <v>54</v>
      </c>
      <c r="M41" s="13" t="s">
        <v>55</v>
      </c>
      <c r="N41" s="20">
        <v>955.31</v>
      </c>
      <c r="O41" s="20">
        <v>1622.13</v>
      </c>
      <c r="P41" s="21">
        <v>45910</v>
      </c>
      <c r="Q41" s="22"/>
      <c r="R41" s="23">
        <v>1622.13</v>
      </c>
      <c r="S41" s="24"/>
      <c r="T41" s="23"/>
      <c r="U41" s="24"/>
      <c r="V41" s="23"/>
      <c r="W41" s="23"/>
      <c r="X41" s="24"/>
      <c r="Y41" s="23"/>
      <c r="Z41" s="23"/>
      <c r="AA41" s="23">
        <v>1.6300000000000001</v>
      </c>
      <c r="AB41" s="23">
        <v>268.41999999999996</v>
      </c>
      <c r="AC41" s="24">
        <v>1661.3285714285714</v>
      </c>
      <c r="AD41" s="23">
        <v>147.47999999999999</v>
      </c>
      <c r="AE41" s="24">
        <v>1168.4285714285713</v>
      </c>
      <c r="AF41" s="23"/>
      <c r="AG41" s="23"/>
      <c r="AH41" s="23">
        <v>7.07</v>
      </c>
      <c r="AI41" s="24">
        <v>0</v>
      </c>
      <c r="AJ41" s="25">
        <v>96.220000000000013</v>
      </c>
      <c r="AK41" s="23">
        <v>22.459999999999997</v>
      </c>
      <c r="AL41" s="23"/>
      <c r="AM41" s="24"/>
      <c r="AN41" s="23">
        <v>-57.93</v>
      </c>
      <c r="AO41" s="24">
        <v>1</v>
      </c>
      <c r="AP41" s="23"/>
      <c r="AQ41" s="24"/>
      <c r="AR41" s="23">
        <v>94.02</v>
      </c>
      <c r="AS41" s="23">
        <v>-695.2</v>
      </c>
      <c r="AT41" s="23">
        <v>-57.93</v>
      </c>
      <c r="AU41" s="24">
        <v>1</v>
      </c>
      <c r="AV41" s="28">
        <v>-91758.080000000002</v>
      </c>
      <c r="AW41" s="27">
        <f t="shared" si="7"/>
        <v>96.220041000000009</v>
      </c>
      <c r="AX41" s="27">
        <f t="shared" si="8"/>
        <v>147.480041</v>
      </c>
      <c r="AY41" s="27">
        <f t="shared" si="9"/>
        <v>268.42004099999997</v>
      </c>
      <c r="AZ41" s="27">
        <f t="shared" si="10"/>
        <v>4.1E-5</v>
      </c>
    </row>
    <row r="42" spans="1:52" ht="15" customHeight="1" x14ac:dyDescent="0.25">
      <c r="A42" s="13" t="str">
        <f>VLOOKUP(L42,[1]VALIDAÇÃO!$D$13:$E$350,2,0)</f>
        <v>DIRETO</v>
      </c>
      <c r="B42" s="14" t="str">
        <f t="shared" si="0"/>
        <v>93CONDOMINIO DO EDIFICIO EMPRESARIAL MARIE CURIE</v>
      </c>
      <c r="C42" s="15">
        <f t="shared" si="11"/>
        <v>93</v>
      </c>
      <c r="D42" s="16" t="str">
        <f t="shared" si="1"/>
        <v>111CONDOMINIO DO EDIFICIO EMPRESARIAL MARIE CURIE</v>
      </c>
      <c r="E42" s="17">
        <f t="shared" si="2"/>
        <v>111</v>
      </c>
      <c r="F42" s="18" t="str">
        <f t="shared" si="3"/>
        <v>126CONDOMINIO DO EDIFICIO EMPRESARIAL MARIE CURIE</v>
      </c>
      <c r="G42" s="18">
        <f t="shared" si="4"/>
        <v>126</v>
      </c>
      <c r="H42" s="19" t="str">
        <f t="shared" si="5"/>
        <v>121CONDOMINIO DO EDIFICIO EMPRESARIAL MARIE CURIE</v>
      </c>
      <c r="I42" s="19">
        <f t="shared" si="6"/>
        <v>121</v>
      </c>
      <c r="J42" s="13" t="s">
        <v>57</v>
      </c>
      <c r="K42" s="13" t="s">
        <v>113</v>
      </c>
      <c r="L42" s="13" t="s">
        <v>114</v>
      </c>
      <c r="M42" s="13" t="s">
        <v>60</v>
      </c>
      <c r="N42" s="20">
        <v>857.05</v>
      </c>
      <c r="O42" s="20">
        <v>1622.13</v>
      </c>
      <c r="P42" s="21">
        <v>45909</v>
      </c>
      <c r="Q42" s="22"/>
      <c r="R42" s="23">
        <v>1622.13</v>
      </c>
      <c r="S42" s="24"/>
      <c r="T42" s="23"/>
      <c r="U42" s="24"/>
      <c r="V42" s="23"/>
      <c r="W42" s="23"/>
      <c r="X42" s="24"/>
      <c r="Y42" s="23"/>
      <c r="Z42" s="23"/>
      <c r="AA42" s="23">
        <v>0.08</v>
      </c>
      <c r="AB42" s="23"/>
      <c r="AC42" s="24"/>
      <c r="AD42" s="23">
        <v>8.84</v>
      </c>
      <c r="AE42" s="24">
        <v>130.18571428571428</v>
      </c>
      <c r="AF42" s="23"/>
      <c r="AG42" s="23"/>
      <c r="AH42" s="23">
        <v>0.35000000000000003</v>
      </c>
      <c r="AI42" s="24">
        <v>0</v>
      </c>
      <c r="AJ42" s="25">
        <v>185.34</v>
      </c>
      <c r="AK42" s="23">
        <v>42.66</v>
      </c>
      <c r="AL42" s="23"/>
      <c r="AM42" s="24"/>
      <c r="AN42" s="23"/>
      <c r="AO42" s="24"/>
      <c r="AP42" s="23"/>
      <c r="AQ42" s="24"/>
      <c r="AR42" s="23">
        <v>1.7400000000000002</v>
      </c>
      <c r="AS42" s="23">
        <v>-695.2</v>
      </c>
      <c r="AT42" s="23"/>
      <c r="AU42" s="24"/>
      <c r="AW42" s="27">
        <f t="shared" si="7"/>
        <v>185.34004200000001</v>
      </c>
      <c r="AX42" s="27">
        <f t="shared" si="8"/>
        <v>8.8400420000000004</v>
      </c>
      <c r="AY42" s="27">
        <f t="shared" si="9"/>
        <v>4.1999999999999998E-5</v>
      </c>
      <c r="AZ42" s="27">
        <f t="shared" si="10"/>
        <v>4.1999999999999998E-5</v>
      </c>
    </row>
    <row r="43" spans="1:52" ht="15" customHeight="1" x14ac:dyDescent="0.25">
      <c r="A43" s="13" t="str">
        <f>VLOOKUP(L43,[1]VALIDAÇÃO!$D$13:$E$350,2,0)</f>
        <v>INDIRETO</v>
      </c>
      <c r="B43" s="14" t="str">
        <f t="shared" si="0"/>
        <v>65RIO AVE 130 SPE LTDA</v>
      </c>
      <c r="C43" s="15">
        <f t="shared" si="11"/>
        <v>65</v>
      </c>
      <c r="D43" s="16" t="str">
        <f t="shared" si="1"/>
        <v>53RIO AVE 130 SPE LTDA</v>
      </c>
      <c r="E43" s="17">
        <f t="shared" si="2"/>
        <v>53</v>
      </c>
      <c r="F43" s="18" t="str">
        <f t="shared" si="3"/>
        <v>65RIO AVE 130 SPE LTDA</v>
      </c>
      <c r="G43" s="18">
        <f t="shared" si="4"/>
        <v>65</v>
      </c>
      <c r="H43" s="19" t="str">
        <f t="shared" si="5"/>
        <v>65RIO AVE 130 SPE LTDA</v>
      </c>
      <c r="I43" s="19">
        <f t="shared" si="6"/>
        <v>65</v>
      </c>
      <c r="J43" s="13" t="s">
        <v>102</v>
      </c>
      <c r="K43" s="13" t="s">
        <v>115</v>
      </c>
      <c r="L43" s="13" t="s">
        <v>116</v>
      </c>
      <c r="M43" s="13" t="s">
        <v>85</v>
      </c>
      <c r="N43" s="20">
        <v>330.35</v>
      </c>
      <c r="O43" s="20">
        <v>665.46</v>
      </c>
      <c r="P43" s="21">
        <v>45628</v>
      </c>
      <c r="Q43" s="22"/>
      <c r="R43" s="23">
        <v>665.46</v>
      </c>
      <c r="S43" s="24"/>
      <c r="T43" s="23"/>
      <c r="U43" s="24"/>
      <c r="V43" s="23"/>
      <c r="W43" s="23"/>
      <c r="X43" s="24"/>
      <c r="Y43" s="23"/>
      <c r="Z43" s="23"/>
      <c r="AA43" s="23"/>
      <c r="AB43" s="23"/>
      <c r="AC43" s="24"/>
      <c r="AD43" s="23">
        <v>2.39</v>
      </c>
      <c r="AE43" s="24">
        <v>22.971428571428568</v>
      </c>
      <c r="AF43" s="23"/>
      <c r="AG43" s="23"/>
      <c r="AH43" s="23"/>
      <c r="AI43" s="24"/>
      <c r="AJ43" s="25"/>
      <c r="AK43" s="23"/>
      <c r="AL43" s="23"/>
      <c r="AM43" s="24"/>
      <c r="AN43" s="23"/>
      <c r="AO43" s="24"/>
      <c r="AP43" s="23"/>
      <c r="AQ43" s="24"/>
      <c r="AR43" s="23">
        <v>0.56000000000000005</v>
      </c>
      <c r="AS43" s="23">
        <v>-285.2</v>
      </c>
      <c r="AT43" s="23"/>
      <c r="AU43" s="24"/>
      <c r="AV43" s="26">
        <v>156944.32999999999</v>
      </c>
      <c r="AW43" s="27">
        <f t="shared" si="7"/>
        <v>4.3000000000000002E-5</v>
      </c>
      <c r="AX43" s="27">
        <f t="shared" si="8"/>
        <v>2.3900429999999999</v>
      </c>
      <c r="AY43" s="27">
        <f t="shared" si="9"/>
        <v>4.3000000000000002E-5</v>
      </c>
      <c r="AZ43" s="27">
        <f t="shared" si="10"/>
        <v>4.3000000000000002E-5</v>
      </c>
    </row>
    <row r="44" spans="1:52" ht="15" customHeight="1" x14ac:dyDescent="0.25">
      <c r="A44" s="13" t="str">
        <f>VLOOKUP(L44,[1]VALIDAÇÃO!$D$13:$E$350,2,0)</f>
        <v>INDIRETO</v>
      </c>
      <c r="B44" s="14" t="str">
        <f t="shared" si="0"/>
        <v>77RIO AVE 200 SPE LTDA.</v>
      </c>
      <c r="C44" s="15">
        <f t="shared" si="11"/>
        <v>77</v>
      </c>
      <c r="D44" s="16" t="str">
        <f t="shared" si="1"/>
        <v>78RIO AVE 200 SPE LTDA.</v>
      </c>
      <c r="E44" s="17">
        <f t="shared" si="2"/>
        <v>78</v>
      </c>
      <c r="F44" s="18" t="str">
        <f t="shared" si="3"/>
        <v>78RIO AVE 200 SPE LTDA.</v>
      </c>
      <c r="G44" s="18">
        <f t="shared" si="4"/>
        <v>78</v>
      </c>
      <c r="H44" s="19" t="str">
        <f t="shared" si="5"/>
        <v>74RIO AVE 200 SPE LTDA.</v>
      </c>
      <c r="I44" s="19">
        <f t="shared" si="6"/>
        <v>74</v>
      </c>
      <c r="J44" s="13" t="s">
        <v>48</v>
      </c>
      <c r="K44" s="13" t="s">
        <v>117</v>
      </c>
      <c r="L44" s="13" t="s">
        <v>89</v>
      </c>
      <c r="M44" s="13" t="s">
        <v>51</v>
      </c>
      <c r="N44" s="20">
        <v>946.46</v>
      </c>
      <c r="O44" s="20"/>
      <c r="P44" s="21">
        <v>45951</v>
      </c>
      <c r="Q44" s="22"/>
      <c r="R44" s="23"/>
      <c r="S44" s="24"/>
      <c r="T44" s="23"/>
      <c r="U44" s="24"/>
      <c r="V44" s="23"/>
      <c r="W44" s="23"/>
      <c r="X44" s="24"/>
      <c r="Y44" s="23"/>
      <c r="Z44" s="23"/>
      <c r="AA44" s="23"/>
      <c r="AB44" s="23"/>
      <c r="AC44" s="24"/>
      <c r="AD44" s="23"/>
      <c r="AE44" s="24"/>
      <c r="AF44" s="23"/>
      <c r="AG44" s="23"/>
      <c r="AH44" s="23"/>
      <c r="AI44" s="24"/>
      <c r="AJ44" s="25"/>
      <c r="AK44" s="23"/>
      <c r="AL44" s="23"/>
      <c r="AM44" s="24"/>
      <c r="AN44" s="23"/>
      <c r="AO44" s="24"/>
      <c r="AP44" s="23"/>
      <c r="AQ44" s="24"/>
      <c r="AR44" s="23"/>
      <c r="AS44" s="23">
        <v>-520</v>
      </c>
      <c r="AT44" s="23"/>
      <c r="AU44" s="24"/>
      <c r="AW44" s="27">
        <f t="shared" si="7"/>
        <v>4.3999999999999999E-5</v>
      </c>
      <c r="AX44" s="27">
        <f t="shared" si="8"/>
        <v>4.3999999999999999E-5</v>
      </c>
      <c r="AY44" s="27">
        <f t="shared" si="9"/>
        <v>4.3999999999999999E-5</v>
      </c>
      <c r="AZ44" s="27">
        <f t="shared" si="10"/>
        <v>4.3999999999999999E-5</v>
      </c>
    </row>
    <row r="45" spans="1:52" ht="15" customHeight="1" x14ac:dyDescent="0.25">
      <c r="A45" s="13" t="str">
        <f>VLOOKUP(L45,[1]VALIDAÇÃO!$D$13:$E$350,2,0)</f>
        <v>INDIRETO</v>
      </c>
      <c r="B45" s="14" t="str">
        <f t="shared" si="0"/>
        <v>165RESERVA DO PAIVA SPE 03 LTDA</v>
      </c>
      <c r="C45" s="15">
        <f t="shared" si="11"/>
        <v>165</v>
      </c>
      <c r="D45" s="16" t="str">
        <f t="shared" si="1"/>
        <v>11RESERVA DO PAIVA SPE 03 LTDA</v>
      </c>
      <c r="E45" s="17">
        <f t="shared" si="2"/>
        <v>11</v>
      </c>
      <c r="F45" s="18" t="str">
        <f t="shared" si="3"/>
        <v>17RESERVA DO PAIVA SPE 03 LTDA</v>
      </c>
      <c r="G45" s="18">
        <f t="shared" si="4"/>
        <v>17</v>
      </c>
      <c r="H45" s="19" t="str">
        <f t="shared" si="5"/>
        <v>7RESERVA DO PAIVA SPE 03 LTDA</v>
      </c>
      <c r="I45" s="19">
        <f t="shared" si="6"/>
        <v>7</v>
      </c>
      <c r="J45" s="13" t="s">
        <v>52</v>
      </c>
      <c r="K45" s="13" t="s">
        <v>118</v>
      </c>
      <c r="L45" s="13" t="s">
        <v>84</v>
      </c>
      <c r="M45" s="13" t="s">
        <v>85</v>
      </c>
      <c r="N45" s="20">
        <v>2326.09</v>
      </c>
      <c r="O45" s="20">
        <v>3090.87</v>
      </c>
      <c r="P45" s="21">
        <v>45909</v>
      </c>
      <c r="Q45" s="22"/>
      <c r="R45" s="23">
        <v>3090.87</v>
      </c>
      <c r="S45" s="24"/>
      <c r="T45" s="23"/>
      <c r="U45" s="24"/>
      <c r="V45" s="23"/>
      <c r="W45" s="23"/>
      <c r="X45" s="24"/>
      <c r="Y45" s="23"/>
      <c r="Z45" s="23"/>
      <c r="AA45" s="23"/>
      <c r="AB45" s="23">
        <v>356.73</v>
      </c>
      <c r="AC45" s="24">
        <v>1638.8999999999999</v>
      </c>
      <c r="AD45" s="23">
        <v>764.88000000000011</v>
      </c>
      <c r="AE45" s="24">
        <v>3002.2428571428572</v>
      </c>
      <c r="AF45" s="23"/>
      <c r="AG45" s="23"/>
      <c r="AH45" s="23"/>
      <c r="AI45" s="24"/>
      <c r="AJ45" s="25"/>
      <c r="AK45" s="23"/>
      <c r="AL45" s="23">
        <v>-20.32</v>
      </c>
      <c r="AM45" s="24">
        <v>81</v>
      </c>
      <c r="AN45" s="23"/>
      <c r="AO45" s="24"/>
      <c r="AP45" s="23">
        <v>640.41</v>
      </c>
      <c r="AQ45" s="24">
        <v>1848.9</v>
      </c>
      <c r="AR45" s="23">
        <v>406.59</v>
      </c>
      <c r="AS45" s="23">
        <v>-1324.66</v>
      </c>
      <c r="AT45" s="23"/>
      <c r="AU45" s="24"/>
      <c r="AV45" s="28">
        <f>AV43-AV41</f>
        <v>248702.40999999997</v>
      </c>
      <c r="AW45" s="27">
        <f t="shared" si="7"/>
        <v>4.5000000000000003E-5</v>
      </c>
      <c r="AX45" s="27">
        <f t="shared" si="8"/>
        <v>764.88004500000011</v>
      </c>
      <c r="AY45" s="27">
        <f t="shared" si="9"/>
        <v>356.73004500000002</v>
      </c>
      <c r="AZ45" s="27">
        <f t="shared" si="10"/>
        <v>640.41004499999997</v>
      </c>
    </row>
    <row r="46" spans="1:52" ht="15" customHeight="1" x14ac:dyDescent="0.25">
      <c r="A46" s="13" t="str">
        <f>VLOOKUP(L46,[1]VALIDAÇÃO!$D$13:$E$350,2,0)</f>
        <v>INDIRETO</v>
      </c>
      <c r="B46" s="14" t="str">
        <f t="shared" si="0"/>
        <v>77RIO AVE CARNEIROS 01 SPE LTDA.</v>
      </c>
      <c r="C46" s="15">
        <f t="shared" si="11"/>
        <v>77</v>
      </c>
      <c r="D46" s="16" t="str">
        <f t="shared" si="1"/>
        <v>66RIO AVE CARNEIROS 01 SPE LTDA.</v>
      </c>
      <c r="E46" s="17">
        <f t="shared" si="2"/>
        <v>66</v>
      </c>
      <c r="F46" s="18" t="str">
        <f t="shared" si="3"/>
        <v>24RIO AVE CARNEIROS 01 SPE LTDA.</v>
      </c>
      <c r="G46" s="18">
        <f t="shared" si="4"/>
        <v>24</v>
      </c>
      <c r="H46" s="19" t="str">
        <f t="shared" si="5"/>
        <v>5RIO AVE CARNEIROS 01 SPE LTDA.</v>
      </c>
      <c r="I46" s="19">
        <f t="shared" si="6"/>
        <v>5</v>
      </c>
      <c r="J46" s="13" t="s">
        <v>61</v>
      </c>
      <c r="K46" s="13" t="s">
        <v>119</v>
      </c>
      <c r="L46" s="13" t="s">
        <v>84</v>
      </c>
      <c r="M46" s="13" t="s">
        <v>55</v>
      </c>
      <c r="N46" s="20">
        <v>1298.8900000000001</v>
      </c>
      <c r="O46" s="20">
        <v>2747.44</v>
      </c>
      <c r="P46" s="21">
        <v>45764</v>
      </c>
      <c r="Q46" s="22"/>
      <c r="R46" s="23">
        <v>2747.44</v>
      </c>
      <c r="S46" s="24"/>
      <c r="T46" s="23"/>
      <c r="U46" s="24"/>
      <c r="V46" s="23"/>
      <c r="W46" s="23"/>
      <c r="X46" s="24"/>
      <c r="Y46" s="23"/>
      <c r="Z46" s="23"/>
      <c r="AA46" s="23">
        <v>4.29</v>
      </c>
      <c r="AB46" s="23">
        <v>180.10000000000002</v>
      </c>
      <c r="AC46" s="24">
        <v>873.11428571428564</v>
      </c>
      <c r="AD46" s="23">
        <v>78.77</v>
      </c>
      <c r="AE46" s="24">
        <v>242.1142857142857</v>
      </c>
      <c r="AF46" s="23"/>
      <c r="AG46" s="23"/>
      <c r="AH46" s="23">
        <v>21.15</v>
      </c>
      <c r="AI46" s="24">
        <v>0</v>
      </c>
      <c r="AJ46" s="25">
        <v>328.92999999999995</v>
      </c>
      <c r="AK46" s="23">
        <v>66.41</v>
      </c>
      <c r="AL46" s="23"/>
      <c r="AM46" s="24"/>
      <c r="AN46" s="23"/>
      <c r="AO46" s="24"/>
      <c r="AP46" s="23">
        <v>104.50999999999999</v>
      </c>
      <c r="AQ46" s="24">
        <v>436.6142857142857</v>
      </c>
      <c r="AR46" s="23">
        <v>68.62</v>
      </c>
      <c r="AS46" s="23">
        <v>-1177.48</v>
      </c>
      <c r="AT46" s="23"/>
      <c r="AU46" s="24"/>
      <c r="AW46" s="27">
        <f t="shared" si="7"/>
        <v>328.93004599999995</v>
      </c>
      <c r="AX46" s="27">
        <f t="shared" si="8"/>
        <v>78.770045999999994</v>
      </c>
      <c r="AY46" s="27">
        <f t="shared" si="9"/>
        <v>180.10004600000002</v>
      </c>
      <c r="AZ46" s="27">
        <f t="shared" si="10"/>
        <v>104.51004599999999</v>
      </c>
    </row>
    <row r="47" spans="1:52" ht="15" customHeight="1" x14ac:dyDescent="0.25">
      <c r="A47" s="13" t="str">
        <f>VLOOKUP(L47,[1]VALIDAÇÃO!$D$13:$E$350,2,0)</f>
        <v>DIRETO</v>
      </c>
      <c r="B47" s="14" t="str">
        <f t="shared" si="0"/>
        <v>47RESERVA DO PAIVA SPE 03 LTDA</v>
      </c>
      <c r="C47" s="15">
        <f t="shared" si="11"/>
        <v>47</v>
      </c>
      <c r="D47" s="16" t="str">
        <f t="shared" si="1"/>
        <v>54RESERVA DO PAIVA SPE 03 LTDA</v>
      </c>
      <c r="E47" s="17">
        <f t="shared" si="2"/>
        <v>54</v>
      </c>
      <c r="F47" s="18" t="str">
        <f t="shared" si="3"/>
        <v>164RESERVA DO PAIVA SPE 03 LTDA</v>
      </c>
      <c r="G47" s="18">
        <f t="shared" si="4"/>
        <v>164</v>
      </c>
      <c r="H47" s="19" t="str">
        <f t="shared" si="5"/>
        <v>160RESERVA DO PAIVA SPE 03 LTDA</v>
      </c>
      <c r="I47" s="19">
        <f t="shared" si="6"/>
        <v>160</v>
      </c>
      <c r="J47" s="13" t="s">
        <v>52</v>
      </c>
      <c r="K47" s="13" t="s">
        <v>120</v>
      </c>
      <c r="L47" s="13" t="s">
        <v>54</v>
      </c>
      <c r="M47" s="13" t="s">
        <v>55</v>
      </c>
      <c r="N47" s="20">
        <v>1281.68</v>
      </c>
      <c r="O47" s="20">
        <v>1622.13</v>
      </c>
      <c r="P47" s="21">
        <v>45964</v>
      </c>
      <c r="Q47" s="22"/>
      <c r="R47" s="23">
        <v>1622.13</v>
      </c>
      <c r="S47" s="24"/>
      <c r="T47" s="23"/>
      <c r="U47" s="24"/>
      <c r="V47" s="23"/>
      <c r="W47" s="23"/>
      <c r="X47" s="24"/>
      <c r="Y47" s="23"/>
      <c r="Z47" s="23"/>
      <c r="AA47" s="23">
        <v>3.8999999999999995</v>
      </c>
      <c r="AB47" s="23"/>
      <c r="AC47" s="24"/>
      <c r="AD47" s="23">
        <v>275.89</v>
      </c>
      <c r="AE47" s="24">
        <v>1860.6</v>
      </c>
      <c r="AF47" s="23"/>
      <c r="AG47" s="23"/>
      <c r="AH47" s="23">
        <v>17.8</v>
      </c>
      <c r="AI47" s="24">
        <v>0</v>
      </c>
      <c r="AJ47" s="25">
        <v>314.99</v>
      </c>
      <c r="AK47" s="23">
        <v>69.61</v>
      </c>
      <c r="AL47" s="23">
        <v>-60.04</v>
      </c>
      <c r="AM47" s="24">
        <v>456</v>
      </c>
      <c r="AN47" s="23"/>
      <c r="AO47" s="24"/>
      <c r="AP47" s="23"/>
      <c r="AQ47" s="24"/>
      <c r="AR47" s="23">
        <v>61.529999999999994</v>
      </c>
      <c r="AS47" s="23">
        <v>-695.2</v>
      </c>
      <c r="AT47" s="23"/>
      <c r="AU47" s="24"/>
      <c r="AW47" s="27">
        <f t="shared" si="7"/>
        <v>314.990047</v>
      </c>
      <c r="AX47" s="27">
        <f t="shared" si="8"/>
        <v>275.89004699999998</v>
      </c>
      <c r="AY47" s="27">
        <f t="shared" si="9"/>
        <v>4.6999999999999997E-5</v>
      </c>
      <c r="AZ47" s="27">
        <f t="shared" si="10"/>
        <v>4.6999999999999997E-5</v>
      </c>
    </row>
    <row r="48" spans="1:52" ht="15" customHeight="1" x14ac:dyDescent="0.25">
      <c r="A48" s="13" t="str">
        <f>VLOOKUP(L48,[1]VALIDAÇÃO!$D$13:$E$350,2,0)</f>
        <v>DIRETO</v>
      </c>
      <c r="B48" s="14" t="str">
        <f t="shared" si="0"/>
        <v>31RESERVA DO PAIVA SPE 03 LTDA</v>
      </c>
      <c r="C48" s="15">
        <f t="shared" si="11"/>
        <v>31</v>
      </c>
      <c r="D48" s="16" t="str">
        <f t="shared" si="1"/>
        <v>46RESERVA DO PAIVA SPE 03 LTDA</v>
      </c>
      <c r="E48" s="17">
        <f t="shared" si="2"/>
        <v>46</v>
      </c>
      <c r="F48" s="18" t="str">
        <f t="shared" si="3"/>
        <v>35RESERVA DO PAIVA SPE 03 LTDA</v>
      </c>
      <c r="G48" s="18">
        <f t="shared" si="4"/>
        <v>35</v>
      </c>
      <c r="H48" s="19" t="str">
        <f t="shared" si="5"/>
        <v>73RESERVA DO PAIVA SPE 03 LTDA</v>
      </c>
      <c r="I48" s="19">
        <f t="shared" si="6"/>
        <v>73</v>
      </c>
      <c r="J48" s="13" t="s">
        <v>52</v>
      </c>
      <c r="K48" s="13" t="s">
        <v>121</v>
      </c>
      <c r="L48" s="13" t="s">
        <v>63</v>
      </c>
      <c r="M48" s="13" t="s">
        <v>55</v>
      </c>
      <c r="N48" s="20">
        <v>1730.36</v>
      </c>
      <c r="O48" s="20">
        <v>2156</v>
      </c>
      <c r="P48" s="21">
        <v>45798</v>
      </c>
      <c r="Q48" s="22"/>
      <c r="R48" s="23">
        <v>2156</v>
      </c>
      <c r="S48" s="24"/>
      <c r="T48" s="23"/>
      <c r="U48" s="24"/>
      <c r="V48" s="23"/>
      <c r="W48" s="23"/>
      <c r="X48" s="24"/>
      <c r="Y48" s="23"/>
      <c r="Z48" s="23"/>
      <c r="AA48" s="23">
        <v>6.91</v>
      </c>
      <c r="AB48" s="23">
        <v>252.62</v>
      </c>
      <c r="AC48" s="24">
        <v>1220.9557142857143</v>
      </c>
      <c r="AD48" s="23">
        <v>334.25</v>
      </c>
      <c r="AE48" s="24">
        <v>1608.1557142857143</v>
      </c>
      <c r="AF48" s="23"/>
      <c r="AG48" s="23"/>
      <c r="AH48" s="23">
        <v>31.84</v>
      </c>
      <c r="AI48" s="24">
        <v>0</v>
      </c>
      <c r="AJ48" s="25">
        <v>429.61</v>
      </c>
      <c r="AK48" s="23">
        <v>94.12</v>
      </c>
      <c r="AL48" s="23"/>
      <c r="AM48" s="24"/>
      <c r="AN48" s="23"/>
      <c r="AO48" s="24"/>
      <c r="AP48" s="23">
        <v>16.989999999999998</v>
      </c>
      <c r="AQ48" s="24">
        <v>101.45714285714286</v>
      </c>
      <c r="AR48" s="23">
        <v>130.35000000000002</v>
      </c>
      <c r="AS48" s="23">
        <v>-924</v>
      </c>
      <c r="AT48" s="23"/>
      <c r="AU48" s="24"/>
      <c r="AW48" s="27">
        <f t="shared" si="7"/>
        <v>429.61004800000001</v>
      </c>
      <c r="AX48" s="27">
        <f t="shared" si="8"/>
        <v>334.25004799999999</v>
      </c>
      <c r="AY48" s="27">
        <f t="shared" si="9"/>
        <v>252.620048</v>
      </c>
      <c r="AZ48" s="27">
        <f t="shared" si="10"/>
        <v>16.990047999999998</v>
      </c>
    </row>
    <row r="49" spans="1:52" ht="15" customHeight="1" x14ac:dyDescent="0.25">
      <c r="A49" s="13" t="str">
        <f>VLOOKUP(L49,[1]VALIDAÇÃO!$D$13:$E$350,2,0)</f>
        <v>DIRETO</v>
      </c>
      <c r="B49" s="14" t="str">
        <f t="shared" si="0"/>
        <v>30RESERVA DO PAIVA SPE 03 LTDA</v>
      </c>
      <c r="C49" s="15">
        <f t="shared" si="11"/>
        <v>30</v>
      </c>
      <c r="D49" s="16" t="str">
        <f t="shared" si="1"/>
        <v>77RESERVA DO PAIVA SPE 03 LTDA</v>
      </c>
      <c r="E49" s="17">
        <f t="shared" si="2"/>
        <v>77</v>
      </c>
      <c r="F49" s="18" t="str">
        <f t="shared" si="3"/>
        <v>112RESERVA DO PAIVA SPE 03 LTDA</v>
      </c>
      <c r="G49" s="18">
        <f t="shared" si="4"/>
        <v>112</v>
      </c>
      <c r="H49" s="19" t="str">
        <f t="shared" si="5"/>
        <v>159RESERVA DO PAIVA SPE 03 LTDA</v>
      </c>
      <c r="I49" s="19">
        <f t="shared" si="6"/>
        <v>159</v>
      </c>
      <c r="J49" s="13" t="s">
        <v>52</v>
      </c>
      <c r="K49" s="13" t="s">
        <v>122</v>
      </c>
      <c r="L49" s="13" t="s">
        <v>54</v>
      </c>
      <c r="M49" s="13" t="s">
        <v>55</v>
      </c>
      <c r="N49" s="20">
        <v>851.77</v>
      </c>
      <c r="O49" s="20">
        <v>1622.13</v>
      </c>
      <c r="P49" s="21">
        <v>45691</v>
      </c>
      <c r="Q49" s="22"/>
      <c r="R49" s="23">
        <v>1622.13</v>
      </c>
      <c r="S49" s="24"/>
      <c r="T49" s="23"/>
      <c r="U49" s="24"/>
      <c r="V49" s="23"/>
      <c r="W49" s="23"/>
      <c r="X49" s="24"/>
      <c r="Y49" s="23"/>
      <c r="Z49" s="23"/>
      <c r="AA49" s="23">
        <v>1.79</v>
      </c>
      <c r="AB49" s="23">
        <v>21.22</v>
      </c>
      <c r="AC49" s="24">
        <v>133.21428571428572</v>
      </c>
      <c r="AD49" s="23">
        <v>191.02</v>
      </c>
      <c r="AE49" s="24">
        <v>1129.8414285714287</v>
      </c>
      <c r="AF49" s="23"/>
      <c r="AG49" s="23"/>
      <c r="AH49" s="23">
        <v>8.42</v>
      </c>
      <c r="AI49" s="24">
        <v>0</v>
      </c>
      <c r="AJ49" s="25">
        <v>455.17</v>
      </c>
      <c r="AK49" s="23">
        <v>99.02000000000001</v>
      </c>
      <c r="AL49" s="23">
        <v>-31.86</v>
      </c>
      <c r="AM49" s="24">
        <v>242</v>
      </c>
      <c r="AN49" s="23"/>
      <c r="AO49" s="24"/>
      <c r="AP49" s="23"/>
      <c r="AQ49" s="24"/>
      <c r="AR49" s="23">
        <v>45.27</v>
      </c>
      <c r="AS49" s="23">
        <v>-695.2</v>
      </c>
      <c r="AT49" s="23"/>
      <c r="AU49" s="24"/>
      <c r="AW49" s="27">
        <f t="shared" si="7"/>
        <v>455.17004900000001</v>
      </c>
      <c r="AX49" s="27">
        <f t="shared" si="8"/>
        <v>191.020049</v>
      </c>
      <c r="AY49" s="27">
        <f t="shared" si="9"/>
        <v>21.220048999999999</v>
      </c>
      <c r="AZ49" s="27">
        <f t="shared" si="10"/>
        <v>4.8999999999999998E-5</v>
      </c>
    </row>
    <row r="50" spans="1:52" ht="15" customHeight="1" x14ac:dyDescent="0.25">
      <c r="A50" s="13" t="str">
        <f>VLOOKUP(L50,[1]VALIDAÇÃO!$D$13:$E$350,2,0)</f>
        <v>DIRETO</v>
      </c>
      <c r="B50" s="14" t="str">
        <f t="shared" si="0"/>
        <v>45RIO AVE CARNEIROS 01 SPE LTDA.</v>
      </c>
      <c r="C50" s="15">
        <f t="shared" si="11"/>
        <v>45</v>
      </c>
      <c r="D50" s="16" t="str">
        <f t="shared" si="1"/>
        <v>16RIO AVE CARNEIROS 01 SPE LTDA.</v>
      </c>
      <c r="E50" s="17">
        <f t="shared" si="2"/>
        <v>16</v>
      </c>
      <c r="F50" s="18" t="str">
        <f t="shared" si="3"/>
        <v>28RIO AVE CARNEIROS 01 SPE LTDA.</v>
      </c>
      <c r="G50" s="18">
        <f t="shared" si="4"/>
        <v>28</v>
      </c>
      <c r="H50" s="19" t="str">
        <f t="shared" si="5"/>
        <v>154RIO AVE CARNEIROS 01 SPE LTDA.</v>
      </c>
      <c r="I50" s="19">
        <f t="shared" si="6"/>
        <v>154</v>
      </c>
      <c r="J50" s="13" t="s">
        <v>61</v>
      </c>
      <c r="K50" s="13" t="s">
        <v>123</v>
      </c>
      <c r="L50" s="13" t="s">
        <v>63</v>
      </c>
      <c r="M50" s="13" t="s">
        <v>55</v>
      </c>
      <c r="N50" s="20">
        <v>1635.57</v>
      </c>
      <c r="O50" s="20">
        <v>2156</v>
      </c>
      <c r="P50" s="21">
        <v>45810</v>
      </c>
      <c r="Q50" s="22"/>
      <c r="R50" s="23">
        <v>2156</v>
      </c>
      <c r="S50" s="24"/>
      <c r="T50" s="23"/>
      <c r="U50" s="24"/>
      <c r="V50" s="23"/>
      <c r="W50" s="23"/>
      <c r="X50" s="24"/>
      <c r="Y50" s="23"/>
      <c r="Z50" s="23"/>
      <c r="AA50" s="23">
        <v>6.58</v>
      </c>
      <c r="AB50" s="23">
        <v>169.19</v>
      </c>
      <c r="AC50" s="24">
        <v>1167.1428571428571</v>
      </c>
      <c r="AD50" s="23">
        <v>446.81</v>
      </c>
      <c r="AE50" s="24">
        <v>2302.2857142857142</v>
      </c>
      <c r="AF50" s="23"/>
      <c r="AG50" s="23"/>
      <c r="AH50" s="23">
        <v>29.009999999999998</v>
      </c>
      <c r="AI50" s="24">
        <v>0</v>
      </c>
      <c r="AJ50" s="25">
        <v>469.7</v>
      </c>
      <c r="AK50" s="23">
        <v>104.97</v>
      </c>
      <c r="AL50" s="23">
        <v>-2.2799999999999998</v>
      </c>
      <c r="AM50" s="24">
        <v>13</v>
      </c>
      <c r="AN50" s="23"/>
      <c r="AO50" s="24"/>
      <c r="AP50" s="23"/>
      <c r="AQ50" s="24"/>
      <c r="AR50" s="23">
        <v>122.49000000000001</v>
      </c>
      <c r="AS50" s="23">
        <v>-964</v>
      </c>
      <c r="AT50" s="23"/>
      <c r="AU50" s="24"/>
      <c r="AW50" s="27">
        <f t="shared" si="7"/>
        <v>469.70004999999998</v>
      </c>
      <c r="AX50" s="27">
        <f t="shared" si="8"/>
        <v>446.81004999999999</v>
      </c>
      <c r="AY50" s="27">
        <f t="shared" si="9"/>
        <v>169.19004999999999</v>
      </c>
      <c r="AZ50" s="27">
        <f t="shared" si="10"/>
        <v>5.0000000000000002E-5</v>
      </c>
    </row>
    <row r="51" spans="1:52" ht="15" customHeight="1" x14ac:dyDescent="0.25">
      <c r="A51" s="13" t="str">
        <f>VLOOKUP(L51,[1]VALIDAÇÃO!$D$13:$E$350,2,0)</f>
        <v>INDIRETO</v>
      </c>
      <c r="B51" s="14" t="str">
        <f t="shared" si="0"/>
        <v>12RIO AVE SUBHOLDING INCORPORACAO LTDA</v>
      </c>
      <c r="C51" s="15">
        <f t="shared" si="11"/>
        <v>12</v>
      </c>
      <c r="D51" s="16" t="str">
        <f t="shared" si="1"/>
        <v>12RIO AVE SUBHOLDING INCORPORACAO LTDA</v>
      </c>
      <c r="E51" s="17">
        <f t="shared" si="2"/>
        <v>12</v>
      </c>
      <c r="F51" s="18" t="str">
        <f t="shared" si="3"/>
        <v>12RIO AVE SUBHOLDING INCORPORACAO LTDA</v>
      </c>
      <c r="G51" s="18">
        <f t="shared" si="4"/>
        <v>12</v>
      </c>
      <c r="H51" s="19" t="str">
        <f t="shared" si="5"/>
        <v>12RIO AVE SUBHOLDING INCORPORACAO LTDA</v>
      </c>
      <c r="I51" s="19">
        <f t="shared" si="6"/>
        <v>12</v>
      </c>
      <c r="J51" s="13" t="s">
        <v>124</v>
      </c>
      <c r="K51" s="13" t="s">
        <v>125</v>
      </c>
      <c r="L51" s="13" t="s">
        <v>126</v>
      </c>
      <c r="M51" s="13" t="s">
        <v>127</v>
      </c>
      <c r="N51" s="20">
        <v>2587.33</v>
      </c>
      <c r="O51" s="20">
        <v>8742.98</v>
      </c>
      <c r="P51" s="21">
        <v>44881</v>
      </c>
      <c r="Q51" s="22"/>
      <c r="R51" s="23">
        <v>8742.98</v>
      </c>
      <c r="S51" s="24"/>
      <c r="T51" s="23"/>
      <c r="U51" s="24"/>
      <c r="V51" s="23"/>
      <c r="W51" s="23"/>
      <c r="X51" s="24"/>
      <c r="Y51" s="23"/>
      <c r="Z51" s="23"/>
      <c r="AA51" s="23"/>
      <c r="AB51" s="23"/>
      <c r="AC51" s="24"/>
      <c r="AD51" s="23"/>
      <c r="AE51" s="24"/>
      <c r="AF51" s="23"/>
      <c r="AG51" s="23"/>
      <c r="AH51" s="23"/>
      <c r="AI51" s="24"/>
      <c r="AJ51" s="25"/>
      <c r="AK51" s="23"/>
      <c r="AL51" s="23"/>
      <c r="AM51" s="24"/>
      <c r="AN51" s="23"/>
      <c r="AO51" s="24"/>
      <c r="AP51" s="23"/>
      <c r="AQ51" s="24"/>
      <c r="AR51" s="23"/>
      <c r="AS51" s="23">
        <v>-3885.77</v>
      </c>
      <c r="AT51" s="23"/>
      <c r="AU51" s="24"/>
      <c r="AW51" s="27">
        <f t="shared" si="7"/>
        <v>5.1E-5</v>
      </c>
      <c r="AX51" s="27">
        <f t="shared" si="8"/>
        <v>5.1E-5</v>
      </c>
      <c r="AY51" s="27">
        <f t="shared" si="9"/>
        <v>5.1E-5</v>
      </c>
      <c r="AZ51" s="27">
        <f t="shared" si="10"/>
        <v>5.1E-5</v>
      </c>
    </row>
    <row r="52" spans="1:52" ht="15" customHeight="1" x14ac:dyDescent="0.25">
      <c r="A52" s="13" t="str">
        <f>VLOOKUP(L52,[1]VALIDAÇÃO!$D$13:$E$350,2,0)</f>
        <v>DIRETO</v>
      </c>
      <c r="B52" s="14" t="str">
        <f t="shared" si="0"/>
        <v>96RIO AVE CARNEIROS 01 SPE LTDA.</v>
      </c>
      <c r="C52" s="15">
        <f t="shared" si="11"/>
        <v>96</v>
      </c>
      <c r="D52" s="16" t="str">
        <f t="shared" si="1"/>
        <v>62RIO AVE CARNEIROS 01 SPE LTDA.</v>
      </c>
      <c r="E52" s="17">
        <f t="shared" si="2"/>
        <v>62</v>
      </c>
      <c r="F52" s="18" t="str">
        <f t="shared" si="3"/>
        <v>115RIO AVE CARNEIROS 01 SPE LTDA.</v>
      </c>
      <c r="G52" s="18">
        <f t="shared" si="4"/>
        <v>115</v>
      </c>
      <c r="H52" s="19" t="str">
        <f t="shared" si="5"/>
        <v>153RIO AVE CARNEIROS 01 SPE LTDA.</v>
      </c>
      <c r="I52" s="19">
        <f t="shared" si="6"/>
        <v>153</v>
      </c>
      <c r="J52" s="13" t="s">
        <v>61</v>
      </c>
      <c r="K52" s="13" t="s">
        <v>128</v>
      </c>
      <c r="L52" s="13" t="s">
        <v>54</v>
      </c>
      <c r="M52" s="13" t="s">
        <v>55</v>
      </c>
      <c r="N52" s="20">
        <v>1021.2</v>
      </c>
      <c r="O52" s="20">
        <v>1622.13</v>
      </c>
      <c r="P52" s="21">
        <v>45931</v>
      </c>
      <c r="Q52" s="22"/>
      <c r="R52" s="23">
        <v>1622.13</v>
      </c>
      <c r="S52" s="24"/>
      <c r="T52" s="23"/>
      <c r="U52" s="24"/>
      <c r="V52" s="23"/>
      <c r="W52" s="23"/>
      <c r="X52" s="24"/>
      <c r="Y52" s="23"/>
      <c r="Z52" s="23"/>
      <c r="AA52" s="23">
        <v>1.2</v>
      </c>
      <c r="AB52" s="23">
        <v>19.900000000000002</v>
      </c>
      <c r="AC52" s="24">
        <v>362.85714285714283</v>
      </c>
      <c r="AD52" s="23">
        <v>89.72999999999999</v>
      </c>
      <c r="AE52" s="24">
        <v>930.42857142857144</v>
      </c>
      <c r="AF52" s="23"/>
      <c r="AG52" s="23"/>
      <c r="AH52" s="23">
        <v>4.6899999999999995</v>
      </c>
      <c r="AI52" s="24">
        <v>0</v>
      </c>
      <c r="AJ52" s="25">
        <v>240.86</v>
      </c>
      <c r="AK52" s="23">
        <v>54.809999999999995</v>
      </c>
      <c r="AL52" s="23">
        <v>-14.61</v>
      </c>
      <c r="AM52" s="24">
        <v>111</v>
      </c>
      <c r="AN52" s="23"/>
      <c r="AO52" s="24"/>
      <c r="AP52" s="23"/>
      <c r="AQ52" s="24"/>
      <c r="AR52" s="23">
        <v>27.62</v>
      </c>
      <c r="AS52" s="23">
        <v>-695.2</v>
      </c>
      <c r="AT52" s="23"/>
      <c r="AU52" s="24"/>
      <c r="AW52" s="27">
        <f t="shared" si="7"/>
        <v>240.86005200000002</v>
      </c>
      <c r="AX52" s="27">
        <f t="shared" si="8"/>
        <v>89.730051999999986</v>
      </c>
      <c r="AY52" s="27">
        <f t="shared" si="9"/>
        <v>19.900052000000002</v>
      </c>
      <c r="AZ52" s="27">
        <f t="shared" si="10"/>
        <v>5.1999999999999997E-5</v>
      </c>
    </row>
    <row r="53" spans="1:52" ht="15" customHeight="1" x14ac:dyDescent="0.25">
      <c r="A53" s="13" t="str">
        <f>VLOOKUP(L53,[1]VALIDAÇÃO!$D$13:$E$350,2,0)</f>
        <v>DIRETO</v>
      </c>
      <c r="B53" s="14" t="str">
        <f t="shared" si="0"/>
        <v>37RESERVA DO PAIVA SPE 01 LTDA.</v>
      </c>
      <c r="C53" s="15">
        <f t="shared" si="11"/>
        <v>37</v>
      </c>
      <c r="D53" s="16" t="str">
        <f t="shared" si="1"/>
        <v>33RESERVA DO PAIVA SPE 01 LTDA.</v>
      </c>
      <c r="E53" s="17">
        <f t="shared" si="2"/>
        <v>33</v>
      </c>
      <c r="F53" s="18" t="str">
        <f t="shared" si="3"/>
        <v>36RESERVA DO PAIVA SPE 01 LTDA.</v>
      </c>
      <c r="G53" s="18">
        <f t="shared" si="4"/>
        <v>36</v>
      </c>
      <c r="H53" s="19" t="str">
        <f t="shared" si="5"/>
        <v>35RESERVA DO PAIVA SPE 01 LTDA.</v>
      </c>
      <c r="I53" s="19">
        <f t="shared" si="6"/>
        <v>35</v>
      </c>
      <c r="J53" s="13" t="s">
        <v>68</v>
      </c>
      <c r="K53" s="13" t="s">
        <v>129</v>
      </c>
      <c r="L53" s="13" t="s">
        <v>54</v>
      </c>
      <c r="M53" s="13" t="s">
        <v>55</v>
      </c>
      <c r="N53" s="20">
        <v>2014.32</v>
      </c>
      <c r="O53" s="20">
        <v>1622.13</v>
      </c>
      <c r="P53" s="21">
        <v>45839</v>
      </c>
      <c r="Q53" s="22"/>
      <c r="R53" s="23">
        <v>1622.13</v>
      </c>
      <c r="S53" s="24"/>
      <c r="T53" s="23"/>
      <c r="U53" s="24"/>
      <c r="V53" s="23"/>
      <c r="W53" s="23"/>
      <c r="X53" s="24"/>
      <c r="Y53" s="23"/>
      <c r="Z53" s="23"/>
      <c r="AA53" s="23">
        <v>22.640000000000004</v>
      </c>
      <c r="AB53" s="23">
        <v>302.90999999999997</v>
      </c>
      <c r="AC53" s="24">
        <v>1885.1971428571428</v>
      </c>
      <c r="AD53" s="23">
        <v>347.31</v>
      </c>
      <c r="AE53" s="24">
        <v>2665.34</v>
      </c>
      <c r="AF53" s="23"/>
      <c r="AG53" s="23"/>
      <c r="AH53" s="23">
        <v>102.94999999999999</v>
      </c>
      <c r="AI53" s="24">
        <v>0</v>
      </c>
      <c r="AJ53" s="25">
        <v>721.2</v>
      </c>
      <c r="AK53" s="23">
        <v>158.9</v>
      </c>
      <c r="AL53" s="23">
        <v>-51.24</v>
      </c>
      <c r="AM53" s="24">
        <v>389.14</v>
      </c>
      <c r="AN53" s="23"/>
      <c r="AO53" s="24"/>
      <c r="AP53" s="23">
        <v>361.86</v>
      </c>
      <c r="AQ53" s="24">
        <v>1943.1542857142856</v>
      </c>
      <c r="AR53" s="23">
        <v>219.19</v>
      </c>
      <c r="AS53" s="23">
        <v>-695.2</v>
      </c>
      <c r="AT53" s="23"/>
      <c r="AU53" s="24"/>
      <c r="AW53" s="27">
        <f t="shared" si="7"/>
        <v>721.20005300000003</v>
      </c>
      <c r="AX53" s="27">
        <f t="shared" si="8"/>
        <v>347.31005299999998</v>
      </c>
      <c r="AY53" s="27">
        <f t="shared" si="9"/>
        <v>302.91005299999995</v>
      </c>
      <c r="AZ53" s="27">
        <f t="shared" si="10"/>
        <v>361.86005299999999</v>
      </c>
    </row>
    <row r="54" spans="1:52" ht="15" customHeight="1" x14ac:dyDescent="0.25">
      <c r="A54" s="13" t="str">
        <f>VLOOKUP(L54,[1]VALIDAÇÃO!$D$13:$E$350,2,0)</f>
        <v>DIRETO</v>
      </c>
      <c r="B54" s="14" t="str">
        <f t="shared" si="0"/>
        <v>50RIO AVE 130 SPE LTDA</v>
      </c>
      <c r="C54" s="15">
        <f t="shared" si="11"/>
        <v>50</v>
      </c>
      <c r="D54" s="16" t="str">
        <f t="shared" si="1"/>
        <v>52RIO AVE 130 SPE LTDA</v>
      </c>
      <c r="E54" s="17">
        <f t="shared" si="2"/>
        <v>52</v>
      </c>
      <c r="F54" s="18" t="str">
        <f t="shared" si="3"/>
        <v>11RIO AVE 130 SPE LTDA</v>
      </c>
      <c r="G54" s="18">
        <f t="shared" si="4"/>
        <v>11</v>
      </c>
      <c r="H54" s="19" t="str">
        <f t="shared" si="5"/>
        <v>33RIO AVE 130 SPE LTDA</v>
      </c>
      <c r="I54" s="19">
        <f t="shared" si="6"/>
        <v>33</v>
      </c>
      <c r="J54" s="13" t="s">
        <v>102</v>
      </c>
      <c r="K54" s="13" t="s">
        <v>130</v>
      </c>
      <c r="L54" s="13" t="s">
        <v>131</v>
      </c>
      <c r="M54" s="13" t="s">
        <v>55</v>
      </c>
      <c r="N54" s="20">
        <v>1117.2</v>
      </c>
      <c r="O54" s="20">
        <v>2310</v>
      </c>
      <c r="P54" s="21">
        <v>45462</v>
      </c>
      <c r="Q54" s="22"/>
      <c r="R54" s="23">
        <v>2310</v>
      </c>
      <c r="S54" s="24"/>
      <c r="T54" s="23"/>
      <c r="U54" s="24"/>
      <c r="V54" s="23"/>
      <c r="W54" s="23"/>
      <c r="X54" s="24"/>
      <c r="Y54" s="23"/>
      <c r="Z54" s="23"/>
      <c r="AA54" s="23">
        <v>0.69</v>
      </c>
      <c r="AB54" s="23">
        <v>292.37</v>
      </c>
      <c r="AC54" s="24">
        <v>982.75</v>
      </c>
      <c r="AD54" s="23">
        <v>4.88</v>
      </c>
      <c r="AE54" s="24">
        <v>16.420000000000002</v>
      </c>
      <c r="AF54" s="23"/>
      <c r="AG54" s="23"/>
      <c r="AH54" s="23">
        <v>2.73</v>
      </c>
      <c r="AI54" s="24">
        <v>0</v>
      </c>
      <c r="AJ54" s="25">
        <v>262.7</v>
      </c>
      <c r="AK54" s="23">
        <v>58.19</v>
      </c>
      <c r="AL54" s="23"/>
      <c r="AM54" s="24"/>
      <c r="AN54" s="23"/>
      <c r="AO54" s="24"/>
      <c r="AP54" s="23">
        <v>12.37</v>
      </c>
      <c r="AQ54" s="24">
        <v>35.33</v>
      </c>
      <c r="AR54" s="23">
        <v>65.930000000000007</v>
      </c>
      <c r="AS54" s="23">
        <v>-695.2</v>
      </c>
      <c r="AT54" s="23"/>
      <c r="AU54" s="24"/>
      <c r="AW54" s="27">
        <f t="shared" si="7"/>
        <v>262.70005399999997</v>
      </c>
      <c r="AX54" s="27">
        <f t="shared" si="8"/>
        <v>4.8800540000000003</v>
      </c>
      <c r="AY54" s="27">
        <f t="shared" si="9"/>
        <v>292.37005399999998</v>
      </c>
      <c r="AZ54" s="27">
        <f t="shared" si="10"/>
        <v>12.370054</v>
      </c>
    </row>
    <row r="55" spans="1:52" ht="15" customHeight="1" x14ac:dyDescent="0.25">
      <c r="A55" s="13" t="str">
        <f>VLOOKUP(L55,[1]VALIDAÇÃO!$D$13:$E$350,2,0)</f>
        <v>DIRETO</v>
      </c>
      <c r="B55" s="14" t="str">
        <f t="shared" si="0"/>
        <v>153RIO AVE CARNEIROS 01 SPE LTDA.</v>
      </c>
      <c r="C55" s="15">
        <f t="shared" si="11"/>
        <v>153</v>
      </c>
      <c r="D55" s="16" t="str">
        <f t="shared" si="1"/>
        <v>111RIO AVE CARNEIROS 01 SPE LTDA.</v>
      </c>
      <c r="E55" s="17">
        <f t="shared" si="2"/>
        <v>111</v>
      </c>
      <c r="F55" s="18" t="str">
        <f t="shared" si="3"/>
        <v>154RIO AVE CARNEIROS 01 SPE LTDA.</v>
      </c>
      <c r="G55" s="18">
        <f t="shared" si="4"/>
        <v>154</v>
      </c>
      <c r="H55" s="19" t="str">
        <f t="shared" si="5"/>
        <v>152RIO AVE CARNEIROS 01 SPE LTDA.</v>
      </c>
      <c r="I55" s="19">
        <f t="shared" si="6"/>
        <v>152</v>
      </c>
      <c r="J55" s="13" t="s">
        <v>61</v>
      </c>
      <c r="K55" s="13" t="s">
        <v>132</v>
      </c>
      <c r="L55" s="13" t="s">
        <v>54</v>
      </c>
      <c r="M55" s="13" t="s">
        <v>55</v>
      </c>
      <c r="N55" s="20">
        <v>884.2</v>
      </c>
      <c r="O55" s="20">
        <v>1622.13</v>
      </c>
      <c r="P55" s="21">
        <v>45992</v>
      </c>
      <c r="Q55" s="22"/>
      <c r="R55" s="23">
        <v>1622.13</v>
      </c>
      <c r="S55" s="24"/>
      <c r="T55" s="23"/>
      <c r="U55" s="24"/>
      <c r="V55" s="23"/>
      <c r="W55" s="23"/>
      <c r="X55" s="24"/>
      <c r="Y55" s="23"/>
      <c r="Z55" s="23"/>
      <c r="AA55" s="23"/>
      <c r="AB55" s="23"/>
      <c r="AC55" s="24"/>
      <c r="AD55" s="23">
        <v>11.19</v>
      </c>
      <c r="AE55" s="24">
        <v>50</v>
      </c>
      <c r="AF55" s="23"/>
      <c r="AG55" s="23"/>
      <c r="AH55" s="23"/>
      <c r="AI55" s="24"/>
      <c r="AJ55" s="25"/>
      <c r="AK55" s="23"/>
      <c r="AL55" s="23"/>
      <c r="AM55" s="24"/>
      <c r="AN55" s="23"/>
      <c r="AO55" s="24"/>
      <c r="AP55" s="23"/>
      <c r="AQ55" s="24"/>
      <c r="AR55" s="23">
        <v>2.4300000000000002</v>
      </c>
      <c r="AS55" s="23">
        <v>-785.2</v>
      </c>
      <c r="AT55" s="23"/>
      <c r="AU55" s="24"/>
      <c r="AW55" s="27">
        <f t="shared" si="7"/>
        <v>5.5000000000000002E-5</v>
      </c>
      <c r="AX55" s="27">
        <f t="shared" si="8"/>
        <v>11.190054999999999</v>
      </c>
      <c r="AY55" s="27">
        <f t="shared" si="9"/>
        <v>5.5000000000000002E-5</v>
      </c>
      <c r="AZ55" s="27">
        <f t="shared" si="10"/>
        <v>5.5000000000000002E-5</v>
      </c>
    </row>
    <row r="56" spans="1:52" ht="15" customHeight="1" x14ac:dyDescent="0.25">
      <c r="A56" s="13" t="str">
        <f>VLOOKUP(L56,[1]VALIDAÇÃO!$D$13:$E$350,2,0)</f>
        <v>INDIRETO</v>
      </c>
      <c r="B56" s="14" t="str">
        <f t="shared" si="0"/>
        <v>152RIO AVE CARNEIROS 01 SPE LTDA.</v>
      </c>
      <c r="C56" s="15">
        <f t="shared" si="11"/>
        <v>152</v>
      </c>
      <c r="D56" s="16" t="str">
        <f t="shared" si="1"/>
        <v>3RIO AVE CARNEIROS 01 SPE LTDA.</v>
      </c>
      <c r="E56" s="17">
        <f t="shared" si="2"/>
        <v>3</v>
      </c>
      <c r="F56" s="18" t="str">
        <f t="shared" si="3"/>
        <v>85RIO AVE CARNEIROS 01 SPE LTDA.</v>
      </c>
      <c r="G56" s="18">
        <f t="shared" si="4"/>
        <v>85</v>
      </c>
      <c r="H56" s="19" t="str">
        <f t="shared" si="5"/>
        <v>67RIO AVE CARNEIROS 01 SPE LTDA.</v>
      </c>
      <c r="I56" s="19">
        <f t="shared" si="6"/>
        <v>67</v>
      </c>
      <c r="J56" s="13" t="s">
        <v>61</v>
      </c>
      <c r="K56" s="13" t="s">
        <v>133</v>
      </c>
      <c r="L56" s="13" t="s">
        <v>134</v>
      </c>
      <c r="M56" s="13" t="s">
        <v>85</v>
      </c>
      <c r="N56" s="20">
        <v>130.88</v>
      </c>
      <c r="O56" s="20">
        <v>3698.5</v>
      </c>
      <c r="P56" s="21">
        <v>45817</v>
      </c>
      <c r="Q56" s="22"/>
      <c r="R56" s="23">
        <v>3698.5</v>
      </c>
      <c r="S56" s="24"/>
      <c r="T56" s="23"/>
      <c r="U56" s="24"/>
      <c r="V56" s="23"/>
      <c r="W56" s="23"/>
      <c r="X56" s="24"/>
      <c r="Y56" s="23"/>
      <c r="Z56" s="23"/>
      <c r="AA56" s="23"/>
      <c r="AB56" s="23">
        <v>61.61</v>
      </c>
      <c r="AC56" s="24">
        <v>252.38571428571424</v>
      </c>
      <c r="AD56" s="23">
        <v>1200.44</v>
      </c>
      <c r="AE56" s="24">
        <v>3733.1428571428569</v>
      </c>
      <c r="AF56" s="23"/>
      <c r="AG56" s="23"/>
      <c r="AH56" s="23"/>
      <c r="AI56" s="24"/>
      <c r="AJ56" s="25"/>
      <c r="AK56" s="23"/>
      <c r="AL56" s="23">
        <v>-136.29</v>
      </c>
      <c r="AM56" s="24">
        <v>454</v>
      </c>
      <c r="AN56" s="23"/>
      <c r="AO56" s="24"/>
      <c r="AP56" s="23">
        <v>16.41</v>
      </c>
      <c r="AQ56" s="24">
        <v>57.142857142857139</v>
      </c>
      <c r="AR56" s="23">
        <v>259.61</v>
      </c>
      <c r="AS56" s="23">
        <v>-1585.07</v>
      </c>
      <c r="AT56" s="23"/>
      <c r="AU56" s="24"/>
      <c r="AW56" s="27">
        <f t="shared" si="7"/>
        <v>5.5999999999999999E-5</v>
      </c>
      <c r="AX56" s="27">
        <f t="shared" si="8"/>
        <v>1200.4400560000001</v>
      </c>
      <c r="AY56" s="27">
        <f t="shared" si="9"/>
        <v>61.610056</v>
      </c>
      <c r="AZ56" s="27">
        <f t="shared" si="10"/>
        <v>16.410056000000001</v>
      </c>
    </row>
    <row r="57" spans="1:52" ht="15" customHeight="1" x14ac:dyDescent="0.25">
      <c r="A57" s="13" t="str">
        <f>VLOOKUP(L57,[1]VALIDAÇÃO!$D$13:$E$350,2,0)</f>
        <v>DIRETO</v>
      </c>
      <c r="B57" s="14" t="str">
        <f t="shared" si="0"/>
        <v>41CONDOMINIO DO EDIFICIO EMPRESARIAL MARIE CURIE</v>
      </c>
      <c r="C57" s="15">
        <f t="shared" si="11"/>
        <v>41</v>
      </c>
      <c r="D57" s="16" t="str">
        <f t="shared" si="1"/>
        <v>69CONDOMINIO DO EDIFICIO EMPRESARIAL MARIE CURIE</v>
      </c>
      <c r="E57" s="17">
        <f t="shared" si="2"/>
        <v>69</v>
      </c>
      <c r="F57" s="18" t="str">
        <f t="shared" si="3"/>
        <v>47CONDOMINIO DO EDIFICIO EMPRESARIAL MARIE CURIE</v>
      </c>
      <c r="G57" s="18">
        <f t="shared" si="4"/>
        <v>47</v>
      </c>
      <c r="H57" s="19" t="str">
        <f t="shared" si="5"/>
        <v>36CONDOMINIO DO EDIFICIO EMPRESARIAL MARIE CURIE</v>
      </c>
      <c r="I57" s="19">
        <f t="shared" si="6"/>
        <v>36</v>
      </c>
      <c r="J57" s="13" t="s">
        <v>57</v>
      </c>
      <c r="K57" s="13" t="s">
        <v>135</v>
      </c>
      <c r="L57" s="13" t="s">
        <v>54</v>
      </c>
      <c r="M57" s="13" t="s">
        <v>60</v>
      </c>
      <c r="N57" s="20">
        <v>1036.1400000000001</v>
      </c>
      <c r="O57" s="20">
        <v>1622.13</v>
      </c>
      <c r="P57" s="21">
        <v>45453</v>
      </c>
      <c r="Q57" s="22"/>
      <c r="R57" s="23">
        <v>1622.13</v>
      </c>
      <c r="S57" s="24"/>
      <c r="T57" s="23"/>
      <c r="U57" s="24"/>
      <c r="V57" s="23"/>
      <c r="W57" s="23"/>
      <c r="X57" s="24"/>
      <c r="Y57" s="23"/>
      <c r="Z57" s="23"/>
      <c r="AA57" s="23">
        <v>2.3199999999999998</v>
      </c>
      <c r="AB57" s="23">
        <v>78.92</v>
      </c>
      <c r="AC57" s="24">
        <v>469.19</v>
      </c>
      <c r="AD57" s="23">
        <v>95.169999999999987</v>
      </c>
      <c r="AE57" s="24">
        <v>484.54142857142858</v>
      </c>
      <c r="AF57" s="23"/>
      <c r="AG57" s="23"/>
      <c r="AH57" s="23">
        <v>11.16</v>
      </c>
      <c r="AI57" s="24">
        <v>0</v>
      </c>
      <c r="AJ57" s="25">
        <v>598.93000000000006</v>
      </c>
      <c r="AK57" s="23">
        <v>127.74000000000001</v>
      </c>
      <c r="AL57" s="23"/>
      <c r="AM57" s="24"/>
      <c r="AN57" s="23"/>
      <c r="AO57" s="24"/>
      <c r="AP57" s="23">
        <v>8.7000000000000011</v>
      </c>
      <c r="AQ57" s="24">
        <v>33.020000000000003</v>
      </c>
      <c r="AR57" s="23">
        <v>36.15</v>
      </c>
      <c r="AS57" s="23">
        <v>-695.2</v>
      </c>
      <c r="AT57" s="23"/>
      <c r="AU57" s="24"/>
      <c r="AW57" s="27">
        <f t="shared" si="7"/>
        <v>598.93005700000003</v>
      </c>
      <c r="AX57" s="27">
        <f t="shared" si="8"/>
        <v>95.170056999999986</v>
      </c>
      <c r="AY57" s="27">
        <f t="shared" si="9"/>
        <v>78.920057</v>
      </c>
      <c r="AZ57" s="27">
        <f t="shared" si="10"/>
        <v>8.700057000000001</v>
      </c>
    </row>
    <row r="58" spans="1:52" ht="15" customHeight="1" x14ac:dyDescent="0.25">
      <c r="A58" s="13" t="str">
        <f>VLOOKUP(L58,[1]VALIDAÇÃO!$D$13:$E$350,2,0)</f>
        <v>DIRETO</v>
      </c>
      <c r="B58" s="14" t="str">
        <f t="shared" si="0"/>
        <v>18RIO AVE 130 SPE LTDA</v>
      </c>
      <c r="C58" s="15">
        <f t="shared" si="11"/>
        <v>18</v>
      </c>
      <c r="D58" s="16" t="str">
        <f t="shared" si="1"/>
        <v>37RIO AVE 130 SPE LTDA</v>
      </c>
      <c r="E58" s="17">
        <f t="shared" si="2"/>
        <v>37</v>
      </c>
      <c r="F58" s="18" t="str">
        <f t="shared" si="3"/>
        <v>37RIO AVE 130 SPE LTDA</v>
      </c>
      <c r="G58" s="18">
        <f t="shared" si="4"/>
        <v>37</v>
      </c>
      <c r="H58" s="19" t="str">
        <f t="shared" si="5"/>
        <v>23RIO AVE 130 SPE LTDA</v>
      </c>
      <c r="I58" s="19">
        <f t="shared" si="6"/>
        <v>23</v>
      </c>
      <c r="J58" s="13" t="s">
        <v>102</v>
      </c>
      <c r="K58" s="13" t="s">
        <v>136</v>
      </c>
      <c r="L58" s="13" t="s">
        <v>137</v>
      </c>
      <c r="M58" s="13" t="s">
        <v>55</v>
      </c>
      <c r="N58" s="20">
        <v>1572.19</v>
      </c>
      <c r="O58" s="20">
        <v>2156</v>
      </c>
      <c r="P58" s="21">
        <v>45903</v>
      </c>
      <c r="Q58" s="22"/>
      <c r="R58" s="23">
        <v>2156</v>
      </c>
      <c r="S58" s="24"/>
      <c r="T58" s="23"/>
      <c r="U58" s="24"/>
      <c r="V58" s="23"/>
      <c r="W58" s="23"/>
      <c r="X58" s="24"/>
      <c r="Y58" s="23"/>
      <c r="Z58" s="23"/>
      <c r="AA58" s="23">
        <v>5.5</v>
      </c>
      <c r="AB58" s="23">
        <v>122.12</v>
      </c>
      <c r="AC58" s="24">
        <v>1353.3285714285714</v>
      </c>
      <c r="AD58" s="23">
        <v>36.1</v>
      </c>
      <c r="AE58" s="24">
        <v>400</v>
      </c>
      <c r="AF58" s="23"/>
      <c r="AG58" s="23"/>
      <c r="AH58" s="23">
        <v>23.74</v>
      </c>
      <c r="AI58" s="24">
        <v>0</v>
      </c>
      <c r="AJ58" s="25">
        <v>766.67</v>
      </c>
      <c r="AK58" s="23">
        <v>168.66</v>
      </c>
      <c r="AL58" s="23">
        <v>-33.080000000000005</v>
      </c>
      <c r="AM58" s="24">
        <v>189</v>
      </c>
      <c r="AN58" s="23"/>
      <c r="AO58" s="24"/>
      <c r="AP58" s="23">
        <v>110.25</v>
      </c>
      <c r="AQ58" s="24">
        <v>315</v>
      </c>
      <c r="AR58" s="23">
        <v>61.29</v>
      </c>
      <c r="AS58" s="23">
        <v>-924</v>
      </c>
      <c r="AT58" s="23"/>
      <c r="AU58" s="24"/>
      <c r="AW58" s="27">
        <f t="shared" si="7"/>
        <v>766.67005799999993</v>
      </c>
      <c r="AX58" s="27">
        <f t="shared" si="8"/>
        <v>36.100058000000004</v>
      </c>
      <c r="AY58" s="27">
        <f t="shared" si="9"/>
        <v>122.120058</v>
      </c>
      <c r="AZ58" s="27">
        <f t="shared" si="10"/>
        <v>110.250058</v>
      </c>
    </row>
    <row r="59" spans="1:52" ht="15" customHeight="1" x14ac:dyDescent="0.25">
      <c r="A59" s="13" t="str">
        <f>VLOOKUP(L59,[1]VALIDAÇÃO!$D$13:$E$350,2,0)</f>
        <v>DIRETO</v>
      </c>
      <c r="B59" s="14" t="str">
        <f>C59&amp;J59</f>
        <v>23RIO AVE 130 SPE LTDA</v>
      </c>
      <c r="C59" s="15">
        <f t="shared" si="11"/>
        <v>23</v>
      </c>
      <c r="D59" s="16" t="str">
        <f>E59&amp;J59</f>
        <v>36RIO AVE 130 SPE LTDA</v>
      </c>
      <c r="E59" s="17">
        <f t="shared" si="2"/>
        <v>36</v>
      </c>
      <c r="F59" s="18" t="str">
        <f>G59&amp;J59</f>
        <v>32RIO AVE 130 SPE LTDA</v>
      </c>
      <c r="G59" s="18">
        <f t="shared" si="4"/>
        <v>32</v>
      </c>
      <c r="H59" s="19" t="str">
        <f>I59&amp;J59</f>
        <v>15RIO AVE 130 SPE LTDA</v>
      </c>
      <c r="I59" s="19">
        <f t="shared" si="6"/>
        <v>15</v>
      </c>
      <c r="J59" s="13" t="s">
        <v>102</v>
      </c>
      <c r="K59" s="13" t="s">
        <v>138</v>
      </c>
      <c r="L59" s="13" t="s">
        <v>92</v>
      </c>
      <c r="M59" s="13" t="s">
        <v>55</v>
      </c>
      <c r="N59" s="20">
        <v>152.96</v>
      </c>
      <c r="O59" s="20">
        <v>2156</v>
      </c>
      <c r="P59" s="21">
        <v>45945</v>
      </c>
      <c r="Q59" s="22"/>
      <c r="R59" s="23">
        <v>2156</v>
      </c>
      <c r="S59" s="24"/>
      <c r="T59" s="23"/>
      <c r="U59" s="24"/>
      <c r="V59" s="23"/>
      <c r="W59" s="23"/>
      <c r="X59" s="24"/>
      <c r="Y59" s="23"/>
      <c r="Z59" s="23"/>
      <c r="AA59" s="23">
        <v>7.97</v>
      </c>
      <c r="AB59" s="23">
        <v>151.63999999999999</v>
      </c>
      <c r="AC59" s="24">
        <v>964.85714285714289</v>
      </c>
      <c r="AD59" s="23">
        <v>41.599999999999994</v>
      </c>
      <c r="AE59" s="24">
        <v>398.14285714285711</v>
      </c>
      <c r="AF59" s="23"/>
      <c r="AG59" s="23"/>
      <c r="AH59" s="23">
        <v>33.25</v>
      </c>
      <c r="AI59" s="24">
        <v>0</v>
      </c>
      <c r="AJ59" s="25">
        <v>696.25</v>
      </c>
      <c r="AK59" s="23">
        <v>159.73000000000002</v>
      </c>
      <c r="AL59" s="23">
        <v>-68.25</v>
      </c>
      <c r="AM59" s="24">
        <v>390</v>
      </c>
      <c r="AN59" s="23"/>
      <c r="AO59" s="24"/>
      <c r="AP59" s="23">
        <v>146.95999999999998</v>
      </c>
      <c r="AQ59" s="24">
        <v>616.71428571428567</v>
      </c>
      <c r="AR59" s="23">
        <v>81.889999999999986</v>
      </c>
      <c r="AS59" s="23">
        <v>-924</v>
      </c>
      <c r="AT59" s="23"/>
      <c r="AU59" s="24"/>
      <c r="AW59" s="27">
        <f t="shared" si="7"/>
        <v>696.25005899999996</v>
      </c>
      <c r="AX59" s="27">
        <f t="shared" si="8"/>
        <v>41.600058999999995</v>
      </c>
      <c r="AY59" s="27">
        <f t="shared" si="9"/>
        <v>151.64005899999998</v>
      </c>
      <c r="AZ59" s="27">
        <f t="shared" si="10"/>
        <v>146.96005899999997</v>
      </c>
    </row>
    <row r="60" spans="1:52" ht="15" customHeight="1" x14ac:dyDescent="0.25">
      <c r="A60" s="13" t="str">
        <f>VLOOKUP(L60,[1]VALIDAÇÃO!$D$13:$E$350,2,0)</f>
        <v>DIRETO</v>
      </c>
      <c r="B60" s="14" t="str">
        <f>C60&amp;J60</f>
        <v>55CONDOMINIO DO EDIFICIO EMPRESARIAL MARIE CURIE</v>
      </c>
      <c r="C60" s="15">
        <f t="shared" si="11"/>
        <v>55</v>
      </c>
      <c r="D60" s="16" t="str">
        <f>E60&amp;J60</f>
        <v>106CONDOMINIO DO EDIFICIO EMPRESARIAL MARIE CURIE</v>
      </c>
      <c r="E60" s="17">
        <f t="shared" si="2"/>
        <v>106</v>
      </c>
      <c r="F60" s="18" t="str">
        <f>G60&amp;J60</f>
        <v>32CONDOMINIO DO EDIFICIO EMPRESARIAL MARIE CURIE</v>
      </c>
      <c r="G60" s="18">
        <f t="shared" si="4"/>
        <v>32</v>
      </c>
      <c r="H60" s="19" t="str">
        <f>I60&amp;J60</f>
        <v>19CONDOMINIO DO EDIFICIO EMPRESARIAL MARIE CURIE</v>
      </c>
      <c r="I60" s="19">
        <f t="shared" si="6"/>
        <v>19</v>
      </c>
      <c r="J60" s="13" t="s">
        <v>57</v>
      </c>
      <c r="K60" s="13" t="s">
        <v>139</v>
      </c>
      <c r="L60" s="13" t="s">
        <v>54</v>
      </c>
      <c r="M60" s="13" t="s">
        <v>60</v>
      </c>
      <c r="N60" s="20">
        <v>1241.8900000000001</v>
      </c>
      <c r="O60" s="20">
        <v>1622.13</v>
      </c>
      <c r="P60" s="21">
        <v>45810</v>
      </c>
      <c r="Q60" s="22"/>
      <c r="R60" s="23">
        <v>1622.13</v>
      </c>
      <c r="S60" s="24"/>
      <c r="T60" s="23"/>
      <c r="U60" s="24"/>
      <c r="V60" s="23"/>
      <c r="W60" s="23"/>
      <c r="X60" s="24"/>
      <c r="Y60" s="23"/>
      <c r="Z60" s="23"/>
      <c r="AA60" s="23">
        <v>4.04</v>
      </c>
      <c r="AB60" s="23">
        <v>133.71</v>
      </c>
      <c r="AC60" s="24">
        <v>750.29</v>
      </c>
      <c r="AD60" s="23">
        <v>15.940000000000003</v>
      </c>
      <c r="AE60" s="24">
        <v>148.85714285714286</v>
      </c>
      <c r="AF60" s="23"/>
      <c r="AG60" s="23"/>
      <c r="AH60" s="23">
        <v>17.7</v>
      </c>
      <c r="AI60" s="24">
        <v>0</v>
      </c>
      <c r="AJ60" s="25">
        <v>478.20000000000005</v>
      </c>
      <c r="AK60" s="23">
        <v>100.4</v>
      </c>
      <c r="AL60" s="23"/>
      <c r="AM60" s="24"/>
      <c r="AN60" s="23"/>
      <c r="AO60" s="24"/>
      <c r="AP60" s="23">
        <v>128.82</v>
      </c>
      <c r="AQ60" s="24">
        <v>489.19</v>
      </c>
      <c r="AR60" s="23">
        <v>63.36</v>
      </c>
      <c r="AS60" s="23">
        <v>-695.2</v>
      </c>
      <c r="AT60" s="23"/>
      <c r="AU60" s="24"/>
      <c r="AW60" s="27">
        <f t="shared" si="7"/>
        <v>478.20006000000006</v>
      </c>
      <c r="AX60" s="27">
        <f t="shared" si="8"/>
        <v>15.940060000000003</v>
      </c>
      <c r="AY60" s="27">
        <f t="shared" si="9"/>
        <v>133.71006</v>
      </c>
      <c r="AZ60" s="27">
        <f t="shared" si="10"/>
        <v>128.82005999999998</v>
      </c>
    </row>
    <row r="61" spans="1:52" ht="15" customHeight="1" x14ac:dyDescent="0.25">
      <c r="A61" s="13" t="str">
        <f>VLOOKUP(L61,[1]VALIDAÇÃO!$D$13:$E$350,2,0)</f>
        <v>INDIRETO</v>
      </c>
      <c r="B61" s="14" t="str">
        <f>C61&amp;J61</f>
        <v>164RESERVA DO PAIVA SPE 03 LTDA</v>
      </c>
      <c r="C61" s="15">
        <f t="shared" si="11"/>
        <v>164</v>
      </c>
      <c r="D61" s="16" t="str">
        <f>E61&amp;J61</f>
        <v>9RESERVA DO PAIVA SPE 03 LTDA</v>
      </c>
      <c r="E61" s="17">
        <f t="shared" si="2"/>
        <v>9</v>
      </c>
      <c r="F61" s="18" t="str">
        <f>G61&amp;J61</f>
        <v>18RESERVA DO PAIVA SPE 03 LTDA</v>
      </c>
      <c r="G61" s="18">
        <f t="shared" si="4"/>
        <v>18</v>
      </c>
      <c r="H61" s="19" t="str">
        <f>I61&amp;J61</f>
        <v>41RESERVA DO PAIVA SPE 03 LTDA</v>
      </c>
      <c r="I61" s="19">
        <f t="shared" si="6"/>
        <v>41</v>
      </c>
      <c r="J61" s="13" t="s">
        <v>52</v>
      </c>
      <c r="K61" s="13" t="s">
        <v>140</v>
      </c>
      <c r="L61" s="13" t="s">
        <v>141</v>
      </c>
      <c r="M61" s="13" t="s">
        <v>85</v>
      </c>
      <c r="N61" s="20">
        <v>1896.25</v>
      </c>
      <c r="O61" s="20">
        <v>2943.67</v>
      </c>
      <c r="P61" s="21">
        <v>45791</v>
      </c>
      <c r="Q61" s="22"/>
      <c r="R61" s="23">
        <v>2943.67</v>
      </c>
      <c r="S61" s="24"/>
      <c r="T61" s="23"/>
      <c r="U61" s="24"/>
      <c r="V61" s="23"/>
      <c r="W61" s="23">
        <v>0.64</v>
      </c>
      <c r="X61" s="24">
        <v>17.48</v>
      </c>
      <c r="Y61" s="23"/>
      <c r="Z61" s="23"/>
      <c r="AA61" s="23"/>
      <c r="AB61" s="23">
        <v>338.53999999999996</v>
      </c>
      <c r="AC61" s="24">
        <v>1126.3842857142859</v>
      </c>
      <c r="AD61" s="23">
        <v>1007.6599999999999</v>
      </c>
      <c r="AE61" s="24">
        <v>3398.17</v>
      </c>
      <c r="AF61" s="23"/>
      <c r="AG61" s="23"/>
      <c r="AH61" s="23"/>
      <c r="AI61" s="24"/>
      <c r="AJ61" s="25"/>
      <c r="AK61" s="23"/>
      <c r="AL61" s="23">
        <v>-11.75</v>
      </c>
      <c r="AM61" s="24">
        <v>49.17</v>
      </c>
      <c r="AN61" s="23"/>
      <c r="AO61" s="24"/>
      <c r="AP61" s="23">
        <v>134.59</v>
      </c>
      <c r="AQ61" s="24">
        <v>524.82857142857142</v>
      </c>
      <c r="AR61" s="23">
        <v>332.23</v>
      </c>
      <c r="AS61" s="23">
        <v>-1261.57</v>
      </c>
      <c r="AT61" s="23"/>
      <c r="AU61" s="24"/>
      <c r="AW61" s="27">
        <f t="shared" si="7"/>
        <v>6.0999999999999999E-5</v>
      </c>
      <c r="AX61" s="27">
        <f t="shared" si="8"/>
        <v>1007.6600609999998</v>
      </c>
      <c r="AY61" s="27">
        <f t="shared" si="9"/>
        <v>338.54006099999998</v>
      </c>
      <c r="AZ61" s="27">
        <f t="shared" si="10"/>
        <v>134.59006099999999</v>
      </c>
    </row>
    <row r="62" spans="1:52" ht="15" customHeight="1" x14ac:dyDescent="0.25">
      <c r="A62" s="13" t="str">
        <f>VLOOKUP(L62,[1]VALIDAÇÃO!$D$13:$E$350,2,0)</f>
        <v>INDIRETO</v>
      </c>
      <c r="B62" s="14" t="str">
        <f t="shared" ref="B62:B81" si="12">C62&amp;J62</f>
        <v>28RIO AVE PRAIA HOTEL SPE LTDA.</v>
      </c>
      <c r="C62" s="15">
        <f t="shared" si="11"/>
        <v>28</v>
      </c>
      <c r="D62" s="16" t="str">
        <f t="shared" ref="D62:D81" si="13">E62&amp;J62</f>
        <v>28RIO AVE PRAIA HOTEL SPE LTDA.</v>
      </c>
      <c r="E62" s="17">
        <f t="shared" si="2"/>
        <v>28</v>
      </c>
      <c r="F62" s="18" t="str">
        <f t="shared" ref="F62:F81" si="14">G62&amp;J62</f>
        <v>28RIO AVE PRAIA HOTEL SPE LTDA.</v>
      </c>
      <c r="G62" s="18">
        <f t="shared" si="4"/>
        <v>28</v>
      </c>
      <c r="H62" s="19" t="str">
        <f t="shared" ref="H62:H81" si="15">I62&amp;J62</f>
        <v>28RIO AVE PRAIA HOTEL SPE LTDA.</v>
      </c>
      <c r="I62" s="19">
        <f t="shared" si="6"/>
        <v>28</v>
      </c>
      <c r="J62" s="13" t="s">
        <v>80</v>
      </c>
      <c r="K62" s="13" t="s">
        <v>142</v>
      </c>
      <c r="L62" s="13" t="s">
        <v>116</v>
      </c>
      <c r="M62" s="13" t="s">
        <v>82</v>
      </c>
      <c r="N62" s="20">
        <v>269.86</v>
      </c>
      <c r="O62" s="20">
        <v>641.69000000000005</v>
      </c>
      <c r="P62" s="21">
        <v>45628</v>
      </c>
      <c r="Q62" s="22"/>
      <c r="R62" s="23">
        <v>641.69000000000005</v>
      </c>
      <c r="S62" s="24"/>
      <c r="T62" s="23"/>
      <c r="U62" s="24"/>
      <c r="V62" s="23"/>
      <c r="W62" s="23"/>
      <c r="X62" s="24"/>
      <c r="Y62" s="23"/>
      <c r="Z62" s="23"/>
      <c r="AA62" s="23"/>
      <c r="AB62" s="23"/>
      <c r="AC62" s="24"/>
      <c r="AD62" s="23"/>
      <c r="AE62" s="24"/>
      <c r="AF62" s="23"/>
      <c r="AG62" s="23"/>
      <c r="AH62" s="23"/>
      <c r="AI62" s="24"/>
      <c r="AJ62" s="25"/>
      <c r="AK62" s="23"/>
      <c r="AL62" s="23"/>
      <c r="AM62" s="24"/>
      <c r="AN62" s="23"/>
      <c r="AO62" s="24"/>
      <c r="AP62" s="23"/>
      <c r="AQ62" s="24"/>
      <c r="AR62" s="23"/>
      <c r="AS62" s="23">
        <v>-285.2</v>
      </c>
      <c r="AT62" s="23"/>
      <c r="AU62" s="24"/>
      <c r="AW62" s="27">
        <f t="shared" si="7"/>
        <v>6.2000000000000003E-5</v>
      </c>
      <c r="AX62" s="27">
        <f t="shared" si="8"/>
        <v>6.2000000000000003E-5</v>
      </c>
      <c r="AY62" s="27">
        <f t="shared" si="9"/>
        <v>6.2000000000000003E-5</v>
      </c>
      <c r="AZ62" s="27">
        <f t="shared" si="10"/>
        <v>6.2000000000000003E-5</v>
      </c>
    </row>
    <row r="63" spans="1:52" ht="15" customHeight="1" x14ac:dyDescent="0.25">
      <c r="A63" s="13" t="str">
        <f>VLOOKUP(L63,[1]VALIDAÇÃO!$D$13:$E$350,2,0)</f>
        <v>DIRETO</v>
      </c>
      <c r="B63" s="14" t="str">
        <f t="shared" si="12"/>
        <v>100CONDOMINIO DO EDIFICIO EMPRESARIAL MARIE CURIE</v>
      </c>
      <c r="C63" s="15">
        <f t="shared" si="11"/>
        <v>100</v>
      </c>
      <c r="D63" s="16" t="str">
        <f t="shared" si="13"/>
        <v>36CONDOMINIO DO EDIFICIO EMPRESARIAL MARIE CURIE</v>
      </c>
      <c r="E63" s="17">
        <f t="shared" si="2"/>
        <v>36</v>
      </c>
      <c r="F63" s="18" t="str">
        <f t="shared" si="14"/>
        <v>125CONDOMINIO DO EDIFICIO EMPRESARIAL MARIE CURIE</v>
      </c>
      <c r="G63" s="18">
        <f t="shared" si="4"/>
        <v>125</v>
      </c>
      <c r="H63" s="19" t="str">
        <f t="shared" si="15"/>
        <v>120CONDOMINIO DO EDIFICIO EMPRESARIAL MARIE CURIE</v>
      </c>
      <c r="I63" s="19">
        <f t="shared" si="6"/>
        <v>120</v>
      </c>
      <c r="J63" s="13" t="s">
        <v>57</v>
      </c>
      <c r="K63" s="13" t="s">
        <v>143</v>
      </c>
      <c r="L63" s="13" t="s">
        <v>87</v>
      </c>
      <c r="M63" s="13" t="s">
        <v>60</v>
      </c>
      <c r="N63" s="20">
        <v>1196.01</v>
      </c>
      <c r="O63" s="20">
        <v>2156</v>
      </c>
      <c r="P63" s="21">
        <v>45992</v>
      </c>
      <c r="Q63" s="22"/>
      <c r="R63" s="23">
        <v>2156</v>
      </c>
      <c r="S63" s="24"/>
      <c r="T63" s="23"/>
      <c r="U63" s="24"/>
      <c r="V63" s="23"/>
      <c r="W63" s="23"/>
      <c r="X63" s="24"/>
      <c r="Y63" s="23"/>
      <c r="Z63" s="23"/>
      <c r="AA63" s="23">
        <v>1.4</v>
      </c>
      <c r="AB63" s="23"/>
      <c r="AC63" s="24"/>
      <c r="AD63" s="23">
        <v>213.07</v>
      </c>
      <c r="AE63" s="24">
        <v>716.19</v>
      </c>
      <c r="AF63" s="23"/>
      <c r="AG63" s="23"/>
      <c r="AH63" s="23">
        <v>6.43</v>
      </c>
      <c r="AI63" s="24">
        <v>0</v>
      </c>
      <c r="AJ63" s="25">
        <v>169.23</v>
      </c>
      <c r="AK63" s="23">
        <v>36.79</v>
      </c>
      <c r="AL63" s="23">
        <v>-52.53</v>
      </c>
      <c r="AM63" s="24">
        <v>300.19</v>
      </c>
      <c r="AN63" s="23"/>
      <c r="AO63" s="24"/>
      <c r="AP63" s="23"/>
      <c r="AQ63" s="24"/>
      <c r="AR63" s="23">
        <v>46.32</v>
      </c>
      <c r="AS63" s="23">
        <v>-924</v>
      </c>
      <c r="AT63" s="23"/>
      <c r="AU63" s="24"/>
      <c r="AW63" s="27">
        <f t="shared" si="7"/>
        <v>169.230063</v>
      </c>
      <c r="AX63" s="27">
        <f t="shared" si="8"/>
        <v>213.070063</v>
      </c>
      <c r="AY63" s="27">
        <f t="shared" si="9"/>
        <v>6.3E-5</v>
      </c>
      <c r="AZ63" s="27">
        <f t="shared" si="10"/>
        <v>6.3E-5</v>
      </c>
    </row>
    <row r="64" spans="1:52" ht="15" customHeight="1" x14ac:dyDescent="0.25">
      <c r="A64" s="13" t="str">
        <f>VLOOKUP(L64,[1]VALIDAÇÃO!$D$13:$E$350,2,0)</f>
        <v>DIRETO</v>
      </c>
      <c r="B64" s="14" t="str">
        <f t="shared" si="12"/>
        <v>13RIO AVE 130 SPE LTDA</v>
      </c>
      <c r="C64" s="15">
        <f t="shared" si="11"/>
        <v>13</v>
      </c>
      <c r="D64" s="16" t="str">
        <f t="shared" si="13"/>
        <v>47RIO AVE 130 SPE LTDA</v>
      </c>
      <c r="E64" s="17">
        <f t="shared" si="2"/>
        <v>47</v>
      </c>
      <c r="F64" s="18" t="str">
        <f t="shared" si="14"/>
        <v>21RIO AVE 130 SPE LTDA</v>
      </c>
      <c r="G64" s="18">
        <f t="shared" si="4"/>
        <v>21</v>
      </c>
      <c r="H64" s="19" t="str">
        <f t="shared" si="15"/>
        <v>11RIO AVE 130 SPE LTDA</v>
      </c>
      <c r="I64" s="19">
        <f t="shared" si="6"/>
        <v>11</v>
      </c>
      <c r="J64" s="13" t="s">
        <v>102</v>
      </c>
      <c r="K64" s="13" t="s">
        <v>144</v>
      </c>
      <c r="L64" s="13" t="s">
        <v>92</v>
      </c>
      <c r="M64" s="13" t="s">
        <v>55</v>
      </c>
      <c r="N64" s="20">
        <v>1856.98</v>
      </c>
      <c r="O64" s="20">
        <v>2156</v>
      </c>
      <c r="P64" s="21">
        <v>45840</v>
      </c>
      <c r="Q64" s="22"/>
      <c r="R64" s="23">
        <v>2156</v>
      </c>
      <c r="S64" s="24"/>
      <c r="T64" s="23"/>
      <c r="U64" s="24"/>
      <c r="V64" s="23"/>
      <c r="W64" s="23"/>
      <c r="X64" s="24"/>
      <c r="Y64" s="23"/>
      <c r="Z64" s="23"/>
      <c r="AA64" s="23">
        <v>8.49</v>
      </c>
      <c r="AB64" s="23">
        <v>225.52</v>
      </c>
      <c r="AC64" s="24">
        <v>1224.8571428571427</v>
      </c>
      <c r="AD64" s="23">
        <v>12.45</v>
      </c>
      <c r="AE64" s="24">
        <v>84.428571428571416</v>
      </c>
      <c r="AF64" s="23"/>
      <c r="AG64" s="23"/>
      <c r="AH64" s="23">
        <v>38.5</v>
      </c>
      <c r="AI64" s="24">
        <v>0</v>
      </c>
      <c r="AJ64" s="25">
        <v>857.6</v>
      </c>
      <c r="AK64" s="23">
        <v>186.10000000000002</v>
      </c>
      <c r="AL64" s="23">
        <v>-10.33</v>
      </c>
      <c r="AM64" s="24">
        <v>59</v>
      </c>
      <c r="AN64" s="23"/>
      <c r="AO64" s="24"/>
      <c r="AP64" s="23">
        <v>162.31</v>
      </c>
      <c r="AQ64" s="24">
        <v>601.42857142857133</v>
      </c>
      <c r="AR64" s="23">
        <v>87.72</v>
      </c>
      <c r="AS64" s="23">
        <v>-924</v>
      </c>
      <c r="AT64" s="23"/>
      <c r="AU64" s="24"/>
      <c r="AW64" s="27">
        <f t="shared" si="7"/>
        <v>857.60006399999997</v>
      </c>
      <c r="AX64" s="27">
        <f t="shared" si="8"/>
        <v>12.450063999999999</v>
      </c>
      <c r="AY64" s="27">
        <f t="shared" si="9"/>
        <v>225.52006400000002</v>
      </c>
      <c r="AZ64" s="27">
        <f t="shared" si="10"/>
        <v>162.31006400000001</v>
      </c>
    </row>
    <row r="65" spans="1:52" ht="15" customHeight="1" x14ac:dyDescent="0.25">
      <c r="A65" s="13" t="str">
        <f>VLOOKUP(L65,[1]VALIDAÇÃO!$D$13:$E$350,2,0)</f>
        <v>DIRETO</v>
      </c>
      <c r="B65" s="14" t="str">
        <f t="shared" si="12"/>
        <v>49RIO AVE CARNEIROS 01 SPE LTDA.</v>
      </c>
      <c r="C65" s="15">
        <f t="shared" si="11"/>
        <v>49</v>
      </c>
      <c r="D65" s="16" t="str">
        <f t="shared" si="13"/>
        <v>141RIO AVE CARNEIROS 01 SPE LTDA.</v>
      </c>
      <c r="E65" s="17">
        <f t="shared" si="2"/>
        <v>141</v>
      </c>
      <c r="F65" s="18" t="str">
        <f t="shared" si="14"/>
        <v>50RIO AVE CARNEIROS 01 SPE LTDA.</v>
      </c>
      <c r="G65" s="18">
        <f t="shared" si="4"/>
        <v>50</v>
      </c>
      <c r="H65" s="19" t="str">
        <f t="shared" si="15"/>
        <v>21RIO AVE CARNEIROS 01 SPE LTDA.</v>
      </c>
      <c r="I65" s="19">
        <f t="shared" si="6"/>
        <v>21</v>
      </c>
      <c r="J65" s="13" t="s">
        <v>61</v>
      </c>
      <c r="K65" s="13" t="s">
        <v>145</v>
      </c>
      <c r="L65" s="13" t="s">
        <v>63</v>
      </c>
      <c r="M65" s="13" t="s">
        <v>55</v>
      </c>
      <c r="N65" s="20">
        <v>1406.54</v>
      </c>
      <c r="O65" s="20">
        <v>2156</v>
      </c>
      <c r="P65" s="21">
        <v>45828</v>
      </c>
      <c r="Q65" s="22"/>
      <c r="R65" s="23">
        <v>2156</v>
      </c>
      <c r="S65" s="24"/>
      <c r="T65" s="23"/>
      <c r="U65" s="24"/>
      <c r="V65" s="23"/>
      <c r="W65" s="23"/>
      <c r="X65" s="24"/>
      <c r="Y65" s="23"/>
      <c r="Z65" s="23"/>
      <c r="AA65" s="23">
        <v>1.19</v>
      </c>
      <c r="AB65" s="23">
        <v>115.31</v>
      </c>
      <c r="AC65" s="24">
        <v>922.85714285714289</v>
      </c>
      <c r="AD65" s="23">
        <v>0.66</v>
      </c>
      <c r="AE65" s="24">
        <v>5.2428571428571429</v>
      </c>
      <c r="AF65" s="23"/>
      <c r="AG65" s="23"/>
      <c r="AH65" s="23">
        <v>5.1800000000000006</v>
      </c>
      <c r="AI65" s="24">
        <v>0</v>
      </c>
      <c r="AJ65" s="25">
        <v>444.71999999999997</v>
      </c>
      <c r="AK65" s="23">
        <v>97.470000000000013</v>
      </c>
      <c r="AL65" s="23"/>
      <c r="AM65" s="24"/>
      <c r="AN65" s="23"/>
      <c r="AO65" s="24"/>
      <c r="AP65" s="23">
        <v>51.28</v>
      </c>
      <c r="AQ65" s="24">
        <v>348.81428571428569</v>
      </c>
      <c r="AR65" s="23">
        <v>37.72</v>
      </c>
      <c r="AS65" s="23">
        <v>-924</v>
      </c>
      <c r="AT65" s="23"/>
      <c r="AU65" s="24"/>
      <c r="AW65" s="27">
        <f t="shared" si="7"/>
        <v>444.72006499999998</v>
      </c>
      <c r="AX65" s="27">
        <f t="shared" si="8"/>
        <v>0.66006500000000001</v>
      </c>
      <c r="AY65" s="27">
        <f t="shared" si="9"/>
        <v>115.31006500000001</v>
      </c>
      <c r="AZ65" s="27">
        <f t="shared" si="10"/>
        <v>51.280065</v>
      </c>
    </row>
    <row r="66" spans="1:52" ht="15" customHeight="1" x14ac:dyDescent="0.25">
      <c r="A66" s="13" t="str">
        <f>VLOOKUP(L66,[1]VALIDAÇÃO!$D$13:$E$350,2,0)</f>
        <v>DIRETO</v>
      </c>
      <c r="B66" s="14" t="str">
        <f t="shared" si="12"/>
        <v>86CONDOMINIO DO EDIFICIO EMPRESARIAL MARIE CURIE</v>
      </c>
      <c r="C66" s="15">
        <f t="shared" si="11"/>
        <v>86</v>
      </c>
      <c r="D66" s="16" t="str">
        <f t="shared" si="13"/>
        <v>29CONDOMINIO DO EDIFICIO EMPRESARIAL MARIE CURIE</v>
      </c>
      <c r="E66" s="17">
        <f t="shared" ref="E66:E129" si="16">1+SUMPRODUCT(($J$2:$J$1437=$J66)*(AX$2:AX$1437&gt;AX66))</f>
        <v>29</v>
      </c>
      <c r="F66" s="18" t="str">
        <f t="shared" si="14"/>
        <v>34CONDOMINIO DO EDIFICIO EMPRESARIAL MARIE CURIE</v>
      </c>
      <c r="G66" s="18">
        <f t="shared" ref="G66:G129" si="17">1+SUMPRODUCT(($J$2:$J$1437=$J66)*(AY$2:AY$1437&gt;AY66))</f>
        <v>34</v>
      </c>
      <c r="H66" s="19" t="str">
        <f t="shared" si="15"/>
        <v>26CONDOMINIO DO EDIFICIO EMPRESARIAL MARIE CURIE</v>
      </c>
      <c r="I66" s="19">
        <f t="shared" ref="I66:I129" si="18">1+SUMPRODUCT(($J$2:$J$1437=$J66)*(AZ$2:AZ$1437&gt;AZ66))</f>
        <v>26</v>
      </c>
      <c r="J66" s="13" t="s">
        <v>57</v>
      </c>
      <c r="K66" s="13" t="s">
        <v>146</v>
      </c>
      <c r="L66" s="13" t="s">
        <v>54</v>
      </c>
      <c r="M66" s="13" t="s">
        <v>60</v>
      </c>
      <c r="N66" s="20">
        <v>259.75</v>
      </c>
      <c r="O66" s="20">
        <v>1622.13</v>
      </c>
      <c r="P66" s="21">
        <v>45874</v>
      </c>
      <c r="Q66" s="22"/>
      <c r="R66" s="23">
        <v>1622.13</v>
      </c>
      <c r="S66" s="24"/>
      <c r="T66" s="23"/>
      <c r="U66" s="24"/>
      <c r="V66" s="23"/>
      <c r="W66" s="23"/>
      <c r="X66" s="24"/>
      <c r="Y66" s="23"/>
      <c r="Z66" s="23"/>
      <c r="AA66" s="23">
        <v>2.94</v>
      </c>
      <c r="AB66" s="23">
        <v>129.07</v>
      </c>
      <c r="AC66" s="24">
        <v>987.21428571428567</v>
      </c>
      <c r="AD66" s="23">
        <v>258.8</v>
      </c>
      <c r="AE66" s="24">
        <v>2016.1428571428571</v>
      </c>
      <c r="AF66" s="23"/>
      <c r="AG66" s="23"/>
      <c r="AH66" s="23">
        <v>14.23</v>
      </c>
      <c r="AI66" s="24">
        <v>0</v>
      </c>
      <c r="AJ66" s="25">
        <v>214.85</v>
      </c>
      <c r="AK66" s="23">
        <v>45.85</v>
      </c>
      <c r="AL66" s="23"/>
      <c r="AM66" s="24"/>
      <c r="AN66" s="23"/>
      <c r="AO66" s="24"/>
      <c r="AP66" s="23">
        <v>24.04</v>
      </c>
      <c r="AQ66" s="24">
        <v>252.5</v>
      </c>
      <c r="AR66" s="23">
        <v>85.4</v>
      </c>
      <c r="AS66" s="23">
        <v>-695.2</v>
      </c>
      <c r="AT66" s="23"/>
      <c r="AU66" s="24"/>
      <c r="AW66" s="27">
        <f t="shared" ref="AW66:AW129" si="19">AJ66+ROW(C66)/1000000</f>
        <v>214.850066</v>
      </c>
      <c r="AX66" s="27">
        <f t="shared" ref="AX66:AX129" si="20">AD66+ROW(C66)/1000000</f>
        <v>258.80006600000002</v>
      </c>
      <c r="AY66" s="27">
        <f t="shared" ref="AY66:AY129" si="21">AB66+ROW(A66)/1000000</f>
        <v>129.070066</v>
      </c>
      <c r="AZ66" s="27">
        <f t="shared" ref="AZ66:AZ129" si="22">AP66+ROW(A66)/1000000</f>
        <v>24.040065999999999</v>
      </c>
    </row>
    <row r="67" spans="1:52" ht="15" customHeight="1" x14ac:dyDescent="0.25">
      <c r="A67" s="13" t="str">
        <f>VLOOKUP(L67,[1]VALIDAÇÃO!$D$13:$E$350,2,0)</f>
        <v>DIRETO</v>
      </c>
      <c r="B67" s="14" t="str">
        <f t="shared" si="12"/>
        <v>105RESERVA DO PAIVA SPE 03 LTDA</v>
      </c>
      <c r="C67" s="15">
        <f t="shared" ref="C67:C130" si="23">1+SUMPRODUCT(($J$2:$J$1437=J67)*($AW$2:$AW$1437&gt;AW67))</f>
        <v>105</v>
      </c>
      <c r="D67" s="16" t="str">
        <f t="shared" si="13"/>
        <v>112RESERVA DO PAIVA SPE 03 LTDA</v>
      </c>
      <c r="E67" s="17">
        <f t="shared" si="16"/>
        <v>112</v>
      </c>
      <c r="F67" s="18" t="str">
        <f t="shared" si="14"/>
        <v>163RESERVA DO PAIVA SPE 03 LTDA</v>
      </c>
      <c r="G67" s="18">
        <f t="shared" si="17"/>
        <v>163</v>
      </c>
      <c r="H67" s="19" t="str">
        <f t="shared" si="15"/>
        <v>158RESERVA DO PAIVA SPE 03 LTDA</v>
      </c>
      <c r="I67" s="19">
        <f t="shared" si="18"/>
        <v>158</v>
      </c>
      <c r="J67" s="13" t="s">
        <v>52</v>
      </c>
      <c r="K67" s="13" t="s">
        <v>147</v>
      </c>
      <c r="L67" s="13" t="s">
        <v>87</v>
      </c>
      <c r="M67" s="13" t="s">
        <v>55</v>
      </c>
      <c r="N67" s="20">
        <v>883.26</v>
      </c>
      <c r="O67" s="20">
        <v>2156</v>
      </c>
      <c r="P67" s="21">
        <v>45810</v>
      </c>
      <c r="Q67" s="22"/>
      <c r="R67" s="23">
        <v>2156</v>
      </c>
      <c r="S67" s="24"/>
      <c r="T67" s="23"/>
      <c r="U67" s="24"/>
      <c r="V67" s="23"/>
      <c r="W67" s="23"/>
      <c r="X67" s="24"/>
      <c r="Y67" s="23"/>
      <c r="Z67" s="23"/>
      <c r="AA67" s="23">
        <v>0.15</v>
      </c>
      <c r="AB67" s="23"/>
      <c r="AC67" s="24"/>
      <c r="AD67" s="23">
        <v>95.800000000000011</v>
      </c>
      <c r="AE67" s="24">
        <v>411.28428571428572</v>
      </c>
      <c r="AF67" s="23"/>
      <c r="AG67" s="23"/>
      <c r="AH67" s="23">
        <v>0.66999999999999993</v>
      </c>
      <c r="AI67" s="24">
        <v>0</v>
      </c>
      <c r="AJ67" s="25">
        <v>110.29</v>
      </c>
      <c r="AK67" s="23">
        <v>25.68</v>
      </c>
      <c r="AL67" s="23">
        <v>-73.53</v>
      </c>
      <c r="AM67" s="24">
        <v>420.17</v>
      </c>
      <c r="AN67" s="23"/>
      <c r="AO67" s="24"/>
      <c r="AP67" s="23"/>
      <c r="AQ67" s="24"/>
      <c r="AR67" s="23">
        <v>20.669999999999998</v>
      </c>
      <c r="AS67" s="23">
        <v>-924</v>
      </c>
      <c r="AT67" s="23"/>
      <c r="AU67" s="24"/>
      <c r="AW67" s="27">
        <f t="shared" si="19"/>
        <v>110.29006700000001</v>
      </c>
      <c r="AX67" s="27">
        <f t="shared" si="20"/>
        <v>95.800067000000013</v>
      </c>
      <c r="AY67" s="27">
        <f t="shared" si="21"/>
        <v>6.7000000000000002E-5</v>
      </c>
      <c r="AZ67" s="27">
        <f t="shared" si="22"/>
        <v>6.7000000000000002E-5</v>
      </c>
    </row>
    <row r="68" spans="1:52" ht="15" customHeight="1" x14ac:dyDescent="0.25">
      <c r="A68" s="13" t="str">
        <f>VLOOKUP(L68,[1]VALIDAÇÃO!$D$13:$E$350,2,0)</f>
        <v>DIRETO</v>
      </c>
      <c r="B68" s="14" t="str">
        <f t="shared" si="12"/>
        <v>81CONDOMINIO DO EDIFICIO EMPRESARIAL MARIE CURIE</v>
      </c>
      <c r="C68" s="15">
        <f t="shared" si="23"/>
        <v>81</v>
      </c>
      <c r="D68" s="16" t="str">
        <f t="shared" si="13"/>
        <v>41CONDOMINIO DO EDIFICIO EMPRESARIAL MARIE CURIE</v>
      </c>
      <c r="E68" s="17">
        <f t="shared" si="16"/>
        <v>41</v>
      </c>
      <c r="F68" s="18" t="str">
        <f t="shared" si="14"/>
        <v>57CONDOMINIO DO EDIFICIO EMPRESARIAL MARIE CURIE</v>
      </c>
      <c r="G68" s="18">
        <f t="shared" si="17"/>
        <v>57</v>
      </c>
      <c r="H68" s="19" t="str">
        <f t="shared" si="15"/>
        <v>35CONDOMINIO DO EDIFICIO EMPRESARIAL MARIE CURIE</v>
      </c>
      <c r="I68" s="19">
        <f t="shared" si="18"/>
        <v>35</v>
      </c>
      <c r="J68" s="13" t="s">
        <v>57</v>
      </c>
      <c r="K68" s="13" t="s">
        <v>148</v>
      </c>
      <c r="L68" s="13" t="s">
        <v>149</v>
      </c>
      <c r="M68" s="13" t="s">
        <v>60</v>
      </c>
      <c r="N68" s="20">
        <v>987.24</v>
      </c>
      <c r="O68" s="20">
        <v>1622.13</v>
      </c>
      <c r="P68" s="21">
        <v>45726</v>
      </c>
      <c r="Q68" s="22"/>
      <c r="R68" s="23">
        <v>1622.13</v>
      </c>
      <c r="S68" s="24"/>
      <c r="T68" s="23"/>
      <c r="U68" s="24"/>
      <c r="V68" s="23"/>
      <c r="W68" s="23"/>
      <c r="X68" s="24"/>
      <c r="Y68" s="23"/>
      <c r="Z68" s="23"/>
      <c r="AA68" s="23">
        <v>1.83</v>
      </c>
      <c r="AB68" s="23">
        <v>54.73</v>
      </c>
      <c r="AC68" s="24">
        <v>374.2714285714286</v>
      </c>
      <c r="AD68" s="23">
        <v>193.37</v>
      </c>
      <c r="AE68" s="24">
        <v>950.38571428571424</v>
      </c>
      <c r="AF68" s="23"/>
      <c r="AG68" s="23"/>
      <c r="AH68" s="23">
        <v>8.4600000000000009</v>
      </c>
      <c r="AI68" s="24">
        <v>0</v>
      </c>
      <c r="AJ68" s="25">
        <v>256.46999999999997</v>
      </c>
      <c r="AK68" s="23">
        <v>55.91</v>
      </c>
      <c r="AL68" s="23"/>
      <c r="AM68" s="24"/>
      <c r="AN68" s="23"/>
      <c r="AO68" s="24"/>
      <c r="AP68" s="23">
        <v>8.7100000000000009</v>
      </c>
      <c r="AQ68" s="24">
        <v>50.628571428571426</v>
      </c>
      <c r="AR68" s="23">
        <v>53.569999999999993</v>
      </c>
      <c r="AS68" s="23">
        <v>-695.2</v>
      </c>
      <c r="AT68" s="23"/>
      <c r="AU68" s="24"/>
      <c r="AW68" s="27">
        <f t="shared" si="19"/>
        <v>256.47006799999997</v>
      </c>
      <c r="AX68" s="27">
        <f t="shared" si="20"/>
        <v>193.370068</v>
      </c>
      <c r="AY68" s="27">
        <f t="shared" si="21"/>
        <v>54.730067999999996</v>
      </c>
      <c r="AZ68" s="27">
        <f t="shared" si="22"/>
        <v>8.7100680000000015</v>
      </c>
    </row>
    <row r="69" spans="1:52" ht="15" customHeight="1" x14ac:dyDescent="0.25">
      <c r="A69" s="13" t="str">
        <f>VLOOKUP(L69,[1]VALIDAÇÃO!$D$13:$E$350,2,0)</f>
        <v>DIRETO</v>
      </c>
      <c r="B69" s="14" t="str">
        <f t="shared" si="12"/>
        <v>27RESERVA DO PAIVA SPE 01 LTDA.</v>
      </c>
      <c r="C69" s="15">
        <f t="shared" si="23"/>
        <v>27</v>
      </c>
      <c r="D69" s="16" t="str">
        <f t="shared" si="13"/>
        <v>16RESERVA DO PAIVA SPE 01 LTDA.</v>
      </c>
      <c r="E69" s="17">
        <f t="shared" si="16"/>
        <v>16</v>
      </c>
      <c r="F69" s="18" t="str">
        <f t="shared" si="14"/>
        <v>13RESERVA DO PAIVA SPE 01 LTDA.</v>
      </c>
      <c r="G69" s="18">
        <f t="shared" si="17"/>
        <v>13</v>
      </c>
      <c r="H69" s="19" t="str">
        <f t="shared" si="15"/>
        <v>8RESERVA DO PAIVA SPE 01 LTDA.</v>
      </c>
      <c r="I69" s="19">
        <f t="shared" si="18"/>
        <v>8</v>
      </c>
      <c r="J69" s="13" t="s">
        <v>68</v>
      </c>
      <c r="K69" s="13" t="s">
        <v>150</v>
      </c>
      <c r="L69" s="13" t="s">
        <v>71</v>
      </c>
      <c r="M69" s="13" t="s">
        <v>55</v>
      </c>
      <c r="N69" s="20">
        <v>2092.16</v>
      </c>
      <c r="O69" s="20">
        <v>1622.13</v>
      </c>
      <c r="P69" s="21">
        <v>45488</v>
      </c>
      <c r="Q69" s="22"/>
      <c r="R69" s="23">
        <v>1622.13</v>
      </c>
      <c r="S69" s="24"/>
      <c r="T69" s="23"/>
      <c r="U69" s="24"/>
      <c r="V69" s="23"/>
      <c r="W69" s="23"/>
      <c r="X69" s="24"/>
      <c r="Y69" s="23"/>
      <c r="Z69" s="23"/>
      <c r="AA69" s="23">
        <v>45.209999999999994</v>
      </c>
      <c r="AB69" s="23">
        <v>471.85</v>
      </c>
      <c r="AC69" s="24">
        <v>2340.58</v>
      </c>
      <c r="AD69" s="23">
        <v>723.90000000000009</v>
      </c>
      <c r="AE69" s="24">
        <v>3483.1385714285716</v>
      </c>
      <c r="AF69" s="23"/>
      <c r="AG69" s="23"/>
      <c r="AH69" s="23">
        <v>204.05</v>
      </c>
      <c r="AI69" s="24">
        <v>0</v>
      </c>
      <c r="AJ69" s="25">
        <v>828.8</v>
      </c>
      <c r="AK69" s="23">
        <v>181.20000000000002</v>
      </c>
      <c r="AL69" s="23"/>
      <c r="AM69" s="24"/>
      <c r="AN69" s="23"/>
      <c r="AO69" s="24"/>
      <c r="AP69" s="23">
        <v>858.81999999999994</v>
      </c>
      <c r="AQ69" s="24">
        <v>3300.7642857142855</v>
      </c>
      <c r="AR69" s="23">
        <v>455.55</v>
      </c>
      <c r="AS69" s="23">
        <v>-695.2</v>
      </c>
      <c r="AT69" s="23"/>
      <c r="AU69" s="24"/>
      <c r="AW69" s="27">
        <f t="shared" si="19"/>
        <v>828.80006900000001</v>
      </c>
      <c r="AX69" s="27">
        <f t="shared" si="20"/>
        <v>723.90006900000014</v>
      </c>
      <c r="AY69" s="27">
        <f t="shared" si="21"/>
        <v>471.85006900000002</v>
      </c>
      <c r="AZ69" s="27">
        <f t="shared" si="22"/>
        <v>858.82006899999999</v>
      </c>
    </row>
    <row r="70" spans="1:52" ht="15" customHeight="1" x14ac:dyDescent="0.25">
      <c r="A70" s="13" t="str">
        <f>VLOOKUP(L70,[1]VALIDAÇÃO!$D$13:$E$350,2,0)</f>
        <v>DIRETO</v>
      </c>
      <c r="B70" s="14" t="str">
        <f t="shared" si="12"/>
        <v>127RESERVA DO PAIVA SPE 03 LTDA</v>
      </c>
      <c r="C70" s="15">
        <f t="shared" si="23"/>
        <v>127</v>
      </c>
      <c r="D70" s="16" t="str">
        <f t="shared" si="13"/>
        <v>106RESERVA DO PAIVA SPE 03 LTDA</v>
      </c>
      <c r="E70" s="17">
        <f t="shared" si="16"/>
        <v>106</v>
      </c>
      <c r="F70" s="18" t="str">
        <f t="shared" si="14"/>
        <v>104RESERVA DO PAIVA SPE 03 LTDA</v>
      </c>
      <c r="G70" s="18">
        <f t="shared" si="17"/>
        <v>104</v>
      </c>
      <c r="H70" s="19" t="str">
        <f t="shared" si="15"/>
        <v>157RESERVA DO PAIVA SPE 03 LTDA</v>
      </c>
      <c r="I70" s="19">
        <f t="shared" si="18"/>
        <v>157</v>
      </c>
      <c r="J70" s="13" t="s">
        <v>52</v>
      </c>
      <c r="K70" s="13" t="s">
        <v>151</v>
      </c>
      <c r="L70" s="13" t="s">
        <v>54</v>
      </c>
      <c r="M70" s="13" t="s">
        <v>55</v>
      </c>
      <c r="N70" s="20">
        <v>287.02</v>
      </c>
      <c r="O70" s="20">
        <v>1622.13</v>
      </c>
      <c r="P70" s="21">
        <v>45873</v>
      </c>
      <c r="Q70" s="22"/>
      <c r="R70" s="23">
        <v>1622.13</v>
      </c>
      <c r="S70" s="24"/>
      <c r="T70" s="23"/>
      <c r="U70" s="24"/>
      <c r="V70" s="23"/>
      <c r="W70" s="23"/>
      <c r="X70" s="24"/>
      <c r="Y70" s="23"/>
      <c r="Z70" s="23"/>
      <c r="AA70" s="23">
        <v>0.1</v>
      </c>
      <c r="AB70" s="23">
        <v>41.34</v>
      </c>
      <c r="AC70" s="24">
        <v>510.71428571428567</v>
      </c>
      <c r="AD70" s="23">
        <v>109.63</v>
      </c>
      <c r="AE70" s="24">
        <v>1089.6428571428571</v>
      </c>
      <c r="AF70" s="23"/>
      <c r="AG70" s="23"/>
      <c r="AH70" s="23">
        <v>0.62</v>
      </c>
      <c r="AI70" s="24">
        <v>0</v>
      </c>
      <c r="AJ70" s="25">
        <v>13.66</v>
      </c>
      <c r="AK70" s="23">
        <v>2.17</v>
      </c>
      <c r="AL70" s="23"/>
      <c r="AM70" s="24"/>
      <c r="AN70" s="23">
        <v>-231.73</v>
      </c>
      <c r="AO70" s="24">
        <v>4</v>
      </c>
      <c r="AP70" s="23"/>
      <c r="AQ70" s="24"/>
      <c r="AR70" s="23">
        <v>33.880000000000003</v>
      </c>
      <c r="AS70" s="23">
        <v>-695.2</v>
      </c>
      <c r="AT70" s="23">
        <v>-173.8</v>
      </c>
      <c r="AU70" s="24">
        <v>3</v>
      </c>
      <c r="AW70" s="27">
        <f t="shared" si="19"/>
        <v>13.660069999999999</v>
      </c>
      <c r="AX70" s="27">
        <f t="shared" si="20"/>
        <v>109.63006999999999</v>
      </c>
      <c r="AY70" s="27">
        <f t="shared" si="21"/>
        <v>41.340070000000004</v>
      </c>
      <c r="AZ70" s="27">
        <f t="shared" si="22"/>
        <v>6.9999999999999994E-5</v>
      </c>
    </row>
    <row r="71" spans="1:52" ht="15" customHeight="1" x14ac:dyDescent="0.25">
      <c r="A71" s="13" t="str">
        <f>VLOOKUP(L71,[1]VALIDAÇÃO!$D$13:$E$350,2,0)</f>
        <v>DIRETO</v>
      </c>
      <c r="B71" s="14" t="str">
        <f t="shared" si="12"/>
        <v>31RESERVA DO PAIVA SPE 01 LTDA.</v>
      </c>
      <c r="C71" s="15">
        <f t="shared" si="23"/>
        <v>31</v>
      </c>
      <c r="D71" s="16" t="str">
        <f t="shared" si="13"/>
        <v>54RESERVA DO PAIVA SPE 01 LTDA.</v>
      </c>
      <c r="E71" s="17">
        <f t="shared" si="16"/>
        <v>54</v>
      </c>
      <c r="F71" s="18" t="str">
        <f t="shared" si="14"/>
        <v>37RESERVA DO PAIVA SPE 01 LTDA.</v>
      </c>
      <c r="G71" s="18">
        <f t="shared" si="17"/>
        <v>37</v>
      </c>
      <c r="H71" s="19" t="str">
        <f t="shared" si="15"/>
        <v>13RESERVA DO PAIVA SPE 01 LTDA.</v>
      </c>
      <c r="I71" s="19">
        <f t="shared" si="18"/>
        <v>13</v>
      </c>
      <c r="J71" s="13" t="s">
        <v>68</v>
      </c>
      <c r="K71" s="13" t="s">
        <v>152</v>
      </c>
      <c r="L71" s="13" t="s">
        <v>153</v>
      </c>
      <c r="M71" s="13" t="s">
        <v>55</v>
      </c>
      <c r="N71" s="20">
        <v>2782.3</v>
      </c>
      <c r="O71" s="20">
        <v>2156</v>
      </c>
      <c r="P71" s="21">
        <v>45972</v>
      </c>
      <c r="Q71" s="22"/>
      <c r="R71" s="23">
        <v>2156</v>
      </c>
      <c r="S71" s="24"/>
      <c r="T71" s="23"/>
      <c r="U71" s="24"/>
      <c r="V71" s="23"/>
      <c r="W71" s="23"/>
      <c r="X71" s="24"/>
      <c r="Y71" s="23"/>
      <c r="Z71" s="23"/>
      <c r="AA71" s="23">
        <v>25.13</v>
      </c>
      <c r="AB71" s="23">
        <v>292.74</v>
      </c>
      <c r="AC71" s="24">
        <v>984</v>
      </c>
      <c r="AD71" s="23">
        <v>118.59</v>
      </c>
      <c r="AE71" s="24">
        <v>446.6</v>
      </c>
      <c r="AF71" s="23"/>
      <c r="AG71" s="23"/>
      <c r="AH71" s="23">
        <v>114.84</v>
      </c>
      <c r="AI71" s="24">
        <v>0</v>
      </c>
      <c r="AJ71" s="25">
        <v>776.67</v>
      </c>
      <c r="AK71" s="23">
        <v>171.94</v>
      </c>
      <c r="AL71" s="23"/>
      <c r="AM71" s="24"/>
      <c r="AN71" s="23"/>
      <c r="AO71" s="24"/>
      <c r="AP71" s="23">
        <v>602.91000000000008</v>
      </c>
      <c r="AQ71" s="24">
        <v>2930.6000000000004</v>
      </c>
      <c r="AR71" s="23">
        <v>230.62</v>
      </c>
      <c r="AS71" s="23">
        <v>-924</v>
      </c>
      <c r="AT71" s="23"/>
      <c r="AU71" s="24"/>
      <c r="AW71" s="27">
        <f t="shared" si="19"/>
        <v>776.67007100000001</v>
      </c>
      <c r="AX71" s="27">
        <f t="shared" si="20"/>
        <v>118.59007100000001</v>
      </c>
      <c r="AY71" s="27">
        <f t="shared" si="21"/>
        <v>292.740071</v>
      </c>
      <c r="AZ71" s="27">
        <f t="shared" si="22"/>
        <v>602.91007100000013</v>
      </c>
    </row>
    <row r="72" spans="1:52" ht="15" customHeight="1" x14ac:dyDescent="0.25">
      <c r="A72" s="13" t="str">
        <f>VLOOKUP(L72,[1]VALIDAÇÃO!$D$13:$E$350,2,0)</f>
        <v>DIRETO</v>
      </c>
      <c r="B72" s="14" t="str">
        <f t="shared" si="12"/>
        <v>27RESERVA DO PAIVA SPE 03 LTDA</v>
      </c>
      <c r="C72" s="15">
        <f t="shared" si="23"/>
        <v>27</v>
      </c>
      <c r="D72" s="16" t="str">
        <f t="shared" si="13"/>
        <v>103RESERVA DO PAIVA SPE 03 LTDA</v>
      </c>
      <c r="E72" s="17">
        <f t="shared" si="16"/>
        <v>103</v>
      </c>
      <c r="F72" s="18" t="str">
        <f t="shared" si="14"/>
        <v>94RESERVA DO PAIVA SPE 03 LTDA</v>
      </c>
      <c r="G72" s="18">
        <f t="shared" si="17"/>
        <v>94</v>
      </c>
      <c r="H72" s="19" t="str">
        <f t="shared" si="15"/>
        <v>156RESERVA DO PAIVA SPE 03 LTDA</v>
      </c>
      <c r="I72" s="19">
        <f t="shared" si="18"/>
        <v>156</v>
      </c>
      <c r="J72" s="13" t="s">
        <v>52</v>
      </c>
      <c r="K72" s="13" t="s">
        <v>154</v>
      </c>
      <c r="L72" s="13" t="s">
        <v>63</v>
      </c>
      <c r="M72" s="13" t="s">
        <v>55</v>
      </c>
      <c r="N72" s="20">
        <v>1416.88</v>
      </c>
      <c r="O72" s="20">
        <v>2156</v>
      </c>
      <c r="P72" s="21">
        <v>45903</v>
      </c>
      <c r="Q72" s="22"/>
      <c r="R72" s="23">
        <v>2156</v>
      </c>
      <c r="S72" s="24"/>
      <c r="T72" s="23"/>
      <c r="U72" s="24"/>
      <c r="V72" s="23"/>
      <c r="W72" s="23"/>
      <c r="X72" s="24"/>
      <c r="Y72" s="23"/>
      <c r="Z72" s="23"/>
      <c r="AA72" s="23">
        <v>2.09</v>
      </c>
      <c r="AB72" s="23">
        <v>62.739999999999995</v>
      </c>
      <c r="AC72" s="24">
        <v>695.24285714285713</v>
      </c>
      <c r="AD72" s="23">
        <v>131.49</v>
      </c>
      <c r="AE72" s="24">
        <v>1121.7142857142858</v>
      </c>
      <c r="AF72" s="23"/>
      <c r="AG72" s="23"/>
      <c r="AH72" s="23">
        <v>8.9400000000000013</v>
      </c>
      <c r="AI72" s="24">
        <v>0</v>
      </c>
      <c r="AJ72" s="25">
        <v>482.49</v>
      </c>
      <c r="AK72" s="23">
        <v>114.60000000000001</v>
      </c>
      <c r="AL72" s="23"/>
      <c r="AM72" s="24"/>
      <c r="AN72" s="23"/>
      <c r="AO72" s="24"/>
      <c r="AP72" s="23"/>
      <c r="AQ72" s="24"/>
      <c r="AR72" s="23">
        <v>42.96</v>
      </c>
      <c r="AS72" s="23">
        <v>-924</v>
      </c>
      <c r="AT72" s="23"/>
      <c r="AU72" s="24"/>
      <c r="AW72" s="27">
        <f t="shared" si="19"/>
        <v>482.490072</v>
      </c>
      <c r="AX72" s="27">
        <f t="shared" si="20"/>
        <v>131.490072</v>
      </c>
      <c r="AY72" s="27">
        <f t="shared" si="21"/>
        <v>62.740071999999998</v>
      </c>
      <c r="AZ72" s="27">
        <f t="shared" si="22"/>
        <v>7.2000000000000002E-5</v>
      </c>
    </row>
    <row r="73" spans="1:52" ht="15" customHeight="1" x14ac:dyDescent="0.25">
      <c r="A73" s="13" t="str">
        <f>VLOOKUP(L73,[1]VALIDAÇÃO!$D$13:$E$350,2,0)</f>
        <v>DIRETO</v>
      </c>
      <c r="B73" s="14" t="str">
        <f t="shared" si="12"/>
        <v>40RESERVA DO PAIVA SPE 01 LTDA.</v>
      </c>
      <c r="C73" s="15">
        <f t="shared" si="23"/>
        <v>40</v>
      </c>
      <c r="D73" s="16" t="str">
        <f t="shared" si="13"/>
        <v>46RESERVA DO PAIVA SPE 01 LTDA.</v>
      </c>
      <c r="E73" s="17">
        <f t="shared" si="16"/>
        <v>46</v>
      </c>
      <c r="F73" s="18" t="str">
        <f t="shared" si="14"/>
        <v>33RESERVA DO PAIVA SPE 01 LTDA.</v>
      </c>
      <c r="G73" s="18">
        <f t="shared" si="17"/>
        <v>33</v>
      </c>
      <c r="H73" s="19" t="str">
        <f t="shared" si="15"/>
        <v>37RESERVA DO PAIVA SPE 01 LTDA.</v>
      </c>
      <c r="I73" s="19">
        <f t="shared" si="18"/>
        <v>37</v>
      </c>
      <c r="J73" s="13" t="s">
        <v>68</v>
      </c>
      <c r="K73" s="13" t="s">
        <v>155</v>
      </c>
      <c r="L73" s="13" t="s">
        <v>54</v>
      </c>
      <c r="M73" s="13" t="s">
        <v>55</v>
      </c>
      <c r="N73" s="20">
        <v>2047.38</v>
      </c>
      <c r="O73" s="20">
        <v>1622.13</v>
      </c>
      <c r="P73" s="21">
        <v>45890</v>
      </c>
      <c r="Q73" s="22"/>
      <c r="R73" s="23">
        <v>1622.13</v>
      </c>
      <c r="S73" s="24"/>
      <c r="T73" s="23"/>
      <c r="U73" s="24"/>
      <c r="V73" s="23"/>
      <c r="W73" s="23"/>
      <c r="X73" s="24"/>
      <c r="Y73" s="23"/>
      <c r="Z73" s="23"/>
      <c r="AA73" s="23">
        <v>21.709999999999997</v>
      </c>
      <c r="AB73" s="23">
        <v>315.83000000000004</v>
      </c>
      <c r="AC73" s="24">
        <v>2132</v>
      </c>
      <c r="AD73" s="23">
        <v>169.48000000000002</v>
      </c>
      <c r="AE73" s="24">
        <v>1382.1428571428571</v>
      </c>
      <c r="AF73" s="23"/>
      <c r="AG73" s="23"/>
      <c r="AH73" s="23">
        <v>98.929999999999993</v>
      </c>
      <c r="AI73" s="24">
        <v>0</v>
      </c>
      <c r="AJ73" s="25">
        <v>706.17</v>
      </c>
      <c r="AK73" s="23">
        <v>155.20000000000002</v>
      </c>
      <c r="AL73" s="23"/>
      <c r="AM73" s="24"/>
      <c r="AN73" s="23"/>
      <c r="AO73" s="24"/>
      <c r="AP73" s="23">
        <v>355.43</v>
      </c>
      <c r="AQ73" s="24">
        <v>2040.4285714285713</v>
      </c>
      <c r="AR73" s="23">
        <v>185.53</v>
      </c>
      <c r="AS73" s="23">
        <v>-695.2</v>
      </c>
      <c r="AT73" s="23"/>
      <c r="AU73" s="24"/>
      <c r="AW73" s="27">
        <f t="shared" si="19"/>
        <v>706.170073</v>
      </c>
      <c r="AX73" s="27">
        <f t="shared" si="20"/>
        <v>169.480073</v>
      </c>
      <c r="AY73" s="27">
        <f t="shared" si="21"/>
        <v>315.83007300000003</v>
      </c>
      <c r="AZ73" s="27">
        <f t="shared" si="22"/>
        <v>355.43007299999999</v>
      </c>
    </row>
    <row r="74" spans="1:52" ht="15" customHeight="1" x14ac:dyDescent="0.25">
      <c r="A74" s="13" t="str">
        <f>VLOOKUP(L74,[1]VALIDAÇÃO!$D$13:$E$350,2,0)</f>
        <v>DIRETO</v>
      </c>
      <c r="B74" s="14" t="str">
        <f t="shared" si="12"/>
        <v>96RESERVA DO PAIVA SPE 03 LTDA</v>
      </c>
      <c r="C74" s="15">
        <f t="shared" si="23"/>
        <v>96</v>
      </c>
      <c r="D74" s="16" t="str">
        <f t="shared" si="13"/>
        <v>38RESERVA DO PAIVA SPE 03 LTDA</v>
      </c>
      <c r="E74" s="17">
        <f t="shared" si="16"/>
        <v>38</v>
      </c>
      <c r="F74" s="18" t="str">
        <f t="shared" si="14"/>
        <v>57RESERVA DO PAIVA SPE 03 LTDA</v>
      </c>
      <c r="G74" s="18">
        <f t="shared" si="17"/>
        <v>57</v>
      </c>
      <c r="H74" s="19" t="str">
        <f t="shared" si="15"/>
        <v>10RESERVA DO PAIVA SPE 03 LTDA</v>
      </c>
      <c r="I74" s="19">
        <f t="shared" si="18"/>
        <v>10</v>
      </c>
      <c r="J74" s="13" t="s">
        <v>52</v>
      </c>
      <c r="K74" s="13" t="s">
        <v>156</v>
      </c>
      <c r="L74" s="13" t="s">
        <v>54</v>
      </c>
      <c r="M74" s="13" t="s">
        <v>55</v>
      </c>
      <c r="N74" s="20">
        <v>1954.1</v>
      </c>
      <c r="O74" s="20">
        <v>1622.13</v>
      </c>
      <c r="P74" s="21">
        <v>45964</v>
      </c>
      <c r="Q74" s="22"/>
      <c r="R74" s="23">
        <v>1622.13</v>
      </c>
      <c r="S74" s="24"/>
      <c r="T74" s="23"/>
      <c r="U74" s="24"/>
      <c r="V74" s="23"/>
      <c r="W74" s="23"/>
      <c r="X74" s="24"/>
      <c r="Y74" s="23"/>
      <c r="Z74" s="23"/>
      <c r="AA74" s="23">
        <v>6.07</v>
      </c>
      <c r="AB74" s="23">
        <v>147.91000000000003</v>
      </c>
      <c r="AC74" s="24">
        <v>1324.8000000000002</v>
      </c>
      <c r="AD74" s="23">
        <v>392.93</v>
      </c>
      <c r="AE74" s="24">
        <v>3052.8</v>
      </c>
      <c r="AF74" s="23"/>
      <c r="AG74" s="23"/>
      <c r="AH74" s="23">
        <v>27.410000000000004</v>
      </c>
      <c r="AI74" s="24">
        <v>0</v>
      </c>
      <c r="AJ74" s="25">
        <v>142.63</v>
      </c>
      <c r="AK74" s="23">
        <v>32.08</v>
      </c>
      <c r="AL74" s="23"/>
      <c r="AM74" s="24"/>
      <c r="AN74" s="23"/>
      <c r="AO74" s="24"/>
      <c r="AP74" s="23">
        <v>521.81999999999994</v>
      </c>
      <c r="AQ74" s="24">
        <v>2489.6</v>
      </c>
      <c r="AR74" s="23">
        <v>237.36</v>
      </c>
      <c r="AS74" s="23">
        <v>-695.2</v>
      </c>
      <c r="AT74" s="23"/>
      <c r="AU74" s="24"/>
      <c r="AW74" s="27">
        <f t="shared" si="19"/>
        <v>142.63007400000001</v>
      </c>
      <c r="AX74" s="27">
        <f t="shared" si="20"/>
        <v>392.93007399999999</v>
      </c>
      <c r="AY74" s="27">
        <f t="shared" si="21"/>
        <v>147.91007400000004</v>
      </c>
      <c r="AZ74" s="27">
        <f t="shared" si="22"/>
        <v>521.82007399999998</v>
      </c>
    </row>
    <row r="75" spans="1:52" ht="15" customHeight="1" x14ac:dyDescent="0.25">
      <c r="A75" s="13" t="str">
        <f>VLOOKUP(L75,[1]VALIDAÇÃO!$D$13:$E$350,2,0)</f>
        <v>DIRETO</v>
      </c>
      <c r="B75" s="14" t="str">
        <f t="shared" si="12"/>
        <v>30RIO AVE 200 SPE LTDA.</v>
      </c>
      <c r="C75" s="15">
        <f t="shared" si="23"/>
        <v>30</v>
      </c>
      <c r="D75" s="16" t="str">
        <f t="shared" si="13"/>
        <v>18RIO AVE 200 SPE LTDA.</v>
      </c>
      <c r="E75" s="17">
        <f t="shared" si="16"/>
        <v>18</v>
      </c>
      <c r="F75" s="18" t="str">
        <f t="shared" si="14"/>
        <v>6RIO AVE 200 SPE LTDA.</v>
      </c>
      <c r="G75" s="18">
        <f t="shared" si="17"/>
        <v>6</v>
      </c>
      <c r="H75" s="19" t="str">
        <f t="shared" si="15"/>
        <v>6RIO AVE 200 SPE LTDA.</v>
      </c>
      <c r="I75" s="19">
        <f t="shared" si="18"/>
        <v>6</v>
      </c>
      <c r="J75" s="13" t="s">
        <v>48</v>
      </c>
      <c r="K75" s="13" t="s">
        <v>157</v>
      </c>
      <c r="L75" s="13" t="s">
        <v>54</v>
      </c>
      <c r="M75" s="13" t="s">
        <v>55</v>
      </c>
      <c r="N75" s="20">
        <v>1665.86</v>
      </c>
      <c r="O75" s="20">
        <v>1622.13</v>
      </c>
      <c r="P75" s="21">
        <v>45848</v>
      </c>
      <c r="Q75" s="22"/>
      <c r="R75" s="23">
        <v>1622.13</v>
      </c>
      <c r="S75" s="24"/>
      <c r="T75" s="23"/>
      <c r="U75" s="24"/>
      <c r="V75" s="23"/>
      <c r="W75" s="23"/>
      <c r="X75" s="24"/>
      <c r="Y75" s="23"/>
      <c r="Z75" s="23"/>
      <c r="AA75" s="23">
        <v>7.74</v>
      </c>
      <c r="AB75" s="23">
        <v>189.28</v>
      </c>
      <c r="AC75" s="24">
        <v>1350.5714285714284</v>
      </c>
      <c r="AD75" s="23">
        <v>202.23000000000002</v>
      </c>
      <c r="AE75" s="24">
        <v>1582.2857142857142</v>
      </c>
      <c r="AF75" s="23"/>
      <c r="AG75" s="23"/>
      <c r="AH75" s="23">
        <v>35.339999999999996</v>
      </c>
      <c r="AI75" s="24">
        <v>0</v>
      </c>
      <c r="AJ75" s="25">
        <v>495.59000000000003</v>
      </c>
      <c r="AK75" s="23">
        <v>108.68</v>
      </c>
      <c r="AL75" s="23"/>
      <c r="AM75" s="24"/>
      <c r="AN75" s="23"/>
      <c r="AO75" s="24"/>
      <c r="AP75" s="23">
        <v>125.89999999999999</v>
      </c>
      <c r="AQ75" s="24">
        <v>558.28571428571422</v>
      </c>
      <c r="AR75" s="23">
        <v>110.72</v>
      </c>
      <c r="AS75" s="23">
        <v>-795.2</v>
      </c>
      <c r="AT75" s="23"/>
      <c r="AU75" s="24"/>
      <c r="AW75" s="27">
        <f t="shared" si="19"/>
        <v>495.59007500000001</v>
      </c>
      <c r="AX75" s="27">
        <f t="shared" si="20"/>
        <v>202.23007500000003</v>
      </c>
      <c r="AY75" s="27">
        <f t="shared" si="21"/>
        <v>189.28007500000001</v>
      </c>
      <c r="AZ75" s="27">
        <f t="shared" si="22"/>
        <v>125.90007499999999</v>
      </c>
    </row>
    <row r="76" spans="1:52" ht="15" customHeight="1" x14ac:dyDescent="0.25">
      <c r="A76" s="13" t="str">
        <f>VLOOKUP(L76,[1]VALIDAÇÃO!$D$13:$E$350,2,0)</f>
        <v>DIRETO</v>
      </c>
      <c r="B76" s="14" t="str">
        <f t="shared" si="12"/>
        <v>80RESERVA DO PAIVA SPE 01 LTDA.</v>
      </c>
      <c r="C76" s="15">
        <f t="shared" si="23"/>
        <v>80</v>
      </c>
      <c r="D76" s="16" t="str">
        <f t="shared" si="13"/>
        <v>80RESERVA DO PAIVA SPE 01 LTDA.</v>
      </c>
      <c r="E76" s="17">
        <f t="shared" si="16"/>
        <v>80</v>
      </c>
      <c r="F76" s="18" t="str">
        <f t="shared" si="14"/>
        <v>80RESERVA DO PAIVA SPE 01 LTDA.</v>
      </c>
      <c r="G76" s="18">
        <f t="shared" si="17"/>
        <v>80</v>
      </c>
      <c r="H76" s="19" t="str">
        <f t="shared" si="15"/>
        <v>80RESERVA DO PAIVA SPE 01 LTDA.</v>
      </c>
      <c r="I76" s="19">
        <f t="shared" si="18"/>
        <v>80</v>
      </c>
      <c r="J76" s="13" t="s">
        <v>68</v>
      </c>
      <c r="K76" s="13" t="s">
        <v>158</v>
      </c>
      <c r="L76" s="13" t="s">
        <v>59</v>
      </c>
      <c r="M76" s="13" t="s">
        <v>55</v>
      </c>
      <c r="N76" s="20">
        <v>0</v>
      </c>
      <c r="O76" s="20"/>
      <c r="P76" s="21">
        <v>44942</v>
      </c>
      <c r="Q76" s="22"/>
      <c r="R76" s="23"/>
      <c r="S76" s="24"/>
      <c r="T76" s="23"/>
      <c r="U76" s="24"/>
      <c r="V76" s="23"/>
      <c r="W76" s="23"/>
      <c r="X76" s="24"/>
      <c r="Y76" s="23"/>
      <c r="Z76" s="23"/>
      <c r="AA76" s="23"/>
      <c r="AB76" s="23"/>
      <c r="AC76" s="24"/>
      <c r="AD76" s="23"/>
      <c r="AE76" s="24"/>
      <c r="AF76" s="23"/>
      <c r="AG76" s="23"/>
      <c r="AH76" s="23"/>
      <c r="AI76" s="24"/>
      <c r="AJ76" s="25"/>
      <c r="AK76" s="23"/>
      <c r="AL76" s="23"/>
      <c r="AM76" s="24"/>
      <c r="AN76" s="23"/>
      <c r="AO76" s="24"/>
      <c r="AP76" s="23"/>
      <c r="AQ76" s="24"/>
      <c r="AR76" s="23"/>
      <c r="AS76" s="23"/>
      <c r="AT76" s="23"/>
      <c r="AU76" s="24"/>
      <c r="AW76" s="27">
        <f t="shared" si="19"/>
        <v>7.6000000000000004E-5</v>
      </c>
      <c r="AX76" s="27">
        <f t="shared" si="20"/>
        <v>7.6000000000000004E-5</v>
      </c>
      <c r="AY76" s="27">
        <f t="shared" si="21"/>
        <v>7.6000000000000004E-5</v>
      </c>
      <c r="AZ76" s="27">
        <f t="shared" si="22"/>
        <v>7.6000000000000004E-5</v>
      </c>
    </row>
    <row r="77" spans="1:52" ht="15" customHeight="1" x14ac:dyDescent="0.25">
      <c r="A77" s="13" t="str">
        <f>VLOOKUP(L77,[1]VALIDAÇÃO!$D$13:$E$350,2,0)</f>
        <v>INDIRETO</v>
      </c>
      <c r="B77" s="14" t="str">
        <f t="shared" si="12"/>
        <v>163RESERVA DO PAIVA SPE 03 LTDA</v>
      </c>
      <c r="C77" s="15">
        <f t="shared" si="23"/>
        <v>163</v>
      </c>
      <c r="D77" s="16" t="str">
        <f t="shared" si="13"/>
        <v>164RESERVA DO PAIVA SPE 03 LTDA</v>
      </c>
      <c r="E77" s="17">
        <f t="shared" si="16"/>
        <v>164</v>
      </c>
      <c r="F77" s="18" t="str">
        <f t="shared" si="14"/>
        <v>162RESERVA DO PAIVA SPE 03 LTDA</v>
      </c>
      <c r="G77" s="18">
        <f t="shared" si="17"/>
        <v>162</v>
      </c>
      <c r="H77" s="19" t="str">
        <f t="shared" si="15"/>
        <v>155RESERVA DO PAIVA SPE 03 LTDA</v>
      </c>
      <c r="I77" s="19">
        <f t="shared" si="18"/>
        <v>155</v>
      </c>
      <c r="J77" s="13" t="s">
        <v>52</v>
      </c>
      <c r="K77" s="13" t="s">
        <v>159</v>
      </c>
      <c r="L77" s="13" t="s">
        <v>160</v>
      </c>
      <c r="M77" s="13" t="s">
        <v>85</v>
      </c>
      <c r="N77" s="20">
        <v>4042.46</v>
      </c>
      <c r="O77" s="20">
        <v>7972.48</v>
      </c>
      <c r="P77" s="21">
        <v>45516</v>
      </c>
      <c r="Q77" s="22"/>
      <c r="R77" s="23">
        <v>7972.48</v>
      </c>
      <c r="S77" s="24"/>
      <c r="T77" s="23"/>
      <c r="U77" s="24"/>
      <c r="V77" s="23"/>
      <c r="W77" s="23"/>
      <c r="X77" s="24"/>
      <c r="Y77" s="23"/>
      <c r="Z77" s="23"/>
      <c r="AA77" s="23"/>
      <c r="AB77" s="23"/>
      <c r="AC77" s="24"/>
      <c r="AD77" s="23"/>
      <c r="AE77" s="24"/>
      <c r="AF77" s="23"/>
      <c r="AG77" s="23"/>
      <c r="AH77" s="23"/>
      <c r="AI77" s="24"/>
      <c r="AJ77" s="25"/>
      <c r="AK77" s="23"/>
      <c r="AL77" s="23"/>
      <c r="AM77" s="24"/>
      <c r="AN77" s="23"/>
      <c r="AO77" s="24"/>
      <c r="AP77" s="23"/>
      <c r="AQ77" s="24"/>
      <c r="AR77" s="23"/>
      <c r="AS77" s="23">
        <v>-3416.78</v>
      </c>
      <c r="AT77" s="23"/>
      <c r="AU77" s="24"/>
      <c r="AW77" s="27">
        <f t="shared" si="19"/>
        <v>7.7000000000000001E-5</v>
      </c>
      <c r="AX77" s="27">
        <f t="shared" si="20"/>
        <v>7.7000000000000001E-5</v>
      </c>
      <c r="AY77" s="27">
        <f t="shared" si="21"/>
        <v>7.7000000000000001E-5</v>
      </c>
      <c r="AZ77" s="27">
        <f t="shared" si="22"/>
        <v>7.7000000000000001E-5</v>
      </c>
    </row>
    <row r="78" spans="1:52" ht="15" customHeight="1" x14ac:dyDescent="0.25">
      <c r="A78" s="13" t="str">
        <f>VLOOKUP(L78,[1]VALIDAÇÃO!$D$13:$E$350,2,0)</f>
        <v>INDIRETO</v>
      </c>
      <c r="B78" s="14" t="str">
        <f t="shared" si="12"/>
        <v>126CONDOMINIO DO EDIFICIO EMPRESARIAL MARIE CURIE</v>
      </c>
      <c r="C78" s="15">
        <f t="shared" si="23"/>
        <v>126</v>
      </c>
      <c r="D78" s="16" t="str">
        <f t="shared" si="13"/>
        <v>34CONDOMINIO DO EDIFICIO EMPRESARIAL MARIE CURIE</v>
      </c>
      <c r="E78" s="17">
        <f t="shared" si="16"/>
        <v>34</v>
      </c>
      <c r="F78" s="18" t="str">
        <f t="shared" si="14"/>
        <v>28CONDOMINIO DO EDIFICIO EMPRESARIAL MARIE CURIE</v>
      </c>
      <c r="G78" s="18">
        <f t="shared" si="17"/>
        <v>28</v>
      </c>
      <c r="H78" s="19" t="str">
        <f t="shared" si="15"/>
        <v>119CONDOMINIO DO EDIFICIO EMPRESARIAL MARIE CURIE</v>
      </c>
      <c r="I78" s="19">
        <f t="shared" si="18"/>
        <v>119</v>
      </c>
      <c r="J78" s="13" t="s">
        <v>57</v>
      </c>
      <c r="K78" s="13" t="s">
        <v>161</v>
      </c>
      <c r="L78" s="13" t="s">
        <v>162</v>
      </c>
      <c r="M78" s="13" t="s">
        <v>60</v>
      </c>
      <c r="N78" s="20">
        <v>1910.88</v>
      </c>
      <c r="O78" s="20">
        <v>2943.68</v>
      </c>
      <c r="P78" s="21">
        <v>45873</v>
      </c>
      <c r="Q78" s="22"/>
      <c r="R78" s="23">
        <v>2943.68</v>
      </c>
      <c r="S78" s="24"/>
      <c r="T78" s="23"/>
      <c r="U78" s="24"/>
      <c r="V78" s="23"/>
      <c r="W78" s="23"/>
      <c r="X78" s="24"/>
      <c r="Y78" s="23"/>
      <c r="Z78" s="23"/>
      <c r="AA78" s="23"/>
      <c r="AB78" s="23">
        <v>145.54</v>
      </c>
      <c r="AC78" s="24">
        <v>640.89</v>
      </c>
      <c r="AD78" s="23">
        <v>227.03</v>
      </c>
      <c r="AE78" s="24">
        <v>862.10428571428565</v>
      </c>
      <c r="AF78" s="23"/>
      <c r="AG78" s="23"/>
      <c r="AH78" s="23"/>
      <c r="AI78" s="24"/>
      <c r="AJ78" s="25"/>
      <c r="AK78" s="23"/>
      <c r="AL78" s="23"/>
      <c r="AM78" s="24"/>
      <c r="AN78" s="23"/>
      <c r="AO78" s="24"/>
      <c r="AP78" s="23"/>
      <c r="AQ78" s="24"/>
      <c r="AR78" s="23">
        <v>79.38</v>
      </c>
      <c r="AS78" s="23">
        <v>-1261.58</v>
      </c>
      <c r="AT78" s="23"/>
      <c r="AU78" s="24"/>
      <c r="AW78" s="27">
        <f t="shared" si="19"/>
        <v>7.7999999999999999E-5</v>
      </c>
      <c r="AX78" s="27">
        <f t="shared" si="20"/>
        <v>227.030078</v>
      </c>
      <c r="AY78" s="27">
        <f t="shared" si="21"/>
        <v>145.54007799999999</v>
      </c>
      <c r="AZ78" s="27">
        <f t="shared" si="22"/>
        <v>7.7999999999999999E-5</v>
      </c>
    </row>
    <row r="79" spans="1:52" ht="15" customHeight="1" x14ac:dyDescent="0.25">
      <c r="A79" s="13" t="str">
        <f>VLOOKUP(L79,[1]VALIDAÇÃO!$D$13:$E$350,2,0)</f>
        <v>INDIRETO</v>
      </c>
      <c r="B79" s="14" t="str">
        <f t="shared" si="12"/>
        <v>130RIO AVE CARNEIROS 01 SPE LTDA.</v>
      </c>
      <c r="C79" s="15">
        <f t="shared" si="23"/>
        <v>130</v>
      </c>
      <c r="D79" s="16" t="str">
        <f t="shared" si="13"/>
        <v>96RIO AVE CARNEIROS 01 SPE LTDA.</v>
      </c>
      <c r="E79" s="17">
        <f t="shared" si="16"/>
        <v>96</v>
      </c>
      <c r="F79" s="18" t="str">
        <f t="shared" si="14"/>
        <v>43RIO AVE CARNEIROS 01 SPE LTDA.</v>
      </c>
      <c r="G79" s="18">
        <f t="shared" si="17"/>
        <v>43</v>
      </c>
      <c r="H79" s="19" t="str">
        <f t="shared" si="15"/>
        <v>151RIO AVE CARNEIROS 01 SPE LTDA.</v>
      </c>
      <c r="I79" s="19">
        <f t="shared" si="18"/>
        <v>151</v>
      </c>
      <c r="J79" s="13" t="s">
        <v>61</v>
      </c>
      <c r="K79" s="13" t="s">
        <v>163</v>
      </c>
      <c r="L79" s="13" t="s">
        <v>141</v>
      </c>
      <c r="M79" s="13" t="s">
        <v>85</v>
      </c>
      <c r="N79" s="20">
        <v>1356.52</v>
      </c>
      <c r="O79" s="20">
        <v>3033.45</v>
      </c>
      <c r="P79" s="21">
        <v>45356</v>
      </c>
      <c r="Q79" s="22"/>
      <c r="R79" s="23">
        <v>3033.45</v>
      </c>
      <c r="S79" s="24"/>
      <c r="T79" s="23"/>
      <c r="U79" s="24"/>
      <c r="V79" s="23"/>
      <c r="W79" s="23"/>
      <c r="X79" s="24"/>
      <c r="Y79" s="23"/>
      <c r="Z79" s="23"/>
      <c r="AA79" s="23">
        <v>0.01</v>
      </c>
      <c r="AB79" s="23">
        <v>129.93</v>
      </c>
      <c r="AC79" s="24">
        <v>310.42</v>
      </c>
      <c r="AD79" s="23">
        <v>28.43</v>
      </c>
      <c r="AE79" s="24">
        <v>67.92</v>
      </c>
      <c r="AF79" s="23"/>
      <c r="AG79" s="23"/>
      <c r="AH79" s="23">
        <v>0.04</v>
      </c>
      <c r="AI79" s="24">
        <v>0</v>
      </c>
      <c r="AJ79" s="25">
        <v>8.33</v>
      </c>
      <c r="AK79" s="23">
        <v>2</v>
      </c>
      <c r="AL79" s="23">
        <v>-12.06</v>
      </c>
      <c r="AM79" s="24">
        <v>49</v>
      </c>
      <c r="AN79" s="23"/>
      <c r="AO79" s="24"/>
      <c r="AP79" s="23"/>
      <c r="AQ79" s="24"/>
      <c r="AR79" s="23">
        <v>30.57</v>
      </c>
      <c r="AS79" s="23">
        <v>-1400.05</v>
      </c>
      <c r="AT79" s="23"/>
      <c r="AU79" s="24"/>
      <c r="AW79" s="27">
        <f t="shared" si="19"/>
        <v>8.3300789999999996</v>
      </c>
      <c r="AX79" s="27">
        <f t="shared" si="20"/>
        <v>28.430078999999999</v>
      </c>
      <c r="AY79" s="27">
        <f t="shared" si="21"/>
        <v>129.93007900000001</v>
      </c>
      <c r="AZ79" s="27">
        <f t="shared" si="22"/>
        <v>7.8999999999999996E-5</v>
      </c>
    </row>
    <row r="80" spans="1:52" ht="15" customHeight="1" x14ac:dyDescent="0.25">
      <c r="A80" s="13" t="str">
        <f>VLOOKUP(L80,[1]VALIDAÇÃO!$D$13:$E$350,2,0)</f>
        <v>DIRETO</v>
      </c>
      <c r="B80" s="14" t="str">
        <f t="shared" si="12"/>
        <v>47RIO AVE CARNEIROS 01 SPE LTDA.</v>
      </c>
      <c r="C80" s="15">
        <f t="shared" si="23"/>
        <v>47</v>
      </c>
      <c r="D80" s="16" t="str">
        <f t="shared" si="13"/>
        <v>46RIO AVE CARNEIROS 01 SPE LTDA.</v>
      </c>
      <c r="E80" s="17">
        <f t="shared" si="16"/>
        <v>46</v>
      </c>
      <c r="F80" s="18" t="str">
        <f t="shared" si="14"/>
        <v>120RIO AVE CARNEIROS 01 SPE LTDA.</v>
      </c>
      <c r="G80" s="18">
        <f t="shared" si="17"/>
        <v>120</v>
      </c>
      <c r="H80" s="19" t="str">
        <f t="shared" si="15"/>
        <v>150RIO AVE CARNEIROS 01 SPE LTDA.</v>
      </c>
      <c r="I80" s="19">
        <f t="shared" si="18"/>
        <v>150</v>
      </c>
      <c r="J80" s="13" t="s">
        <v>61</v>
      </c>
      <c r="K80" s="13" t="s">
        <v>164</v>
      </c>
      <c r="L80" s="13" t="s">
        <v>131</v>
      </c>
      <c r="M80" s="13" t="s">
        <v>55</v>
      </c>
      <c r="N80" s="20">
        <v>1574.67</v>
      </c>
      <c r="O80" s="20">
        <v>2156</v>
      </c>
      <c r="P80" s="21">
        <v>45825</v>
      </c>
      <c r="Q80" s="22"/>
      <c r="R80" s="23">
        <v>2156</v>
      </c>
      <c r="S80" s="24"/>
      <c r="T80" s="23"/>
      <c r="U80" s="24"/>
      <c r="V80" s="23"/>
      <c r="W80" s="23"/>
      <c r="X80" s="24"/>
      <c r="Y80" s="23"/>
      <c r="Z80" s="23"/>
      <c r="AA80" s="23">
        <v>2.57</v>
      </c>
      <c r="AB80" s="23">
        <v>14.96</v>
      </c>
      <c r="AC80" s="24">
        <v>119.75714285714285</v>
      </c>
      <c r="AD80" s="23">
        <v>208.9</v>
      </c>
      <c r="AE80" s="24">
        <v>1159.5714285714284</v>
      </c>
      <c r="AF80" s="23"/>
      <c r="AG80" s="23"/>
      <c r="AH80" s="23">
        <v>12.5</v>
      </c>
      <c r="AI80" s="24">
        <v>0</v>
      </c>
      <c r="AJ80" s="25">
        <v>466.15</v>
      </c>
      <c r="AK80" s="23">
        <v>100.88999999999999</v>
      </c>
      <c r="AL80" s="23">
        <v>-2.1</v>
      </c>
      <c r="AM80" s="24">
        <v>12</v>
      </c>
      <c r="AN80" s="23"/>
      <c r="AO80" s="24"/>
      <c r="AP80" s="23"/>
      <c r="AQ80" s="24"/>
      <c r="AR80" s="23">
        <v>41.739999999999995</v>
      </c>
      <c r="AS80" s="23">
        <v>-1014</v>
      </c>
      <c r="AT80" s="23"/>
      <c r="AU80" s="24"/>
      <c r="AW80" s="27">
        <f t="shared" si="19"/>
        <v>466.15008</v>
      </c>
      <c r="AX80" s="27">
        <f t="shared" si="20"/>
        <v>208.90008</v>
      </c>
      <c r="AY80" s="27">
        <f t="shared" si="21"/>
        <v>14.960080000000001</v>
      </c>
      <c r="AZ80" s="27">
        <f t="shared" si="22"/>
        <v>8.0000000000000007E-5</v>
      </c>
    </row>
    <row r="81" spans="1:52" ht="15" customHeight="1" x14ac:dyDescent="0.25">
      <c r="A81" s="13" t="str">
        <f>VLOOKUP(L81,[1]VALIDAÇÃO!$D$13:$E$350,2,0)</f>
        <v>DIRETO</v>
      </c>
      <c r="B81" s="14" t="str">
        <f t="shared" si="12"/>
        <v>61CONDOMINIO DO EDIFICIO EMPRESARIAL MARIE CURIE</v>
      </c>
      <c r="C81" s="15">
        <f t="shared" si="23"/>
        <v>61</v>
      </c>
      <c r="D81" s="16" t="str">
        <f t="shared" si="13"/>
        <v>7CONDOMINIO DO EDIFICIO EMPRESARIAL MARIE CURIE</v>
      </c>
      <c r="E81" s="17">
        <f t="shared" si="16"/>
        <v>7</v>
      </c>
      <c r="F81" s="18" t="str">
        <f t="shared" si="14"/>
        <v>52CONDOMINIO DO EDIFICIO EMPRESARIAL MARIE CURIE</v>
      </c>
      <c r="G81" s="18">
        <f t="shared" si="17"/>
        <v>52</v>
      </c>
      <c r="H81" s="19" t="str">
        <f t="shared" si="15"/>
        <v>32CONDOMINIO DO EDIFICIO EMPRESARIAL MARIE CURIE</v>
      </c>
      <c r="I81" s="19">
        <f t="shared" si="18"/>
        <v>32</v>
      </c>
      <c r="J81" s="13" t="s">
        <v>57</v>
      </c>
      <c r="K81" s="13" t="s">
        <v>165</v>
      </c>
      <c r="L81" s="13" t="s">
        <v>54</v>
      </c>
      <c r="M81" s="13" t="s">
        <v>60</v>
      </c>
      <c r="N81" s="20">
        <v>1403.18</v>
      </c>
      <c r="O81" s="20">
        <v>1622.13</v>
      </c>
      <c r="P81" s="21">
        <v>45691</v>
      </c>
      <c r="Q81" s="29"/>
      <c r="R81" s="30">
        <v>1622.13</v>
      </c>
      <c r="S81" s="30"/>
      <c r="T81" s="30"/>
      <c r="U81" s="30"/>
      <c r="V81" s="30"/>
      <c r="W81" s="30">
        <v>0.06</v>
      </c>
      <c r="X81" s="30">
        <v>2.44</v>
      </c>
      <c r="Y81" s="30"/>
      <c r="Z81" s="30"/>
      <c r="AA81" s="30">
        <v>7.5</v>
      </c>
      <c r="AB81" s="23">
        <v>64.97</v>
      </c>
      <c r="AC81" s="24">
        <v>407.85714285714283</v>
      </c>
      <c r="AD81" s="23">
        <v>574.27</v>
      </c>
      <c r="AE81" s="24">
        <v>3059.6614285714286</v>
      </c>
      <c r="AF81" s="30"/>
      <c r="AG81" s="30"/>
      <c r="AH81" s="30">
        <v>33.94</v>
      </c>
      <c r="AI81" s="30">
        <v>0</v>
      </c>
      <c r="AJ81" s="25">
        <v>422.31</v>
      </c>
      <c r="AK81" s="30">
        <v>91.63</v>
      </c>
      <c r="AL81" s="30">
        <v>-4.7699999999999996</v>
      </c>
      <c r="AM81" s="30">
        <v>36.19</v>
      </c>
      <c r="AN81" s="30"/>
      <c r="AO81" s="30"/>
      <c r="AP81" s="23">
        <v>11.25</v>
      </c>
      <c r="AQ81" s="24">
        <v>60.028571428571432</v>
      </c>
      <c r="AR81" s="30">
        <v>141.87</v>
      </c>
      <c r="AS81" s="30">
        <v>-721.2</v>
      </c>
      <c r="AT81" s="30"/>
      <c r="AU81" s="30"/>
      <c r="AW81" s="27">
        <f t="shared" si="19"/>
        <v>422.31008100000003</v>
      </c>
      <c r="AX81" s="27">
        <f t="shared" si="20"/>
        <v>574.270081</v>
      </c>
      <c r="AY81" s="27">
        <f t="shared" si="21"/>
        <v>64.970080999999993</v>
      </c>
      <c r="AZ81" s="27">
        <f t="shared" si="22"/>
        <v>11.250081</v>
      </c>
    </row>
    <row r="82" spans="1:52" ht="15" customHeight="1" x14ac:dyDescent="0.25">
      <c r="A82" s="13" t="str">
        <f>VLOOKUP(L82,[1]VALIDAÇÃO!$D$13:$E$350,2,0)</f>
        <v>INDIRETO</v>
      </c>
      <c r="B82" s="14" t="str">
        <f>C82&amp;J82</f>
        <v>151RIO AVE CARNEIROS 01 SPE LTDA.</v>
      </c>
      <c r="C82" s="15">
        <f t="shared" si="23"/>
        <v>151</v>
      </c>
      <c r="D82" s="16" t="str">
        <f>E82&amp;J82</f>
        <v>63RIO AVE CARNEIROS 01 SPE LTDA.</v>
      </c>
      <c r="E82" s="17">
        <f t="shared" si="16"/>
        <v>63</v>
      </c>
      <c r="F82" s="18" t="str">
        <f>G82&amp;J82</f>
        <v>153RIO AVE CARNEIROS 01 SPE LTDA.</v>
      </c>
      <c r="G82" s="18">
        <f t="shared" si="17"/>
        <v>153</v>
      </c>
      <c r="H82" s="19" t="str">
        <f>I82&amp;J82</f>
        <v>149RIO AVE CARNEIROS 01 SPE LTDA.</v>
      </c>
      <c r="I82" s="19">
        <f t="shared" si="18"/>
        <v>149</v>
      </c>
      <c r="J82" s="13" t="s">
        <v>61</v>
      </c>
      <c r="K82" s="13" t="s">
        <v>166</v>
      </c>
      <c r="L82" s="13" t="s">
        <v>141</v>
      </c>
      <c r="M82" s="13" t="s">
        <v>85</v>
      </c>
      <c r="N82" s="20">
        <v>1529.32</v>
      </c>
      <c r="O82" s="20">
        <v>2943.67</v>
      </c>
      <c r="P82" s="21">
        <v>45971</v>
      </c>
      <c r="Q82" s="22"/>
      <c r="R82" s="23">
        <v>2943.67</v>
      </c>
      <c r="S82" s="24"/>
      <c r="T82" s="23"/>
      <c r="U82" s="24"/>
      <c r="V82" s="23"/>
      <c r="W82" s="23"/>
      <c r="X82" s="24"/>
      <c r="Y82" s="23"/>
      <c r="Z82" s="23"/>
      <c r="AA82" s="23"/>
      <c r="AB82" s="23"/>
      <c r="AC82" s="24"/>
      <c r="AD82" s="23">
        <v>89.49</v>
      </c>
      <c r="AE82" s="24">
        <v>287</v>
      </c>
      <c r="AF82" s="23"/>
      <c r="AG82" s="23"/>
      <c r="AH82" s="23"/>
      <c r="AI82" s="24"/>
      <c r="AJ82" s="25"/>
      <c r="AK82" s="23"/>
      <c r="AL82" s="23"/>
      <c r="AM82" s="24"/>
      <c r="AN82" s="23"/>
      <c r="AO82" s="24"/>
      <c r="AP82" s="23"/>
      <c r="AQ82" s="24"/>
      <c r="AR82" s="23">
        <v>19.98</v>
      </c>
      <c r="AS82" s="23">
        <v>-1411.57</v>
      </c>
      <c r="AT82" s="23"/>
      <c r="AU82" s="24"/>
      <c r="AW82" s="27">
        <f t="shared" si="19"/>
        <v>8.2000000000000001E-5</v>
      </c>
      <c r="AX82" s="27">
        <f t="shared" si="20"/>
        <v>89.490082000000001</v>
      </c>
      <c r="AY82" s="27">
        <f t="shared" si="21"/>
        <v>8.2000000000000001E-5</v>
      </c>
      <c r="AZ82" s="27">
        <f t="shared" si="22"/>
        <v>8.2000000000000001E-5</v>
      </c>
    </row>
    <row r="83" spans="1:52" ht="15" customHeight="1" x14ac:dyDescent="0.25">
      <c r="A83" s="13" t="str">
        <f>VLOOKUP(L83,[1]VALIDAÇÃO!$D$13:$E$350,2,0)</f>
        <v>INDIRETO</v>
      </c>
      <c r="B83" s="14" t="str">
        <f>C83&amp;J83</f>
        <v>125CONDOMINIO DO EDIFICIO EMPRESARIAL MARIE CURIE</v>
      </c>
      <c r="C83" s="15">
        <f t="shared" si="23"/>
        <v>125</v>
      </c>
      <c r="D83" s="16" t="str">
        <f>E83&amp;J83</f>
        <v>1CONDOMINIO DO EDIFICIO EMPRESARIAL MARIE CURIE</v>
      </c>
      <c r="E83" s="17">
        <f t="shared" si="16"/>
        <v>1</v>
      </c>
      <c r="F83" s="18" t="str">
        <f>G83&amp;J83</f>
        <v>5CONDOMINIO DO EDIFICIO EMPRESARIAL MARIE CURIE</v>
      </c>
      <c r="G83" s="18">
        <f t="shared" si="17"/>
        <v>5</v>
      </c>
      <c r="H83" s="19" t="str">
        <f>I83&amp;J83</f>
        <v>118CONDOMINIO DO EDIFICIO EMPRESARIAL MARIE CURIE</v>
      </c>
      <c r="I83" s="19">
        <f t="shared" si="18"/>
        <v>118</v>
      </c>
      <c r="J83" s="13" t="s">
        <v>57</v>
      </c>
      <c r="K83" s="13" t="s">
        <v>167</v>
      </c>
      <c r="L83" s="13" t="s">
        <v>134</v>
      </c>
      <c r="M83" s="13" t="s">
        <v>60</v>
      </c>
      <c r="N83" s="20">
        <v>2753.11</v>
      </c>
      <c r="O83" s="20">
        <v>4034.7</v>
      </c>
      <c r="P83" s="21">
        <v>45516</v>
      </c>
      <c r="Q83" s="22"/>
      <c r="R83" s="23">
        <v>4034.7</v>
      </c>
      <c r="S83" s="24"/>
      <c r="T83" s="23"/>
      <c r="U83" s="24"/>
      <c r="V83" s="23"/>
      <c r="W83" s="23"/>
      <c r="X83" s="24"/>
      <c r="Y83" s="23"/>
      <c r="Z83" s="23"/>
      <c r="AA83" s="23"/>
      <c r="AB83" s="23">
        <v>353.42999999999995</v>
      </c>
      <c r="AC83" s="24">
        <v>721.31142857142856</v>
      </c>
      <c r="AD83" s="23">
        <v>1896.19</v>
      </c>
      <c r="AE83" s="24">
        <v>3918.6100000000006</v>
      </c>
      <c r="AF83" s="23"/>
      <c r="AG83" s="23"/>
      <c r="AH83" s="23"/>
      <c r="AI83" s="24"/>
      <c r="AJ83" s="25"/>
      <c r="AK83" s="23"/>
      <c r="AL83" s="23"/>
      <c r="AM83" s="24"/>
      <c r="AN83" s="23"/>
      <c r="AO83" s="24"/>
      <c r="AP83" s="23"/>
      <c r="AQ83" s="24"/>
      <c r="AR83" s="23">
        <v>470.52</v>
      </c>
      <c r="AS83" s="23">
        <v>-1729.16</v>
      </c>
      <c r="AT83" s="23"/>
      <c r="AU83" s="24"/>
      <c r="AW83" s="27">
        <f t="shared" si="19"/>
        <v>8.2999999999999998E-5</v>
      </c>
      <c r="AX83" s="27">
        <f t="shared" si="20"/>
        <v>1896.190083</v>
      </c>
      <c r="AY83" s="27">
        <f t="shared" si="21"/>
        <v>353.43008299999997</v>
      </c>
      <c r="AZ83" s="27">
        <f t="shared" si="22"/>
        <v>8.2999999999999998E-5</v>
      </c>
    </row>
    <row r="84" spans="1:52" ht="15" customHeight="1" x14ac:dyDescent="0.25">
      <c r="A84" s="13" t="str">
        <f>VLOOKUP(L84,[1]VALIDAÇÃO!$D$13:$E$350,2,0)</f>
        <v>DIRETO</v>
      </c>
      <c r="B84" s="14" t="str">
        <f t="shared" ref="B84:B147" si="24">C84&amp;J84</f>
        <v>3CONDOMINIO DO EDIFICIO EMPRESARIAL MARIE CURIE</v>
      </c>
      <c r="C84" s="15">
        <f t="shared" si="23"/>
        <v>3</v>
      </c>
      <c r="D84" s="16" t="str">
        <f t="shared" ref="D84:D147" si="25">E84&amp;J84</f>
        <v>45CONDOMINIO DO EDIFICIO EMPRESARIAL MARIE CURIE</v>
      </c>
      <c r="E84" s="17">
        <f t="shared" si="16"/>
        <v>45</v>
      </c>
      <c r="F84" s="18" t="str">
        <f t="shared" ref="F84:F147" si="26">G84&amp;J84</f>
        <v>81CONDOMINIO DO EDIFICIO EMPRESARIAL MARIE CURIE</v>
      </c>
      <c r="G84" s="18">
        <f t="shared" si="17"/>
        <v>81</v>
      </c>
      <c r="H84" s="19" t="str">
        <f t="shared" ref="H84:H147" si="27">I84&amp;J84</f>
        <v>117CONDOMINIO DO EDIFICIO EMPRESARIAL MARIE CURIE</v>
      </c>
      <c r="I84" s="19">
        <f t="shared" si="18"/>
        <v>117</v>
      </c>
      <c r="J84" s="13" t="s">
        <v>57</v>
      </c>
      <c r="K84" s="13" t="s">
        <v>168</v>
      </c>
      <c r="L84" s="13" t="s">
        <v>66</v>
      </c>
      <c r="M84" s="13" t="s">
        <v>60</v>
      </c>
      <c r="N84" s="20">
        <v>1040.55</v>
      </c>
      <c r="O84" s="20">
        <v>693</v>
      </c>
      <c r="P84" s="21">
        <v>45246</v>
      </c>
      <c r="Q84" s="22"/>
      <c r="R84" s="23">
        <v>693</v>
      </c>
      <c r="S84" s="24"/>
      <c r="T84" s="23"/>
      <c r="U84" s="24"/>
      <c r="V84" s="23"/>
      <c r="W84" s="23"/>
      <c r="X84" s="24"/>
      <c r="Y84" s="23"/>
      <c r="Z84" s="23"/>
      <c r="AA84" s="23">
        <v>4.5299999999999994</v>
      </c>
      <c r="AB84" s="23">
        <v>14.42</v>
      </c>
      <c r="AC84" s="24">
        <v>48.456666666666663</v>
      </c>
      <c r="AD84" s="23">
        <v>183.68</v>
      </c>
      <c r="AE84" s="24">
        <v>617.40533333333337</v>
      </c>
      <c r="AF84" s="23"/>
      <c r="AG84" s="23"/>
      <c r="AH84" s="23">
        <v>23.810000000000002</v>
      </c>
      <c r="AI84" s="24">
        <v>0</v>
      </c>
      <c r="AJ84" s="25">
        <v>1791.86</v>
      </c>
      <c r="AK84" s="23">
        <v>318.84000000000003</v>
      </c>
      <c r="AL84" s="23"/>
      <c r="AM84" s="24"/>
      <c r="AN84" s="23">
        <v>-154</v>
      </c>
      <c r="AO84" s="24">
        <v>2</v>
      </c>
      <c r="AP84" s="23"/>
      <c r="AQ84" s="24"/>
      <c r="AR84" s="23">
        <v>37.08</v>
      </c>
      <c r="AS84" s="23">
        <v>-309.39999999999998</v>
      </c>
      <c r="AT84" s="23">
        <v>-77</v>
      </c>
      <c r="AU84" s="24">
        <v>1</v>
      </c>
      <c r="AW84" s="27">
        <f t="shared" si="19"/>
        <v>1791.8600839999999</v>
      </c>
      <c r="AX84" s="27">
        <f t="shared" si="20"/>
        <v>183.68008399999999</v>
      </c>
      <c r="AY84" s="27">
        <f t="shared" si="21"/>
        <v>14.420083999999999</v>
      </c>
      <c r="AZ84" s="27">
        <f t="shared" si="22"/>
        <v>8.3999999999999995E-5</v>
      </c>
    </row>
    <row r="85" spans="1:52" ht="15" customHeight="1" x14ac:dyDescent="0.25">
      <c r="A85" s="13" t="str">
        <f>VLOOKUP(L85,[1]VALIDAÇÃO!$D$13:$E$350,2,0)</f>
        <v>DIRETO</v>
      </c>
      <c r="B85" s="14" t="str">
        <f t="shared" si="24"/>
        <v>65RIO AVE CARNEIROS 01 SPE LTDA.</v>
      </c>
      <c r="C85" s="15">
        <f t="shared" si="23"/>
        <v>65</v>
      </c>
      <c r="D85" s="16" t="str">
        <f t="shared" si="25"/>
        <v>68RIO AVE CARNEIROS 01 SPE LTDA.</v>
      </c>
      <c r="E85" s="17">
        <f t="shared" si="16"/>
        <v>68</v>
      </c>
      <c r="F85" s="18" t="str">
        <f t="shared" si="26"/>
        <v>119RIO AVE CARNEIROS 01 SPE LTDA.</v>
      </c>
      <c r="G85" s="18">
        <f t="shared" si="17"/>
        <v>119</v>
      </c>
      <c r="H85" s="19" t="str">
        <f t="shared" si="27"/>
        <v>148RIO AVE CARNEIROS 01 SPE LTDA.</v>
      </c>
      <c r="I85" s="19">
        <f t="shared" si="18"/>
        <v>148</v>
      </c>
      <c r="J85" s="13" t="s">
        <v>61</v>
      </c>
      <c r="K85" s="13" t="s">
        <v>169</v>
      </c>
      <c r="L85" s="13" t="s">
        <v>54</v>
      </c>
      <c r="M85" s="13" t="s">
        <v>55</v>
      </c>
      <c r="N85" s="20">
        <v>926.32</v>
      </c>
      <c r="O85" s="20">
        <v>1622.13</v>
      </c>
      <c r="P85" s="21">
        <v>45733</v>
      </c>
      <c r="Q85" s="22"/>
      <c r="R85" s="23">
        <v>1622.13</v>
      </c>
      <c r="S85" s="24"/>
      <c r="T85" s="23"/>
      <c r="U85" s="24"/>
      <c r="V85" s="23"/>
      <c r="W85" s="23"/>
      <c r="X85" s="24"/>
      <c r="Y85" s="23"/>
      <c r="Z85" s="23"/>
      <c r="AA85" s="23">
        <v>0.98</v>
      </c>
      <c r="AB85" s="23">
        <v>15.530000000000001</v>
      </c>
      <c r="AC85" s="24">
        <v>96.142857142857139</v>
      </c>
      <c r="AD85" s="23">
        <v>77.72</v>
      </c>
      <c r="AE85" s="24">
        <v>453.51428571428573</v>
      </c>
      <c r="AF85" s="23"/>
      <c r="AG85" s="23"/>
      <c r="AH85" s="23">
        <v>4.09</v>
      </c>
      <c r="AI85" s="24">
        <v>0</v>
      </c>
      <c r="AJ85" s="25">
        <v>386.74</v>
      </c>
      <c r="AK85" s="23">
        <v>85.93</v>
      </c>
      <c r="AL85" s="23">
        <v>-35.94</v>
      </c>
      <c r="AM85" s="24">
        <v>273</v>
      </c>
      <c r="AN85" s="23"/>
      <c r="AO85" s="24"/>
      <c r="AP85" s="23"/>
      <c r="AQ85" s="24"/>
      <c r="AR85" s="23">
        <v>22.520000000000003</v>
      </c>
      <c r="AS85" s="23">
        <v>-695.2</v>
      </c>
      <c r="AT85" s="23"/>
      <c r="AU85" s="24"/>
      <c r="AW85" s="27">
        <f t="shared" si="19"/>
        <v>386.74008500000002</v>
      </c>
      <c r="AX85" s="27">
        <f t="shared" si="20"/>
        <v>77.720084999999997</v>
      </c>
      <c r="AY85" s="27">
        <f t="shared" si="21"/>
        <v>15.530085000000001</v>
      </c>
      <c r="AZ85" s="27">
        <f t="shared" si="22"/>
        <v>8.5000000000000006E-5</v>
      </c>
    </row>
    <row r="86" spans="1:52" ht="15" customHeight="1" x14ac:dyDescent="0.25">
      <c r="A86" s="13" t="str">
        <f>VLOOKUP(L86,[1]VALIDAÇÃO!$D$13:$E$350,2,0)</f>
        <v>INDIRETO</v>
      </c>
      <c r="B86" s="14" t="str">
        <f t="shared" si="24"/>
        <v>124CONDOMINIO DO EDIFICIO EMPRESARIAL MARIE CURIE</v>
      </c>
      <c r="C86" s="15">
        <f t="shared" si="23"/>
        <v>124</v>
      </c>
      <c r="D86" s="16" t="str">
        <f t="shared" si="25"/>
        <v>129CONDOMINIO DO EDIFICIO EMPRESARIAL MARIE CURIE</v>
      </c>
      <c r="E86" s="17">
        <f t="shared" si="16"/>
        <v>129</v>
      </c>
      <c r="F86" s="18" t="str">
        <f t="shared" si="26"/>
        <v>124CONDOMINIO DO EDIFICIO EMPRESARIAL MARIE CURIE</v>
      </c>
      <c r="G86" s="18">
        <f t="shared" si="17"/>
        <v>124</v>
      </c>
      <c r="H86" s="19" t="str">
        <f t="shared" si="27"/>
        <v>116CONDOMINIO DO EDIFICIO EMPRESARIAL MARIE CURIE</v>
      </c>
      <c r="I86" s="19">
        <f t="shared" si="18"/>
        <v>116</v>
      </c>
      <c r="J86" s="13" t="s">
        <v>57</v>
      </c>
      <c r="K86" s="13" t="s">
        <v>170</v>
      </c>
      <c r="L86" s="13" t="s">
        <v>89</v>
      </c>
      <c r="M86" s="13" t="s">
        <v>60</v>
      </c>
      <c r="N86" s="20">
        <v>1217.3</v>
      </c>
      <c r="O86" s="20"/>
      <c r="P86" s="21">
        <v>45818</v>
      </c>
      <c r="Q86" s="22"/>
      <c r="R86" s="23"/>
      <c r="S86" s="24"/>
      <c r="T86" s="23"/>
      <c r="U86" s="24"/>
      <c r="V86" s="23"/>
      <c r="W86" s="23"/>
      <c r="X86" s="24"/>
      <c r="Y86" s="23"/>
      <c r="Z86" s="23"/>
      <c r="AA86" s="23"/>
      <c r="AB86" s="23"/>
      <c r="AC86" s="24"/>
      <c r="AD86" s="23"/>
      <c r="AE86" s="24"/>
      <c r="AF86" s="23"/>
      <c r="AG86" s="23"/>
      <c r="AH86" s="23"/>
      <c r="AI86" s="24"/>
      <c r="AJ86" s="25"/>
      <c r="AK86" s="23"/>
      <c r="AL86" s="23"/>
      <c r="AM86" s="24"/>
      <c r="AN86" s="23"/>
      <c r="AO86" s="24"/>
      <c r="AP86" s="23"/>
      <c r="AQ86" s="24"/>
      <c r="AR86" s="23"/>
      <c r="AS86" s="23">
        <v>-520</v>
      </c>
      <c r="AT86" s="23"/>
      <c r="AU86" s="24"/>
      <c r="AW86" s="27">
        <f t="shared" si="19"/>
        <v>8.6000000000000003E-5</v>
      </c>
      <c r="AX86" s="27">
        <f t="shared" si="20"/>
        <v>8.6000000000000003E-5</v>
      </c>
      <c r="AY86" s="27">
        <f t="shared" si="21"/>
        <v>8.6000000000000003E-5</v>
      </c>
      <c r="AZ86" s="27">
        <f t="shared" si="22"/>
        <v>8.6000000000000003E-5</v>
      </c>
    </row>
    <row r="87" spans="1:52" ht="15" customHeight="1" x14ac:dyDescent="0.25">
      <c r="A87" s="13" t="str">
        <f>VLOOKUP(L87,[1]VALIDAÇÃO!$D$13:$E$350,2,0)</f>
        <v>DIRETO</v>
      </c>
      <c r="B87" s="14" t="str">
        <f t="shared" si="24"/>
        <v>28RIO AVE 130 SPE LTDA</v>
      </c>
      <c r="C87" s="15">
        <f t="shared" si="23"/>
        <v>28</v>
      </c>
      <c r="D87" s="16" t="str">
        <f t="shared" si="25"/>
        <v>13RIO AVE 130 SPE LTDA</v>
      </c>
      <c r="E87" s="17">
        <f t="shared" si="16"/>
        <v>13</v>
      </c>
      <c r="F87" s="18" t="str">
        <f t="shared" si="26"/>
        <v>12RIO AVE 130 SPE LTDA</v>
      </c>
      <c r="G87" s="18">
        <f t="shared" si="17"/>
        <v>12</v>
      </c>
      <c r="H87" s="19" t="str">
        <f t="shared" si="27"/>
        <v>5RIO AVE 130 SPE LTDA</v>
      </c>
      <c r="I87" s="19">
        <f t="shared" si="18"/>
        <v>5</v>
      </c>
      <c r="J87" s="13" t="s">
        <v>102</v>
      </c>
      <c r="K87" s="13" t="s">
        <v>171</v>
      </c>
      <c r="L87" s="13" t="s">
        <v>54</v>
      </c>
      <c r="M87" s="13" t="s">
        <v>55</v>
      </c>
      <c r="N87" s="20">
        <v>2099.19</v>
      </c>
      <c r="O87" s="20">
        <v>1622.13</v>
      </c>
      <c r="P87" s="21">
        <v>45573</v>
      </c>
      <c r="Q87" s="22"/>
      <c r="R87" s="23">
        <v>1622.13</v>
      </c>
      <c r="S87" s="24"/>
      <c r="T87" s="23"/>
      <c r="U87" s="24"/>
      <c r="V87" s="23"/>
      <c r="W87" s="23"/>
      <c r="X87" s="24"/>
      <c r="Y87" s="23"/>
      <c r="Z87" s="23"/>
      <c r="AA87" s="23">
        <v>19.989999999999998</v>
      </c>
      <c r="AB87" s="23">
        <v>288.02</v>
      </c>
      <c r="AC87" s="24">
        <v>1416.0285714285715</v>
      </c>
      <c r="AD87" s="23">
        <v>665.88</v>
      </c>
      <c r="AE87" s="24">
        <v>3244.962857142857</v>
      </c>
      <c r="AF87" s="23"/>
      <c r="AG87" s="23"/>
      <c r="AH87" s="23">
        <v>91.03</v>
      </c>
      <c r="AI87" s="24">
        <v>0</v>
      </c>
      <c r="AJ87" s="25">
        <v>622.37</v>
      </c>
      <c r="AK87" s="23">
        <v>136.41</v>
      </c>
      <c r="AL87" s="23">
        <v>-5.4</v>
      </c>
      <c r="AM87" s="24">
        <v>41</v>
      </c>
      <c r="AN87" s="23"/>
      <c r="AO87" s="24"/>
      <c r="AP87" s="23">
        <v>242.42999999999998</v>
      </c>
      <c r="AQ87" s="24">
        <v>979.67142857142858</v>
      </c>
      <c r="AR87" s="23">
        <v>259.69</v>
      </c>
      <c r="AS87" s="23">
        <v>-695.2</v>
      </c>
      <c r="AT87" s="23"/>
      <c r="AU87" s="24"/>
      <c r="AW87" s="27">
        <f t="shared" si="19"/>
        <v>622.37008700000001</v>
      </c>
      <c r="AX87" s="27">
        <f t="shared" si="20"/>
        <v>665.880087</v>
      </c>
      <c r="AY87" s="27">
        <f t="shared" si="21"/>
        <v>288.02008699999999</v>
      </c>
      <c r="AZ87" s="27">
        <f t="shared" si="22"/>
        <v>242.43008699999999</v>
      </c>
    </row>
    <row r="88" spans="1:52" ht="15" customHeight="1" x14ac:dyDescent="0.25">
      <c r="A88" s="13" t="str">
        <f>VLOOKUP(L88,[1]VALIDAÇÃO!$D$13:$E$350,2,0)</f>
        <v>DIRETO</v>
      </c>
      <c r="B88" s="14" t="str">
        <f t="shared" si="24"/>
        <v>42RESERVA DO PAIVA SPE 01 LTDA.</v>
      </c>
      <c r="C88" s="15">
        <f t="shared" si="23"/>
        <v>42</v>
      </c>
      <c r="D88" s="16" t="str">
        <f t="shared" si="25"/>
        <v>40RESERVA DO PAIVA SPE 01 LTDA.</v>
      </c>
      <c r="E88" s="17">
        <f t="shared" si="16"/>
        <v>40</v>
      </c>
      <c r="F88" s="18" t="str">
        <f t="shared" si="26"/>
        <v>31RESERVA DO PAIVA SPE 01 LTDA.</v>
      </c>
      <c r="G88" s="18">
        <f t="shared" si="17"/>
        <v>31</v>
      </c>
      <c r="H88" s="19" t="str">
        <f t="shared" si="27"/>
        <v>34RESERVA DO PAIVA SPE 01 LTDA.</v>
      </c>
      <c r="I88" s="19">
        <f t="shared" si="18"/>
        <v>34</v>
      </c>
      <c r="J88" s="13" t="s">
        <v>68</v>
      </c>
      <c r="K88" s="13" t="s">
        <v>172</v>
      </c>
      <c r="L88" s="13" t="s">
        <v>54</v>
      </c>
      <c r="M88" s="13" t="s">
        <v>55</v>
      </c>
      <c r="N88" s="20">
        <v>2042.08</v>
      </c>
      <c r="O88" s="20">
        <v>1622.13</v>
      </c>
      <c r="P88" s="21">
        <v>45839</v>
      </c>
      <c r="Q88" s="22"/>
      <c r="R88" s="23">
        <v>1622.13</v>
      </c>
      <c r="S88" s="24"/>
      <c r="T88" s="23"/>
      <c r="U88" s="24"/>
      <c r="V88" s="23"/>
      <c r="W88" s="23"/>
      <c r="X88" s="24"/>
      <c r="Y88" s="23"/>
      <c r="Z88" s="23"/>
      <c r="AA88" s="23">
        <v>19.11</v>
      </c>
      <c r="AB88" s="23">
        <v>323.03999999999996</v>
      </c>
      <c r="AC88" s="24">
        <v>2077.1542857142858</v>
      </c>
      <c r="AD88" s="23">
        <v>217.31</v>
      </c>
      <c r="AE88" s="24">
        <v>1513.1971428571428</v>
      </c>
      <c r="AF88" s="23"/>
      <c r="AG88" s="23"/>
      <c r="AH88" s="23">
        <v>88.929999999999993</v>
      </c>
      <c r="AI88" s="24">
        <v>0</v>
      </c>
      <c r="AJ88" s="25">
        <v>673.6</v>
      </c>
      <c r="AK88" s="23">
        <v>146.27999999999997</v>
      </c>
      <c r="AL88" s="23"/>
      <c r="AM88" s="24"/>
      <c r="AN88" s="23"/>
      <c r="AO88" s="24"/>
      <c r="AP88" s="23">
        <v>363.65999999999997</v>
      </c>
      <c r="AQ88" s="24">
        <v>1865.44</v>
      </c>
      <c r="AR88" s="23">
        <v>192.31</v>
      </c>
      <c r="AS88" s="23">
        <v>-695.2</v>
      </c>
      <c r="AT88" s="23"/>
      <c r="AU88" s="24"/>
      <c r="AW88" s="27">
        <f t="shared" si="19"/>
        <v>673.60008800000003</v>
      </c>
      <c r="AX88" s="27">
        <f t="shared" si="20"/>
        <v>217.31008800000001</v>
      </c>
      <c r="AY88" s="27">
        <f t="shared" si="21"/>
        <v>323.04008799999997</v>
      </c>
      <c r="AZ88" s="27">
        <f t="shared" si="22"/>
        <v>363.66008799999997</v>
      </c>
    </row>
    <row r="89" spans="1:52" ht="15" customHeight="1" x14ac:dyDescent="0.25">
      <c r="A89" s="13" t="str">
        <f>VLOOKUP(L89,[1]VALIDAÇÃO!$D$13:$E$350,2,0)</f>
        <v>INDIRETO</v>
      </c>
      <c r="B89" s="14" t="str">
        <f t="shared" si="24"/>
        <v>150RIO AVE CARNEIROS 01 SPE LTDA.</v>
      </c>
      <c r="C89" s="15">
        <f t="shared" si="23"/>
        <v>150</v>
      </c>
      <c r="D89" s="16" t="str">
        <f t="shared" si="25"/>
        <v>2RIO AVE CARNEIROS 01 SPE LTDA.</v>
      </c>
      <c r="E89" s="17">
        <f t="shared" si="16"/>
        <v>2</v>
      </c>
      <c r="F89" s="18" t="str">
        <f t="shared" si="26"/>
        <v>1RIO AVE CARNEIROS 01 SPE LTDA.</v>
      </c>
      <c r="G89" s="18">
        <f t="shared" si="17"/>
        <v>1</v>
      </c>
      <c r="H89" s="19" t="str">
        <f t="shared" si="27"/>
        <v>1RIO AVE CARNEIROS 01 SPE LTDA.</v>
      </c>
      <c r="I89" s="19">
        <f t="shared" si="18"/>
        <v>1</v>
      </c>
      <c r="J89" s="13" t="s">
        <v>61</v>
      </c>
      <c r="K89" s="13" t="s">
        <v>173</v>
      </c>
      <c r="L89" s="13" t="s">
        <v>162</v>
      </c>
      <c r="M89" s="13" t="s">
        <v>85</v>
      </c>
      <c r="N89" s="20">
        <v>3117.76</v>
      </c>
      <c r="O89" s="20">
        <v>4047.56</v>
      </c>
      <c r="P89" s="21">
        <v>45811</v>
      </c>
      <c r="Q89" s="22"/>
      <c r="R89" s="23">
        <v>4047.56</v>
      </c>
      <c r="S89" s="24"/>
      <c r="T89" s="23"/>
      <c r="U89" s="24"/>
      <c r="V89" s="23"/>
      <c r="W89" s="23">
        <v>2.17</v>
      </c>
      <c r="X89" s="24">
        <v>33</v>
      </c>
      <c r="Y89" s="23"/>
      <c r="Z89" s="23"/>
      <c r="AA89" s="23"/>
      <c r="AB89" s="23">
        <v>607.77</v>
      </c>
      <c r="AC89" s="24">
        <v>1454.8571428571429</v>
      </c>
      <c r="AD89" s="23">
        <v>1234.8499999999999</v>
      </c>
      <c r="AE89" s="24">
        <v>2944.9</v>
      </c>
      <c r="AF89" s="23"/>
      <c r="AG89" s="23"/>
      <c r="AH89" s="23"/>
      <c r="AI89" s="24"/>
      <c r="AJ89" s="25"/>
      <c r="AK89" s="23"/>
      <c r="AL89" s="23">
        <v>-307.83999999999997</v>
      </c>
      <c r="AM89" s="24">
        <v>937</v>
      </c>
      <c r="AN89" s="23"/>
      <c r="AO89" s="24"/>
      <c r="AP89" s="23">
        <v>785.55</v>
      </c>
      <c r="AQ89" s="24">
        <v>1279</v>
      </c>
      <c r="AR89" s="23">
        <v>571.73</v>
      </c>
      <c r="AS89" s="23">
        <v>-1734.67</v>
      </c>
      <c r="AT89" s="23"/>
      <c r="AU89" s="24"/>
      <c r="AW89" s="27">
        <f t="shared" si="19"/>
        <v>8.8999999999999995E-5</v>
      </c>
      <c r="AX89" s="27">
        <f t="shared" si="20"/>
        <v>1234.8500889999998</v>
      </c>
      <c r="AY89" s="27">
        <f t="shared" si="21"/>
        <v>607.77008899999998</v>
      </c>
      <c r="AZ89" s="27">
        <f t="shared" si="22"/>
        <v>785.55008899999996</v>
      </c>
    </row>
    <row r="90" spans="1:52" ht="15" customHeight="1" x14ac:dyDescent="0.25">
      <c r="A90" s="13" t="str">
        <f>VLOOKUP(L90,[1]VALIDAÇÃO!$D$13:$E$350,2,0)</f>
        <v>INDIRETO</v>
      </c>
      <c r="B90" s="14" t="str">
        <f t="shared" si="24"/>
        <v>112CONDOMINIO DO EDIFICIO EMPRESARIAL MARIE CURIE</v>
      </c>
      <c r="C90" s="15">
        <f t="shared" si="23"/>
        <v>112</v>
      </c>
      <c r="D90" s="16" t="str">
        <f t="shared" si="25"/>
        <v>3CONDOMINIO DO EDIFICIO EMPRESARIAL MARIE CURIE</v>
      </c>
      <c r="E90" s="17">
        <f t="shared" si="16"/>
        <v>3</v>
      </c>
      <c r="F90" s="18" t="str">
        <f t="shared" si="26"/>
        <v>2CONDOMINIO DO EDIFICIO EMPRESARIAL MARIE CURIE</v>
      </c>
      <c r="G90" s="18">
        <f t="shared" si="17"/>
        <v>2</v>
      </c>
      <c r="H90" s="19" t="str">
        <f t="shared" si="27"/>
        <v>27CONDOMINIO DO EDIFICIO EMPRESARIAL MARIE CURIE</v>
      </c>
      <c r="I90" s="19">
        <f t="shared" si="18"/>
        <v>27</v>
      </c>
      <c r="J90" s="13" t="s">
        <v>57</v>
      </c>
      <c r="K90" s="13" t="s">
        <v>174</v>
      </c>
      <c r="L90" s="13" t="s">
        <v>175</v>
      </c>
      <c r="M90" s="13" t="s">
        <v>60</v>
      </c>
      <c r="N90" s="20">
        <v>2546.92</v>
      </c>
      <c r="O90" s="20">
        <v>3434.3</v>
      </c>
      <c r="P90" s="21">
        <v>45558</v>
      </c>
      <c r="Q90" s="22"/>
      <c r="R90" s="23">
        <v>3434.3</v>
      </c>
      <c r="S90" s="24"/>
      <c r="T90" s="23"/>
      <c r="U90" s="24"/>
      <c r="V90" s="23"/>
      <c r="W90" s="23">
        <v>0.05</v>
      </c>
      <c r="X90" s="24">
        <v>0.84</v>
      </c>
      <c r="Y90" s="23"/>
      <c r="Z90" s="23"/>
      <c r="AA90" s="23">
        <v>0.26</v>
      </c>
      <c r="AB90" s="23">
        <v>511.45</v>
      </c>
      <c r="AC90" s="24">
        <v>1227.5357142857142</v>
      </c>
      <c r="AD90" s="23">
        <v>1082.17</v>
      </c>
      <c r="AE90" s="24">
        <v>2640.2285714285713</v>
      </c>
      <c r="AF90" s="23"/>
      <c r="AG90" s="23"/>
      <c r="AH90" s="23">
        <v>1.51</v>
      </c>
      <c r="AI90" s="24">
        <v>0</v>
      </c>
      <c r="AJ90" s="25">
        <v>31.79</v>
      </c>
      <c r="AK90" s="23">
        <v>5.42</v>
      </c>
      <c r="AL90" s="23"/>
      <c r="AM90" s="24"/>
      <c r="AN90" s="23"/>
      <c r="AO90" s="24"/>
      <c r="AP90" s="23">
        <v>21.65</v>
      </c>
      <c r="AQ90" s="24">
        <v>49.531428571428577</v>
      </c>
      <c r="AR90" s="23">
        <v>347.71999999999997</v>
      </c>
      <c r="AS90" s="23">
        <v>-1471.84</v>
      </c>
      <c r="AT90" s="23"/>
      <c r="AU90" s="24"/>
      <c r="AW90" s="27">
        <f t="shared" si="19"/>
        <v>31.790089999999999</v>
      </c>
      <c r="AX90" s="27">
        <f t="shared" si="20"/>
        <v>1082.1700900000001</v>
      </c>
      <c r="AY90" s="27">
        <f t="shared" si="21"/>
        <v>511.45008999999999</v>
      </c>
      <c r="AZ90" s="27">
        <f t="shared" si="22"/>
        <v>21.650089999999999</v>
      </c>
    </row>
    <row r="91" spans="1:52" ht="15" customHeight="1" x14ac:dyDescent="0.25">
      <c r="A91" s="13" t="str">
        <f>VLOOKUP(L91,[1]VALIDAÇÃO!$D$13:$E$350,2,0)</f>
        <v>DIRETO</v>
      </c>
      <c r="B91" s="14" t="str">
        <f t="shared" si="24"/>
        <v>92RESERVA DO PAIVA SPE 03 LTDA</v>
      </c>
      <c r="C91" s="15">
        <f t="shared" si="23"/>
        <v>92</v>
      </c>
      <c r="D91" s="16" t="str">
        <f t="shared" si="25"/>
        <v>109RESERVA DO PAIVA SPE 03 LTDA</v>
      </c>
      <c r="E91" s="17">
        <f t="shared" si="16"/>
        <v>109</v>
      </c>
      <c r="F91" s="18" t="str">
        <f t="shared" si="26"/>
        <v>103RESERVA DO PAIVA SPE 03 LTDA</v>
      </c>
      <c r="G91" s="18">
        <f t="shared" si="17"/>
        <v>103</v>
      </c>
      <c r="H91" s="19" t="str">
        <f t="shared" si="27"/>
        <v>154RESERVA DO PAIVA SPE 03 LTDA</v>
      </c>
      <c r="I91" s="19">
        <f t="shared" si="18"/>
        <v>154</v>
      </c>
      <c r="J91" s="13" t="s">
        <v>52</v>
      </c>
      <c r="K91" s="13" t="s">
        <v>176</v>
      </c>
      <c r="L91" s="13" t="s">
        <v>54</v>
      </c>
      <c r="M91" s="13" t="s">
        <v>55</v>
      </c>
      <c r="N91" s="20">
        <v>552.63</v>
      </c>
      <c r="O91" s="20">
        <v>1622.13</v>
      </c>
      <c r="P91" s="21">
        <v>45875</v>
      </c>
      <c r="Q91" s="22"/>
      <c r="R91" s="23">
        <v>1622.13</v>
      </c>
      <c r="S91" s="24"/>
      <c r="T91" s="23"/>
      <c r="U91" s="24"/>
      <c r="V91" s="23"/>
      <c r="W91" s="23"/>
      <c r="X91" s="24"/>
      <c r="Y91" s="23"/>
      <c r="Z91" s="23"/>
      <c r="AA91" s="23">
        <v>0.91000000000000014</v>
      </c>
      <c r="AB91" s="23">
        <v>41.5</v>
      </c>
      <c r="AC91" s="24">
        <v>512.68571428571431</v>
      </c>
      <c r="AD91" s="23">
        <v>105.08</v>
      </c>
      <c r="AE91" s="24">
        <v>1184.77</v>
      </c>
      <c r="AF91" s="23"/>
      <c r="AG91" s="23"/>
      <c r="AH91" s="23">
        <v>3.84</v>
      </c>
      <c r="AI91" s="24">
        <v>0</v>
      </c>
      <c r="AJ91" s="25">
        <v>155.85</v>
      </c>
      <c r="AK91" s="23">
        <v>35.269999999999996</v>
      </c>
      <c r="AL91" s="23">
        <v>-38.31</v>
      </c>
      <c r="AM91" s="24">
        <v>291</v>
      </c>
      <c r="AN91" s="23">
        <v>-115.87</v>
      </c>
      <c r="AO91" s="24">
        <v>2</v>
      </c>
      <c r="AP91" s="23"/>
      <c r="AQ91" s="24"/>
      <c r="AR91" s="23">
        <v>31.96</v>
      </c>
      <c r="AS91" s="23">
        <v>-695.2</v>
      </c>
      <c r="AT91" s="23">
        <v>-57.93</v>
      </c>
      <c r="AU91" s="24">
        <v>1</v>
      </c>
      <c r="AW91" s="27">
        <f t="shared" si="19"/>
        <v>155.85009099999999</v>
      </c>
      <c r="AX91" s="27">
        <f t="shared" si="20"/>
        <v>105.080091</v>
      </c>
      <c r="AY91" s="27">
        <f t="shared" si="21"/>
        <v>41.500090999999998</v>
      </c>
      <c r="AZ91" s="27">
        <f t="shared" si="22"/>
        <v>9.1000000000000003E-5</v>
      </c>
    </row>
    <row r="92" spans="1:52" ht="15" customHeight="1" x14ac:dyDescent="0.25">
      <c r="A92" s="13" t="str">
        <f>VLOOKUP(L92,[1]VALIDAÇÃO!$D$13:$E$350,2,0)</f>
        <v>DIRETO</v>
      </c>
      <c r="B92" s="14" t="str">
        <f t="shared" si="24"/>
        <v>24RIO AVE 200 SPE LTDA.</v>
      </c>
      <c r="C92" s="15">
        <f t="shared" si="23"/>
        <v>24</v>
      </c>
      <c r="D92" s="16" t="str">
        <f t="shared" si="25"/>
        <v>26RIO AVE 200 SPE LTDA.</v>
      </c>
      <c r="E92" s="17">
        <f t="shared" si="16"/>
        <v>26</v>
      </c>
      <c r="F92" s="18" t="str">
        <f t="shared" si="26"/>
        <v>22RIO AVE 200 SPE LTDA.</v>
      </c>
      <c r="G92" s="18">
        <f t="shared" si="17"/>
        <v>22</v>
      </c>
      <c r="H92" s="19" t="str">
        <f t="shared" si="27"/>
        <v>73RIO AVE 200 SPE LTDA.</v>
      </c>
      <c r="I92" s="19">
        <f t="shared" si="18"/>
        <v>73</v>
      </c>
      <c r="J92" s="13" t="s">
        <v>48</v>
      </c>
      <c r="K92" s="13" t="s">
        <v>177</v>
      </c>
      <c r="L92" s="13" t="s">
        <v>59</v>
      </c>
      <c r="M92" s="13" t="s">
        <v>55</v>
      </c>
      <c r="N92" s="20">
        <v>1568.9</v>
      </c>
      <c r="O92" s="20">
        <v>2156</v>
      </c>
      <c r="P92" s="21">
        <v>45874</v>
      </c>
      <c r="Q92" s="22"/>
      <c r="R92" s="23">
        <v>2156</v>
      </c>
      <c r="S92" s="24"/>
      <c r="T92" s="23"/>
      <c r="U92" s="24"/>
      <c r="V92" s="23"/>
      <c r="W92" s="23"/>
      <c r="X92" s="24"/>
      <c r="Y92" s="23"/>
      <c r="Z92" s="23"/>
      <c r="AA92" s="23">
        <v>3.6199999999999997</v>
      </c>
      <c r="AB92" s="23">
        <v>65.48</v>
      </c>
      <c r="AC92" s="24">
        <v>608.57142857142856</v>
      </c>
      <c r="AD92" s="23">
        <v>144.97</v>
      </c>
      <c r="AE92" s="24">
        <v>791.42857142857144</v>
      </c>
      <c r="AF92" s="23"/>
      <c r="AG92" s="23"/>
      <c r="AH92" s="23">
        <v>18.52</v>
      </c>
      <c r="AI92" s="24">
        <v>0</v>
      </c>
      <c r="AJ92" s="25">
        <v>725.68999999999994</v>
      </c>
      <c r="AK92" s="23">
        <v>158.22999999999999</v>
      </c>
      <c r="AL92" s="23"/>
      <c r="AM92" s="24"/>
      <c r="AN92" s="23"/>
      <c r="AO92" s="24"/>
      <c r="AP92" s="23"/>
      <c r="AQ92" s="24"/>
      <c r="AR92" s="23">
        <v>40.89</v>
      </c>
      <c r="AS92" s="23">
        <v>-924</v>
      </c>
      <c r="AT92" s="23"/>
      <c r="AU92" s="24"/>
      <c r="AW92" s="27">
        <f t="shared" si="19"/>
        <v>725.69009199999994</v>
      </c>
      <c r="AX92" s="27">
        <f t="shared" si="20"/>
        <v>144.97009199999999</v>
      </c>
      <c r="AY92" s="27">
        <f t="shared" si="21"/>
        <v>65.480091999999999</v>
      </c>
      <c r="AZ92" s="27">
        <f t="shared" si="22"/>
        <v>9.2E-5</v>
      </c>
    </row>
    <row r="93" spans="1:52" ht="15" customHeight="1" x14ac:dyDescent="0.25">
      <c r="A93" s="13" t="str">
        <f>VLOOKUP(L93,[1]VALIDAÇÃO!$D$13:$E$350,2,0)</f>
        <v>DIRETO</v>
      </c>
      <c r="B93" s="14" t="str">
        <f t="shared" si="24"/>
        <v>5RIO AVE CARNEIROS 01 SPE LTDA.</v>
      </c>
      <c r="C93" s="15">
        <f t="shared" si="23"/>
        <v>5</v>
      </c>
      <c r="D93" s="16" t="str">
        <f t="shared" si="25"/>
        <v>104RIO AVE CARNEIROS 01 SPE LTDA.</v>
      </c>
      <c r="E93" s="17">
        <f t="shared" si="16"/>
        <v>104</v>
      </c>
      <c r="F93" s="18" t="str">
        <f t="shared" si="26"/>
        <v>123RIO AVE CARNEIROS 01 SPE LTDA.</v>
      </c>
      <c r="G93" s="18">
        <f t="shared" si="17"/>
        <v>123</v>
      </c>
      <c r="H93" s="19" t="str">
        <f t="shared" si="27"/>
        <v>147RIO AVE CARNEIROS 01 SPE LTDA.</v>
      </c>
      <c r="I93" s="19">
        <f t="shared" si="18"/>
        <v>147</v>
      </c>
      <c r="J93" s="13" t="s">
        <v>61</v>
      </c>
      <c r="K93" s="13" t="s">
        <v>178</v>
      </c>
      <c r="L93" s="13" t="s">
        <v>59</v>
      </c>
      <c r="M93" s="13" t="s">
        <v>55</v>
      </c>
      <c r="N93" s="20">
        <v>1719.26</v>
      </c>
      <c r="O93" s="20">
        <v>2156</v>
      </c>
      <c r="P93" s="21">
        <v>45238</v>
      </c>
      <c r="Q93" s="22"/>
      <c r="R93" s="23">
        <v>2156</v>
      </c>
      <c r="S93" s="24"/>
      <c r="T93" s="23"/>
      <c r="U93" s="24"/>
      <c r="V93" s="23"/>
      <c r="W93" s="23"/>
      <c r="X93" s="24"/>
      <c r="Y93" s="23"/>
      <c r="Z93" s="23"/>
      <c r="AA93" s="23">
        <v>0.79</v>
      </c>
      <c r="AB93" s="23">
        <v>13.17</v>
      </c>
      <c r="AC93" s="24">
        <v>57.5</v>
      </c>
      <c r="AD93" s="23">
        <v>19.550000000000004</v>
      </c>
      <c r="AE93" s="24">
        <v>77.242857142857147</v>
      </c>
      <c r="AF93" s="23"/>
      <c r="AG93" s="23"/>
      <c r="AH93" s="23">
        <v>3.7399999999999998</v>
      </c>
      <c r="AI93" s="24">
        <v>0</v>
      </c>
      <c r="AJ93" s="25">
        <v>977.84999999999991</v>
      </c>
      <c r="AK93" s="23">
        <v>216.22</v>
      </c>
      <c r="AL93" s="23"/>
      <c r="AM93" s="24"/>
      <c r="AN93" s="23"/>
      <c r="AO93" s="24"/>
      <c r="AP93" s="23"/>
      <c r="AQ93" s="24"/>
      <c r="AR93" s="23">
        <v>6.85</v>
      </c>
      <c r="AS93" s="23">
        <v>-1099</v>
      </c>
      <c r="AT93" s="23"/>
      <c r="AU93" s="24"/>
      <c r="AW93" s="27">
        <f t="shared" si="19"/>
        <v>977.8500929999999</v>
      </c>
      <c r="AX93" s="27">
        <f t="shared" si="20"/>
        <v>19.550093000000004</v>
      </c>
      <c r="AY93" s="27">
        <f t="shared" si="21"/>
        <v>13.170093</v>
      </c>
      <c r="AZ93" s="27">
        <f t="shared" si="22"/>
        <v>9.2999999999999997E-5</v>
      </c>
    </row>
    <row r="94" spans="1:52" ht="15" customHeight="1" x14ac:dyDescent="0.25">
      <c r="A94" s="13" t="str">
        <f>VLOOKUP(L94,[1]VALIDAÇÃO!$D$13:$E$350,2,0)</f>
        <v>DIRETO</v>
      </c>
      <c r="B94" s="14" t="str">
        <f t="shared" si="24"/>
        <v>96CONDOMINIO DO EDIFICIO EMPRESARIAL MARIE CURIE</v>
      </c>
      <c r="C94" s="15">
        <f t="shared" si="23"/>
        <v>96</v>
      </c>
      <c r="D94" s="16" t="str">
        <f t="shared" si="25"/>
        <v>120CONDOMINIO DO EDIFICIO EMPRESARIAL MARIE CURIE</v>
      </c>
      <c r="E94" s="17">
        <f t="shared" si="16"/>
        <v>120</v>
      </c>
      <c r="F94" s="18" t="str">
        <f t="shared" si="26"/>
        <v>67CONDOMINIO DO EDIFICIO EMPRESARIAL MARIE CURIE</v>
      </c>
      <c r="G94" s="18">
        <f t="shared" si="17"/>
        <v>67</v>
      </c>
      <c r="H94" s="19" t="str">
        <f t="shared" si="27"/>
        <v>20CONDOMINIO DO EDIFICIO EMPRESARIAL MARIE CURIE</v>
      </c>
      <c r="I94" s="19">
        <f t="shared" si="18"/>
        <v>20</v>
      </c>
      <c r="J94" s="13" t="s">
        <v>57</v>
      </c>
      <c r="K94" s="13" t="s">
        <v>179</v>
      </c>
      <c r="L94" s="13" t="s">
        <v>54</v>
      </c>
      <c r="M94" s="13" t="s">
        <v>60</v>
      </c>
      <c r="N94" s="20">
        <v>934.36</v>
      </c>
      <c r="O94" s="20">
        <v>1622.13</v>
      </c>
      <c r="P94" s="21">
        <v>45931</v>
      </c>
      <c r="Q94" s="22"/>
      <c r="R94" s="23">
        <v>1622.13</v>
      </c>
      <c r="S94" s="24"/>
      <c r="T94" s="23"/>
      <c r="U94" s="24"/>
      <c r="V94" s="23"/>
      <c r="W94" s="23"/>
      <c r="X94" s="24"/>
      <c r="Y94" s="23"/>
      <c r="Z94" s="23"/>
      <c r="AA94" s="23">
        <v>0.87000000000000011</v>
      </c>
      <c r="AB94" s="23">
        <v>34.479999999999997</v>
      </c>
      <c r="AC94" s="24">
        <v>628.71428571428578</v>
      </c>
      <c r="AD94" s="23">
        <v>0.43</v>
      </c>
      <c r="AE94" s="24">
        <v>8</v>
      </c>
      <c r="AF94" s="23"/>
      <c r="AG94" s="23"/>
      <c r="AH94" s="23">
        <v>4.05</v>
      </c>
      <c r="AI94" s="24">
        <v>0</v>
      </c>
      <c r="AJ94" s="25">
        <v>173.77</v>
      </c>
      <c r="AK94" s="23">
        <v>39.559999999999995</v>
      </c>
      <c r="AL94" s="23"/>
      <c r="AM94" s="24"/>
      <c r="AN94" s="23"/>
      <c r="AO94" s="24"/>
      <c r="AP94" s="23">
        <v>127.5</v>
      </c>
      <c r="AQ94" s="24">
        <v>484.19</v>
      </c>
      <c r="AR94" s="23">
        <v>34.479999999999997</v>
      </c>
      <c r="AS94" s="23">
        <v>-695.2</v>
      </c>
      <c r="AT94" s="23"/>
      <c r="AU94" s="24"/>
      <c r="AW94" s="27">
        <f t="shared" si="19"/>
        <v>173.770094</v>
      </c>
      <c r="AX94" s="27">
        <f t="shared" si="20"/>
        <v>0.43009399999999998</v>
      </c>
      <c r="AY94" s="27">
        <f t="shared" si="21"/>
        <v>34.480093999999994</v>
      </c>
      <c r="AZ94" s="27">
        <f t="shared" si="22"/>
        <v>127.500094</v>
      </c>
    </row>
    <row r="95" spans="1:52" ht="15" customHeight="1" x14ac:dyDescent="0.25">
      <c r="A95" s="13" t="str">
        <f>VLOOKUP(L95,[1]VALIDAÇÃO!$D$13:$E$350,2,0)</f>
        <v>DIRETO</v>
      </c>
      <c r="B95" s="14" t="str">
        <f t="shared" si="24"/>
        <v>3RIO AVE SUBHOLDING INCORPORACAO LTDA</v>
      </c>
      <c r="C95" s="15">
        <f t="shared" si="23"/>
        <v>3</v>
      </c>
      <c r="D95" s="16" t="str">
        <f t="shared" si="25"/>
        <v>4RIO AVE SUBHOLDING INCORPORACAO LTDA</v>
      </c>
      <c r="E95" s="17">
        <f t="shared" si="16"/>
        <v>4</v>
      </c>
      <c r="F95" s="18" t="str">
        <f t="shared" si="26"/>
        <v>2RIO AVE SUBHOLDING INCORPORACAO LTDA</v>
      </c>
      <c r="G95" s="18">
        <f t="shared" si="17"/>
        <v>2</v>
      </c>
      <c r="H95" s="19" t="str">
        <f t="shared" si="27"/>
        <v>11RIO AVE SUBHOLDING INCORPORACAO LTDA</v>
      </c>
      <c r="I95" s="19">
        <f t="shared" si="18"/>
        <v>11</v>
      </c>
      <c r="J95" s="13" t="s">
        <v>124</v>
      </c>
      <c r="K95" s="13" t="s">
        <v>180</v>
      </c>
      <c r="L95" s="13" t="s">
        <v>54</v>
      </c>
      <c r="M95" s="13" t="s">
        <v>181</v>
      </c>
      <c r="N95" s="20">
        <v>261.93</v>
      </c>
      <c r="O95" s="20"/>
      <c r="P95" s="21">
        <v>45505</v>
      </c>
      <c r="Q95" s="22"/>
      <c r="R95" s="23"/>
      <c r="S95" s="24"/>
      <c r="T95" s="23"/>
      <c r="U95" s="24"/>
      <c r="V95" s="23"/>
      <c r="W95" s="23"/>
      <c r="X95" s="24"/>
      <c r="Y95" s="23">
        <v>296.69</v>
      </c>
      <c r="Z95" s="23"/>
      <c r="AA95" s="23">
        <v>0.1</v>
      </c>
      <c r="AB95" s="23">
        <v>6.53</v>
      </c>
      <c r="AC95" s="24">
        <v>31.82</v>
      </c>
      <c r="AD95" s="23">
        <v>13.81</v>
      </c>
      <c r="AE95" s="24">
        <v>67.31</v>
      </c>
      <c r="AF95" s="23"/>
      <c r="AG95" s="23"/>
      <c r="AH95" s="23">
        <v>0.56000000000000005</v>
      </c>
      <c r="AI95" s="24">
        <v>0</v>
      </c>
      <c r="AJ95" s="25">
        <v>134.94</v>
      </c>
      <c r="AK95" s="23">
        <v>27.17</v>
      </c>
      <c r="AL95" s="23"/>
      <c r="AM95" s="24"/>
      <c r="AN95" s="23"/>
      <c r="AO95" s="24"/>
      <c r="AP95" s="23"/>
      <c r="AQ95" s="24"/>
      <c r="AR95" s="23">
        <v>3.38</v>
      </c>
      <c r="AS95" s="23"/>
      <c r="AT95" s="23"/>
      <c r="AU95" s="24"/>
      <c r="AW95" s="27">
        <f t="shared" si="19"/>
        <v>134.94009499999999</v>
      </c>
      <c r="AX95" s="27">
        <f t="shared" si="20"/>
        <v>13.810095</v>
      </c>
      <c r="AY95" s="27">
        <f t="shared" si="21"/>
        <v>6.5300950000000002</v>
      </c>
      <c r="AZ95" s="27">
        <f t="shared" si="22"/>
        <v>9.5000000000000005E-5</v>
      </c>
    </row>
    <row r="96" spans="1:52" ht="15" customHeight="1" x14ac:dyDescent="0.25">
      <c r="A96" s="13" t="str">
        <f>VLOOKUP(L96,[1]VALIDAÇÃO!$D$13:$E$350,2,0)</f>
        <v>INDIRETO</v>
      </c>
      <c r="B96" s="14" t="str">
        <f t="shared" si="24"/>
        <v>123CONDOMINIO DO EDIFICIO EMPRESARIAL MARIE CURIE</v>
      </c>
      <c r="C96" s="15">
        <f t="shared" si="23"/>
        <v>123</v>
      </c>
      <c r="D96" s="16" t="str">
        <f t="shared" si="25"/>
        <v>128CONDOMINIO DO EDIFICIO EMPRESARIAL MARIE CURIE</v>
      </c>
      <c r="E96" s="17">
        <f t="shared" si="16"/>
        <v>128</v>
      </c>
      <c r="F96" s="18" t="str">
        <f t="shared" si="26"/>
        <v>123CONDOMINIO DO EDIFICIO EMPRESARIAL MARIE CURIE</v>
      </c>
      <c r="G96" s="18">
        <f t="shared" si="17"/>
        <v>123</v>
      </c>
      <c r="H96" s="19" t="str">
        <f t="shared" si="27"/>
        <v>115CONDOMINIO DO EDIFICIO EMPRESARIAL MARIE CURIE</v>
      </c>
      <c r="I96" s="19">
        <f t="shared" si="18"/>
        <v>115</v>
      </c>
      <c r="J96" s="13" t="s">
        <v>57</v>
      </c>
      <c r="K96" s="13" t="s">
        <v>182</v>
      </c>
      <c r="L96" s="13" t="s">
        <v>183</v>
      </c>
      <c r="M96" s="13" t="s">
        <v>60</v>
      </c>
      <c r="N96" s="20">
        <v>1299.6300000000001</v>
      </c>
      <c r="O96" s="20"/>
      <c r="P96" s="21">
        <v>45748</v>
      </c>
      <c r="Q96" s="22"/>
      <c r="R96" s="23"/>
      <c r="S96" s="24"/>
      <c r="T96" s="23"/>
      <c r="U96" s="24"/>
      <c r="V96" s="23"/>
      <c r="W96" s="23"/>
      <c r="X96" s="24"/>
      <c r="Y96" s="23"/>
      <c r="Z96" s="23"/>
      <c r="AA96" s="23"/>
      <c r="AB96" s="23"/>
      <c r="AC96" s="24"/>
      <c r="AD96" s="23"/>
      <c r="AE96" s="24"/>
      <c r="AF96" s="23"/>
      <c r="AG96" s="23"/>
      <c r="AH96" s="23"/>
      <c r="AI96" s="24"/>
      <c r="AJ96" s="25"/>
      <c r="AK96" s="23"/>
      <c r="AL96" s="23"/>
      <c r="AM96" s="24"/>
      <c r="AN96" s="23"/>
      <c r="AO96" s="24"/>
      <c r="AP96" s="23"/>
      <c r="AQ96" s="24"/>
      <c r="AR96" s="23"/>
      <c r="AS96" s="23">
        <v>-502.67</v>
      </c>
      <c r="AT96" s="23"/>
      <c r="AU96" s="24"/>
      <c r="AW96" s="27">
        <f t="shared" si="19"/>
        <v>9.6000000000000002E-5</v>
      </c>
      <c r="AX96" s="27">
        <f t="shared" si="20"/>
        <v>9.6000000000000002E-5</v>
      </c>
      <c r="AY96" s="27">
        <f t="shared" si="21"/>
        <v>9.6000000000000002E-5</v>
      </c>
      <c r="AZ96" s="27">
        <f t="shared" si="22"/>
        <v>9.6000000000000002E-5</v>
      </c>
    </row>
    <row r="97" spans="1:52" ht="15" customHeight="1" x14ac:dyDescent="0.25">
      <c r="A97" s="13" t="str">
        <f>VLOOKUP(L97,[1]VALIDAÇÃO!$D$13:$E$350,2,0)</f>
        <v>DIRETO</v>
      </c>
      <c r="B97" s="14" t="str">
        <f t="shared" si="24"/>
        <v>67RESERVA DO PAIVA SPE 01 LTDA.</v>
      </c>
      <c r="C97" s="15">
        <f t="shared" si="23"/>
        <v>67</v>
      </c>
      <c r="D97" s="16" t="str">
        <f t="shared" si="25"/>
        <v>29RESERVA DO PAIVA SPE 01 LTDA.</v>
      </c>
      <c r="E97" s="17">
        <f t="shared" si="16"/>
        <v>29</v>
      </c>
      <c r="F97" s="18" t="str">
        <f t="shared" si="26"/>
        <v>55RESERVA DO PAIVA SPE 01 LTDA.</v>
      </c>
      <c r="G97" s="18">
        <f t="shared" si="17"/>
        <v>55</v>
      </c>
      <c r="H97" s="19" t="str">
        <f t="shared" si="27"/>
        <v>74RESERVA DO PAIVA SPE 01 LTDA.</v>
      </c>
      <c r="I97" s="19">
        <f t="shared" si="18"/>
        <v>74</v>
      </c>
      <c r="J97" s="13" t="s">
        <v>68</v>
      </c>
      <c r="K97" s="13" t="s">
        <v>184</v>
      </c>
      <c r="L97" s="13" t="s">
        <v>54</v>
      </c>
      <c r="M97" s="13" t="s">
        <v>55</v>
      </c>
      <c r="N97" s="20">
        <v>65</v>
      </c>
      <c r="O97" s="20">
        <v>1622.13</v>
      </c>
      <c r="P97" s="21">
        <v>45572</v>
      </c>
      <c r="Q97" s="22"/>
      <c r="R97" s="23">
        <v>1622.13</v>
      </c>
      <c r="S97" s="24"/>
      <c r="T97" s="23"/>
      <c r="U97" s="24"/>
      <c r="V97" s="23"/>
      <c r="W97" s="23"/>
      <c r="X97" s="24"/>
      <c r="Y97" s="23"/>
      <c r="Z97" s="23"/>
      <c r="AA97" s="23">
        <v>6.64</v>
      </c>
      <c r="AB97" s="23">
        <v>165.31</v>
      </c>
      <c r="AC97" s="24">
        <v>966.79428571428571</v>
      </c>
      <c r="AD97" s="23">
        <v>426.03000000000003</v>
      </c>
      <c r="AE97" s="24">
        <v>2264.8414285714289</v>
      </c>
      <c r="AF97" s="23"/>
      <c r="AG97" s="23"/>
      <c r="AH97" s="23">
        <v>29.73</v>
      </c>
      <c r="AI97" s="24">
        <v>0</v>
      </c>
      <c r="AJ97" s="25">
        <v>327.14999999999998</v>
      </c>
      <c r="AK97" s="23">
        <v>72.28</v>
      </c>
      <c r="AL97" s="23"/>
      <c r="AM97" s="24"/>
      <c r="AN97" s="23">
        <v>-173.8</v>
      </c>
      <c r="AO97" s="24">
        <v>3</v>
      </c>
      <c r="AP97" s="23">
        <v>58.95</v>
      </c>
      <c r="AQ97" s="24">
        <v>285.60428571428571</v>
      </c>
      <c r="AR97" s="23">
        <v>141.34</v>
      </c>
      <c r="AS97" s="23">
        <v>-695.2</v>
      </c>
      <c r="AT97" s="23">
        <v>-173.8</v>
      </c>
      <c r="AU97" s="24">
        <v>3</v>
      </c>
      <c r="AW97" s="27">
        <f t="shared" si="19"/>
        <v>327.15009699999996</v>
      </c>
      <c r="AX97" s="27">
        <f t="shared" si="20"/>
        <v>426.03009700000001</v>
      </c>
      <c r="AY97" s="27">
        <f t="shared" si="21"/>
        <v>165.31009700000001</v>
      </c>
      <c r="AZ97" s="27">
        <f t="shared" si="22"/>
        <v>58.950097</v>
      </c>
    </row>
    <row r="98" spans="1:52" ht="15" customHeight="1" x14ac:dyDescent="0.25">
      <c r="A98" s="13" t="str">
        <f>VLOOKUP(L98,[1]VALIDAÇÃO!$D$13:$E$350,2,0)</f>
        <v>DIRETO</v>
      </c>
      <c r="B98" s="14" t="str">
        <f t="shared" si="24"/>
        <v>36RIO AVE 200 SPE LTDA.</v>
      </c>
      <c r="C98" s="15">
        <f t="shared" si="23"/>
        <v>36</v>
      </c>
      <c r="D98" s="16" t="str">
        <f t="shared" si="25"/>
        <v>44RIO AVE 200 SPE LTDA.</v>
      </c>
      <c r="E98" s="17">
        <f t="shared" si="16"/>
        <v>44</v>
      </c>
      <c r="F98" s="18" t="str">
        <f t="shared" si="26"/>
        <v>77RIO AVE 200 SPE LTDA.</v>
      </c>
      <c r="G98" s="18">
        <f t="shared" si="17"/>
        <v>77</v>
      </c>
      <c r="H98" s="19" t="str">
        <f t="shared" si="27"/>
        <v>15RIO AVE 200 SPE LTDA.</v>
      </c>
      <c r="I98" s="19">
        <f t="shared" si="18"/>
        <v>15</v>
      </c>
      <c r="J98" s="13" t="s">
        <v>48</v>
      </c>
      <c r="K98" s="13" t="s">
        <v>185</v>
      </c>
      <c r="L98" s="13" t="s">
        <v>131</v>
      </c>
      <c r="M98" s="13" t="s">
        <v>55</v>
      </c>
      <c r="N98" s="20">
        <v>1371.88</v>
      </c>
      <c r="O98" s="20">
        <v>2156</v>
      </c>
      <c r="P98" s="21">
        <v>45736</v>
      </c>
      <c r="Q98" s="22"/>
      <c r="R98" s="23">
        <v>2156</v>
      </c>
      <c r="S98" s="24"/>
      <c r="T98" s="23"/>
      <c r="U98" s="24"/>
      <c r="V98" s="23"/>
      <c r="W98" s="23"/>
      <c r="X98" s="24"/>
      <c r="Y98" s="23"/>
      <c r="Z98" s="23"/>
      <c r="AA98" s="23">
        <v>1.1400000000000001</v>
      </c>
      <c r="AB98" s="23"/>
      <c r="AC98" s="24"/>
      <c r="AD98" s="23">
        <v>96.16</v>
      </c>
      <c r="AE98" s="24">
        <v>354.02857142857141</v>
      </c>
      <c r="AF98" s="23"/>
      <c r="AG98" s="23"/>
      <c r="AH98" s="23">
        <v>4.82</v>
      </c>
      <c r="AI98" s="24">
        <v>0</v>
      </c>
      <c r="AJ98" s="25">
        <v>392.99</v>
      </c>
      <c r="AK98" s="23">
        <v>84.24</v>
      </c>
      <c r="AL98" s="23"/>
      <c r="AM98" s="24"/>
      <c r="AN98" s="23"/>
      <c r="AO98" s="24"/>
      <c r="AP98" s="23">
        <v>16.04</v>
      </c>
      <c r="AQ98" s="24">
        <v>76.98571428571428</v>
      </c>
      <c r="AR98" s="23">
        <v>26.740000000000002</v>
      </c>
      <c r="AS98" s="23">
        <v>-924</v>
      </c>
      <c r="AT98" s="23"/>
      <c r="AU98" s="24"/>
      <c r="AW98" s="27">
        <f t="shared" si="19"/>
        <v>392.99009799999999</v>
      </c>
      <c r="AX98" s="27">
        <f t="shared" si="20"/>
        <v>96.160097999999991</v>
      </c>
      <c r="AY98" s="27">
        <f t="shared" si="21"/>
        <v>9.7999999999999997E-5</v>
      </c>
      <c r="AZ98" s="27">
        <f t="shared" si="22"/>
        <v>16.040098</v>
      </c>
    </row>
    <row r="99" spans="1:52" ht="15" customHeight="1" x14ac:dyDescent="0.25">
      <c r="A99" s="13" t="str">
        <f>VLOOKUP(L99,[1]VALIDAÇÃO!$D$13:$E$350,2,0)</f>
        <v>DIRETO</v>
      </c>
      <c r="B99" s="14" t="str">
        <f t="shared" si="24"/>
        <v>100RESERVA DO PAIVA SPE 03 LTDA</v>
      </c>
      <c r="C99" s="15">
        <f t="shared" si="23"/>
        <v>100</v>
      </c>
      <c r="D99" s="16" t="str">
        <f t="shared" si="25"/>
        <v>151RESERVA DO PAIVA SPE 03 LTDA</v>
      </c>
      <c r="E99" s="17">
        <f t="shared" si="16"/>
        <v>151</v>
      </c>
      <c r="F99" s="18" t="str">
        <f t="shared" si="26"/>
        <v>161RESERVA DO PAIVA SPE 03 LTDA</v>
      </c>
      <c r="G99" s="18">
        <f t="shared" si="17"/>
        <v>161</v>
      </c>
      <c r="H99" s="19" t="str">
        <f t="shared" si="27"/>
        <v>153RESERVA DO PAIVA SPE 03 LTDA</v>
      </c>
      <c r="I99" s="19">
        <f t="shared" si="18"/>
        <v>153</v>
      </c>
      <c r="J99" s="13" t="s">
        <v>52</v>
      </c>
      <c r="K99" s="13" t="s">
        <v>186</v>
      </c>
      <c r="L99" s="13" t="s">
        <v>54</v>
      </c>
      <c r="M99" s="13" t="s">
        <v>55</v>
      </c>
      <c r="N99" s="20">
        <v>863.58</v>
      </c>
      <c r="O99" s="20">
        <v>1622.13</v>
      </c>
      <c r="P99" s="21">
        <v>45971</v>
      </c>
      <c r="Q99" s="22"/>
      <c r="R99" s="23">
        <v>1622.13</v>
      </c>
      <c r="S99" s="24"/>
      <c r="T99" s="23"/>
      <c r="U99" s="24"/>
      <c r="V99" s="23"/>
      <c r="W99" s="23"/>
      <c r="X99" s="24"/>
      <c r="Y99" s="23"/>
      <c r="Z99" s="23"/>
      <c r="AA99" s="23"/>
      <c r="AB99" s="23"/>
      <c r="AC99" s="24"/>
      <c r="AD99" s="23">
        <v>0.77</v>
      </c>
      <c r="AE99" s="24">
        <v>20.8</v>
      </c>
      <c r="AF99" s="23"/>
      <c r="AG99" s="23"/>
      <c r="AH99" s="23"/>
      <c r="AI99" s="24"/>
      <c r="AJ99" s="25">
        <v>132.49</v>
      </c>
      <c r="AK99" s="23">
        <v>28.8</v>
      </c>
      <c r="AL99" s="23"/>
      <c r="AM99" s="24"/>
      <c r="AN99" s="23"/>
      <c r="AO99" s="24"/>
      <c r="AP99" s="23"/>
      <c r="AQ99" s="24"/>
      <c r="AR99" s="23">
        <v>0.24</v>
      </c>
      <c r="AS99" s="23">
        <v>-695.2</v>
      </c>
      <c r="AT99" s="23"/>
      <c r="AU99" s="24"/>
      <c r="AW99" s="27">
        <f t="shared" si="19"/>
        <v>132.49009900000001</v>
      </c>
      <c r="AX99" s="27">
        <f t="shared" si="20"/>
        <v>0.77009899999999998</v>
      </c>
      <c r="AY99" s="27">
        <f t="shared" si="21"/>
        <v>9.8999999999999994E-5</v>
      </c>
      <c r="AZ99" s="27">
        <f t="shared" si="22"/>
        <v>9.8999999999999994E-5</v>
      </c>
    </row>
    <row r="100" spans="1:52" ht="15" customHeight="1" x14ac:dyDescent="0.25">
      <c r="A100" s="13" t="str">
        <f>VLOOKUP(L100,[1]VALIDAÇÃO!$D$13:$E$350,2,0)</f>
        <v>DIRETO</v>
      </c>
      <c r="B100" s="14" t="str">
        <f t="shared" si="24"/>
        <v>149RIO AVE CARNEIROS 01 SPE LTDA.</v>
      </c>
      <c r="C100" s="15">
        <f t="shared" si="23"/>
        <v>149</v>
      </c>
      <c r="D100" s="16" t="str">
        <f t="shared" si="25"/>
        <v>155RIO AVE CARNEIROS 01 SPE LTDA.</v>
      </c>
      <c r="E100" s="17">
        <f t="shared" si="16"/>
        <v>155</v>
      </c>
      <c r="F100" s="18" t="str">
        <f t="shared" si="26"/>
        <v>152RIO AVE CARNEIROS 01 SPE LTDA.</v>
      </c>
      <c r="G100" s="18">
        <f t="shared" si="17"/>
        <v>152</v>
      </c>
      <c r="H100" s="19" t="str">
        <f t="shared" si="27"/>
        <v>146RIO AVE CARNEIROS 01 SPE LTDA.</v>
      </c>
      <c r="I100" s="19">
        <f t="shared" si="18"/>
        <v>146</v>
      </c>
      <c r="J100" s="13" t="s">
        <v>61</v>
      </c>
      <c r="K100" s="13" t="s">
        <v>187</v>
      </c>
      <c r="L100" s="13" t="s">
        <v>54</v>
      </c>
      <c r="M100" s="13" t="s">
        <v>55</v>
      </c>
      <c r="N100" s="20">
        <v>0</v>
      </c>
      <c r="O100" s="20"/>
      <c r="P100" s="21">
        <v>45391</v>
      </c>
      <c r="Q100" s="22"/>
      <c r="R100" s="23"/>
      <c r="S100" s="24"/>
      <c r="T100" s="23"/>
      <c r="U100" s="24"/>
      <c r="V100" s="23"/>
      <c r="W100" s="23"/>
      <c r="X100" s="24"/>
      <c r="Y100" s="23"/>
      <c r="Z100" s="23"/>
      <c r="AA100" s="23"/>
      <c r="AB100" s="23"/>
      <c r="AC100" s="24"/>
      <c r="AD100" s="23"/>
      <c r="AE100" s="24"/>
      <c r="AF100" s="23"/>
      <c r="AG100" s="23"/>
      <c r="AH100" s="23"/>
      <c r="AI100" s="24"/>
      <c r="AJ100" s="25"/>
      <c r="AK100" s="23"/>
      <c r="AL100" s="23"/>
      <c r="AM100" s="24"/>
      <c r="AN100" s="23"/>
      <c r="AO100" s="24"/>
      <c r="AP100" s="23"/>
      <c r="AQ100" s="24"/>
      <c r="AR100" s="23"/>
      <c r="AS100" s="23"/>
      <c r="AT100" s="23"/>
      <c r="AU100" s="24"/>
      <c r="AW100" s="27">
        <f t="shared" si="19"/>
        <v>1E-4</v>
      </c>
      <c r="AX100" s="27">
        <f t="shared" si="20"/>
        <v>1E-4</v>
      </c>
      <c r="AY100" s="27">
        <f t="shared" si="21"/>
        <v>1E-4</v>
      </c>
      <c r="AZ100" s="27">
        <f t="shared" si="22"/>
        <v>1E-4</v>
      </c>
    </row>
    <row r="101" spans="1:52" ht="15" customHeight="1" x14ac:dyDescent="0.25">
      <c r="A101" s="13" t="str">
        <f>VLOOKUP(L101,[1]VALIDAÇÃO!$D$13:$E$350,2,0)</f>
        <v>DIRETO</v>
      </c>
      <c r="B101" s="14" t="str">
        <f t="shared" si="24"/>
        <v>90CONDOMINIO DO EDIFICIO EMPRESARIAL MARIE CURIE</v>
      </c>
      <c r="C101" s="15">
        <f t="shared" si="23"/>
        <v>90</v>
      </c>
      <c r="D101" s="16" t="str">
        <f t="shared" si="25"/>
        <v>22CONDOMINIO DO EDIFICIO EMPRESARIAL MARIE CURIE</v>
      </c>
      <c r="E101" s="17">
        <f t="shared" si="16"/>
        <v>22</v>
      </c>
      <c r="F101" s="18" t="str">
        <f t="shared" si="26"/>
        <v>14CONDOMINIO DO EDIFICIO EMPRESARIAL MARIE CURIE</v>
      </c>
      <c r="G101" s="18">
        <f t="shared" si="17"/>
        <v>14</v>
      </c>
      <c r="H101" s="19" t="str">
        <f t="shared" si="27"/>
        <v>29CONDOMINIO DO EDIFICIO EMPRESARIAL MARIE CURIE</v>
      </c>
      <c r="I101" s="19">
        <f t="shared" si="18"/>
        <v>29</v>
      </c>
      <c r="J101" s="13" t="s">
        <v>57</v>
      </c>
      <c r="K101" s="13" t="s">
        <v>188</v>
      </c>
      <c r="L101" s="13" t="s">
        <v>189</v>
      </c>
      <c r="M101" s="13" t="s">
        <v>60</v>
      </c>
      <c r="N101" s="20">
        <v>1525.31</v>
      </c>
      <c r="O101" s="20">
        <v>2156</v>
      </c>
      <c r="P101" s="21">
        <v>45880</v>
      </c>
      <c r="Q101" s="22"/>
      <c r="R101" s="23">
        <v>2156</v>
      </c>
      <c r="S101" s="24"/>
      <c r="T101" s="23"/>
      <c r="U101" s="24"/>
      <c r="V101" s="23"/>
      <c r="W101" s="23"/>
      <c r="X101" s="24"/>
      <c r="Y101" s="23"/>
      <c r="Z101" s="23"/>
      <c r="AA101" s="23">
        <v>3.1500000000000004</v>
      </c>
      <c r="AB101" s="23">
        <v>284.01</v>
      </c>
      <c r="AC101" s="24">
        <v>1379.0328571428572</v>
      </c>
      <c r="AD101" s="23">
        <v>284.97000000000003</v>
      </c>
      <c r="AE101" s="24">
        <v>1695.0328571428572</v>
      </c>
      <c r="AF101" s="23"/>
      <c r="AG101" s="23"/>
      <c r="AH101" s="23">
        <v>14.320000000000002</v>
      </c>
      <c r="AI101" s="24">
        <v>0</v>
      </c>
      <c r="AJ101" s="25">
        <v>195.19</v>
      </c>
      <c r="AK101" s="23">
        <v>42.93</v>
      </c>
      <c r="AL101" s="23"/>
      <c r="AM101" s="24"/>
      <c r="AN101" s="23"/>
      <c r="AO101" s="24"/>
      <c r="AP101" s="23">
        <v>16.559999999999999</v>
      </c>
      <c r="AQ101" s="24">
        <v>130.78571428571428</v>
      </c>
      <c r="AR101" s="23">
        <v>127.11000000000001</v>
      </c>
      <c r="AS101" s="23">
        <v>-924</v>
      </c>
      <c r="AT101" s="23"/>
      <c r="AU101" s="24"/>
      <c r="AW101" s="27">
        <f t="shared" si="19"/>
        <v>195.190101</v>
      </c>
      <c r="AX101" s="27">
        <f t="shared" si="20"/>
        <v>284.970101</v>
      </c>
      <c r="AY101" s="27">
        <f t="shared" si="21"/>
        <v>284.01010099999996</v>
      </c>
      <c r="AZ101" s="27">
        <f t="shared" si="22"/>
        <v>16.560101</v>
      </c>
    </row>
    <row r="102" spans="1:52" ht="15" customHeight="1" x14ac:dyDescent="0.25">
      <c r="A102" s="13" t="str">
        <f>VLOOKUP(L102,[1]VALIDAÇÃO!$D$13:$E$350,2,0)</f>
        <v>DIRETO</v>
      </c>
      <c r="B102" s="14" t="str">
        <f t="shared" si="24"/>
        <v>1RIO AVE EQUIPAMENTOS LTDA.</v>
      </c>
      <c r="C102" s="15">
        <f t="shared" si="23"/>
        <v>1</v>
      </c>
      <c r="D102" s="16" t="str">
        <f t="shared" si="25"/>
        <v>3RIO AVE EQUIPAMENTOS LTDA.</v>
      </c>
      <c r="E102" s="17">
        <f t="shared" si="16"/>
        <v>3</v>
      </c>
      <c r="F102" s="18" t="str">
        <f t="shared" si="26"/>
        <v>1RIO AVE EQUIPAMENTOS LTDA.</v>
      </c>
      <c r="G102" s="18">
        <f t="shared" si="17"/>
        <v>1</v>
      </c>
      <c r="H102" s="19" t="str">
        <f t="shared" si="27"/>
        <v>6RIO AVE EQUIPAMENTOS LTDA.</v>
      </c>
      <c r="I102" s="19">
        <f t="shared" si="18"/>
        <v>6</v>
      </c>
      <c r="J102" s="13" t="s">
        <v>190</v>
      </c>
      <c r="K102" s="13" t="s">
        <v>191</v>
      </c>
      <c r="L102" s="13" t="s">
        <v>54</v>
      </c>
      <c r="M102" s="13" t="s">
        <v>85</v>
      </c>
      <c r="N102" s="20">
        <v>747.32</v>
      </c>
      <c r="O102" s="20">
        <v>1564.2</v>
      </c>
      <c r="P102" s="21">
        <v>45677</v>
      </c>
      <c r="Q102" s="22"/>
      <c r="R102" s="23">
        <v>1564.2</v>
      </c>
      <c r="S102" s="24"/>
      <c r="T102" s="23"/>
      <c r="U102" s="24"/>
      <c r="V102" s="23"/>
      <c r="W102" s="23"/>
      <c r="X102" s="24"/>
      <c r="Y102" s="23"/>
      <c r="Z102" s="23"/>
      <c r="AA102" s="23">
        <v>0.38</v>
      </c>
      <c r="AB102" s="23">
        <v>27.66</v>
      </c>
      <c r="AC102" s="24">
        <v>173.64285714285714</v>
      </c>
      <c r="AD102" s="23">
        <v>24.75</v>
      </c>
      <c r="AE102" s="24">
        <v>143.97142857142859</v>
      </c>
      <c r="AF102" s="23"/>
      <c r="AG102" s="23"/>
      <c r="AH102" s="23">
        <v>1.7599999999999998</v>
      </c>
      <c r="AI102" s="24">
        <v>0</v>
      </c>
      <c r="AJ102" s="25">
        <v>282.89</v>
      </c>
      <c r="AK102" s="23">
        <v>60.679999999999993</v>
      </c>
      <c r="AL102" s="23">
        <v>-30.68</v>
      </c>
      <c r="AM102" s="24">
        <v>233</v>
      </c>
      <c r="AN102" s="23"/>
      <c r="AO102" s="24"/>
      <c r="AP102" s="23"/>
      <c r="AQ102" s="24"/>
      <c r="AR102" s="23">
        <v>10.940000000000001</v>
      </c>
      <c r="AS102" s="23">
        <v>-695.2</v>
      </c>
      <c r="AT102" s="23"/>
      <c r="AU102" s="24"/>
      <c r="AW102" s="27">
        <f t="shared" si="19"/>
        <v>282.89010200000001</v>
      </c>
      <c r="AX102" s="27">
        <f t="shared" si="20"/>
        <v>24.750101999999998</v>
      </c>
      <c r="AY102" s="27">
        <f t="shared" si="21"/>
        <v>27.660101999999998</v>
      </c>
      <c r="AZ102" s="27">
        <f t="shared" si="22"/>
        <v>1.02E-4</v>
      </c>
    </row>
    <row r="103" spans="1:52" ht="15" customHeight="1" x14ac:dyDescent="0.25">
      <c r="A103" s="13" t="str">
        <f>VLOOKUP(L103,[1]VALIDAÇÃO!$D$13:$E$350,2,0)</f>
        <v>INDIRETO</v>
      </c>
      <c r="B103" s="14" t="str">
        <f t="shared" si="24"/>
        <v>162RESERVA DO PAIVA SPE 03 LTDA</v>
      </c>
      <c r="C103" s="15">
        <f t="shared" si="23"/>
        <v>162</v>
      </c>
      <c r="D103" s="16" t="str">
        <f t="shared" si="25"/>
        <v>8RESERVA DO PAIVA SPE 03 LTDA</v>
      </c>
      <c r="E103" s="17">
        <f t="shared" si="16"/>
        <v>8</v>
      </c>
      <c r="F103" s="18" t="str">
        <f t="shared" si="26"/>
        <v>3RESERVA DO PAIVA SPE 03 LTDA</v>
      </c>
      <c r="G103" s="18">
        <f t="shared" si="17"/>
        <v>3</v>
      </c>
      <c r="H103" s="19" t="str">
        <f t="shared" si="27"/>
        <v>9RESERVA DO PAIVA SPE 03 LTDA</v>
      </c>
      <c r="I103" s="19">
        <f t="shared" si="18"/>
        <v>9</v>
      </c>
      <c r="J103" s="13" t="s">
        <v>52</v>
      </c>
      <c r="K103" s="13" t="s">
        <v>192</v>
      </c>
      <c r="L103" s="13" t="s">
        <v>193</v>
      </c>
      <c r="M103" s="13" t="s">
        <v>85</v>
      </c>
      <c r="N103" s="20">
        <v>2546.84</v>
      </c>
      <c r="O103" s="20">
        <v>2943.68</v>
      </c>
      <c r="P103" s="21">
        <v>45749</v>
      </c>
      <c r="Q103" s="22"/>
      <c r="R103" s="23">
        <v>2943.68</v>
      </c>
      <c r="S103" s="24"/>
      <c r="T103" s="23"/>
      <c r="U103" s="24"/>
      <c r="V103" s="23"/>
      <c r="W103" s="23"/>
      <c r="X103" s="24"/>
      <c r="Y103" s="23"/>
      <c r="Z103" s="23"/>
      <c r="AA103" s="23"/>
      <c r="AB103" s="23">
        <v>686.2</v>
      </c>
      <c r="AC103" s="24">
        <v>2109.4985714285717</v>
      </c>
      <c r="AD103" s="23">
        <v>1023.6200000000001</v>
      </c>
      <c r="AE103" s="24">
        <v>3274.17</v>
      </c>
      <c r="AF103" s="23"/>
      <c r="AG103" s="23"/>
      <c r="AH103" s="23"/>
      <c r="AI103" s="24"/>
      <c r="AJ103" s="25"/>
      <c r="AK103" s="23"/>
      <c r="AL103" s="23">
        <v>-82.23</v>
      </c>
      <c r="AM103" s="24">
        <v>344.17</v>
      </c>
      <c r="AN103" s="23"/>
      <c r="AO103" s="24"/>
      <c r="AP103" s="23">
        <v>563.53</v>
      </c>
      <c r="AQ103" s="24">
        <v>1455.0128571428572</v>
      </c>
      <c r="AR103" s="23">
        <v>505.15999999999997</v>
      </c>
      <c r="AS103" s="23">
        <v>-1261.58</v>
      </c>
      <c r="AT103" s="23"/>
      <c r="AU103" s="24"/>
      <c r="AW103" s="27">
        <f t="shared" si="19"/>
        <v>1.03E-4</v>
      </c>
      <c r="AX103" s="27">
        <f t="shared" si="20"/>
        <v>1023.6201030000001</v>
      </c>
      <c r="AY103" s="27">
        <f t="shared" si="21"/>
        <v>686.20010300000001</v>
      </c>
      <c r="AZ103" s="27">
        <f t="shared" si="22"/>
        <v>563.53010299999994</v>
      </c>
    </row>
    <row r="104" spans="1:52" ht="15" customHeight="1" x14ac:dyDescent="0.25">
      <c r="A104" s="13" t="str">
        <f>VLOOKUP(L104,[1]VALIDAÇÃO!$D$13:$E$350,2,0)</f>
        <v>DIRETO</v>
      </c>
      <c r="B104" s="14" t="str">
        <f t="shared" si="24"/>
        <v>103RIO AVE CARNEIROS 01 SPE LTDA.</v>
      </c>
      <c r="C104" s="15">
        <f t="shared" si="23"/>
        <v>103</v>
      </c>
      <c r="D104" s="16" t="str">
        <f t="shared" si="25"/>
        <v>154RIO AVE CARNEIROS 01 SPE LTDA.</v>
      </c>
      <c r="E104" s="17">
        <f t="shared" si="16"/>
        <v>154</v>
      </c>
      <c r="F104" s="18" t="str">
        <f t="shared" si="26"/>
        <v>100RIO AVE CARNEIROS 01 SPE LTDA.</v>
      </c>
      <c r="G104" s="18">
        <f t="shared" si="17"/>
        <v>100</v>
      </c>
      <c r="H104" s="19" t="str">
        <f t="shared" si="27"/>
        <v>145RIO AVE CARNEIROS 01 SPE LTDA.</v>
      </c>
      <c r="I104" s="19">
        <f t="shared" si="18"/>
        <v>145</v>
      </c>
      <c r="J104" s="13" t="s">
        <v>61</v>
      </c>
      <c r="K104" s="13" t="s">
        <v>194</v>
      </c>
      <c r="L104" s="13" t="s">
        <v>54</v>
      </c>
      <c r="M104" s="13" t="s">
        <v>55</v>
      </c>
      <c r="N104" s="20">
        <v>899.16</v>
      </c>
      <c r="O104" s="20">
        <v>1622.13</v>
      </c>
      <c r="P104" s="21">
        <v>45922</v>
      </c>
      <c r="Q104" s="22"/>
      <c r="R104" s="23">
        <v>1622.13</v>
      </c>
      <c r="S104" s="24"/>
      <c r="T104" s="23"/>
      <c r="U104" s="24"/>
      <c r="V104" s="23"/>
      <c r="W104" s="23"/>
      <c r="X104" s="24"/>
      <c r="Y104" s="23"/>
      <c r="Z104" s="23"/>
      <c r="AA104" s="23">
        <v>0.24000000000000002</v>
      </c>
      <c r="AB104" s="23">
        <v>37.370000000000005</v>
      </c>
      <c r="AC104" s="24">
        <v>681.42857142857144</v>
      </c>
      <c r="AD104" s="23"/>
      <c r="AE104" s="24"/>
      <c r="AF104" s="23"/>
      <c r="AG104" s="23"/>
      <c r="AH104" s="23">
        <v>1.1200000000000001</v>
      </c>
      <c r="AI104" s="24">
        <v>0</v>
      </c>
      <c r="AJ104" s="25">
        <v>191.84</v>
      </c>
      <c r="AK104" s="23">
        <v>42.07</v>
      </c>
      <c r="AL104" s="23"/>
      <c r="AM104" s="24"/>
      <c r="AN104" s="23"/>
      <c r="AO104" s="24"/>
      <c r="AP104" s="23"/>
      <c r="AQ104" s="24"/>
      <c r="AR104" s="23">
        <v>8.58</v>
      </c>
      <c r="AS104" s="23">
        <v>-695.2</v>
      </c>
      <c r="AT104" s="23"/>
      <c r="AU104" s="24"/>
      <c r="AW104" s="27">
        <f t="shared" si="19"/>
        <v>191.840104</v>
      </c>
      <c r="AX104" s="27">
        <f t="shared" si="20"/>
        <v>1.0399999999999999E-4</v>
      </c>
      <c r="AY104" s="27">
        <f t="shared" si="21"/>
        <v>37.370104000000005</v>
      </c>
      <c r="AZ104" s="27">
        <f t="shared" si="22"/>
        <v>1.0399999999999999E-4</v>
      </c>
    </row>
    <row r="105" spans="1:52" ht="15" customHeight="1" x14ac:dyDescent="0.25">
      <c r="A105" s="13" t="str">
        <f>VLOOKUP(L105,[1]VALIDAÇÃO!$D$13:$E$350,2,0)</f>
        <v>DIRETO</v>
      </c>
      <c r="B105" s="14" t="str">
        <f t="shared" si="24"/>
        <v>30RIO AVE CARNEIROS 01 SPE LTDA.</v>
      </c>
      <c r="C105" s="15">
        <f t="shared" si="23"/>
        <v>30</v>
      </c>
      <c r="D105" s="16" t="str">
        <f t="shared" si="25"/>
        <v>131RIO AVE CARNEIROS 01 SPE LTDA.</v>
      </c>
      <c r="E105" s="17">
        <f t="shared" si="16"/>
        <v>131</v>
      </c>
      <c r="F105" s="18" t="str">
        <f t="shared" si="26"/>
        <v>70RIO AVE CARNEIROS 01 SPE LTDA.</v>
      </c>
      <c r="G105" s="18">
        <f t="shared" si="17"/>
        <v>70</v>
      </c>
      <c r="H105" s="19" t="str">
        <f t="shared" si="27"/>
        <v>58RIO AVE CARNEIROS 01 SPE LTDA.</v>
      </c>
      <c r="I105" s="19">
        <f t="shared" si="18"/>
        <v>58</v>
      </c>
      <c r="J105" s="13" t="s">
        <v>61</v>
      </c>
      <c r="K105" s="13" t="s">
        <v>195</v>
      </c>
      <c r="L105" s="13" t="s">
        <v>63</v>
      </c>
      <c r="M105" s="13" t="s">
        <v>55</v>
      </c>
      <c r="N105" s="20">
        <v>1574.84</v>
      </c>
      <c r="O105" s="20">
        <v>2156</v>
      </c>
      <c r="P105" s="21">
        <v>45910</v>
      </c>
      <c r="Q105" s="22"/>
      <c r="R105" s="23">
        <v>2156</v>
      </c>
      <c r="S105" s="24"/>
      <c r="T105" s="23"/>
      <c r="U105" s="24"/>
      <c r="V105" s="23"/>
      <c r="W105" s="23"/>
      <c r="X105" s="24"/>
      <c r="Y105" s="23"/>
      <c r="Z105" s="23"/>
      <c r="AA105" s="23">
        <v>1.63</v>
      </c>
      <c r="AB105" s="23">
        <v>84.01</v>
      </c>
      <c r="AC105" s="24">
        <v>930.9571428571428</v>
      </c>
      <c r="AD105" s="23">
        <v>3.27</v>
      </c>
      <c r="AE105" s="24">
        <v>11</v>
      </c>
      <c r="AF105" s="23"/>
      <c r="AG105" s="23"/>
      <c r="AH105" s="23">
        <v>6.42</v>
      </c>
      <c r="AI105" s="24">
        <v>0</v>
      </c>
      <c r="AJ105" s="25">
        <v>570.23</v>
      </c>
      <c r="AK105" s="23">
        <v>128.41</v>
      </c>
      <c r="AL105" s="23"/>
      <c r="AM105" s="24"/>
      <c r="AN105" s="23"/>
      <c r="AO105" s="24"/>
      <c r="AP105" s="23">
        <v>25.08</v>
      </c>
      <c r="AQ105" s="24">
        <v>236.18571428571431</v>
      </c>
      <c r="AR105" s="23">
        <v>26.32</v>
      </c>
      <c r="AS105" s="23">
        <v>-1004</v>
      </c>
      <c r="AT105" s="23"/>
      <c r="AU105" s="24"/>
      <c r="AW105" s="27">
        <f t="shared" si="19"/>
        <v>570.23010499999998</v>
      </c>
      <c r="AX105" s="27">
        <f t="shared" si="20"/>
        <v>3.270105</v>
      </c>
      <c r="AY105" s="27">
        <f t="shared" si="21"/>
        <v>84.01010500000001</v>
      </c>
      <c r="AZ105" s="27">
        <f t="shared" si="22"/>
        <v>25.080105</v>
      </c>
    </row>
    <row r="106" spans="1:52" ht="15" customHeight="1" x14ac:dyDescent="0.25">
      <c r="A106" s="13" t="str">
        <f>VLOOKUP(L106,[1]VALIDAÇÃO!$D$13:$E$350,2,0)</f>
        <v>DIRETO</v>
      </c>
      <c r="B106" s="14" t="str">
        <f t="shared" si="24"/>
        <v>48RIO AVE 130 SPE LTDA</v>
      </c>
      <c r="C106" s="15">
        <f t="shared" si="23"/>
        <v>48</v>
      </c>
      <c r="D106" s="16" t="str">
        <f t="shared" si="25"/>
        <v>34RIO AVE 130 SPE LTDA</v>
      </c>
      <c r="E106" s="17">
        <f t="shared" si="16"/>
        <v>34</v>
      </c>
      <c r="F106" s="18" t="str">
        <f t="shared" si="26"/>
        <v>20RIO AVE 130 SPE LTDA</v>
      </c>
      <c r="G106" s="18">
        <f t="shared" si="17"/>
        <v>20</v>
      </c>
      <c r="H106" s="19" t="str">
        <f t="shared" si="27"/>
        <v>64RIO AVE 130 SPE LTDA</v>
      </c>
      <c r="I106" s="19">
        <f t="shared" si="18"/>
        <v>64</v>
      </c>
      <c r="J106" s="13" t="s">
        <v>102</v>
      </c>
      <c r="K106" s="13" t="s">
        <v>196</v>
      </c>
      <c r="L106" s="13" t="s">
        <v>101</v>
      </c>
      <c r="M106" s="13" t="s">
        <v>55</v>
      </c>
      <c r="N106" s="20">
        <v>1228.3699999999999</v>
      </c>
      <c r="O106" s="20">
        <v>2156</v>
      </c>
      <c r="P106" s="21">
        <v>44986</v>
      </c>
      <c r="Q106" s="22"/>
      <c r="R106" s="23">
        <v>2156</v>
      </c>
      <c r="S106" s="24"/>
      <c r="T106" s="23"/>
      <c r="U106" s="24"/>
      <c r="V106" s="23"/>
      <c r="W106" s="23"/>
      <c r="X106" s="24"/>
      <c r="Y106" s="23"/>
      <c r="Z106" s="23"/>
      <c r="AA106" s="23">
        <v>1.42</v>
      </c>
      <c r="AB106" s="23">
        <v>237.27999999999997</v>
      </c>
      <c r="AC106" s="24">
        <v>810.82285714285706</v>
      </c>
      <c r="AD106" s="23">
        <v>59.46</v>
      </c>
      <c r="AE106" s="24">
        <v>572.14428571428562</v>
      </c>
      <c r="AF106" s="23"/>
      <c r="AG106" s="23"/>
      <c r="AH106" s="23">
        <v>6.65</v>
      </c>
      <c r="AI106" s="24">
        <v>0</v>
      </c>
      <c r="AJ106" s="25">
        <v>299.11</v>
      </c>
      <c r="AK106" s="23">
        <v>66.169999999999987</v>
      </c>
      <c r="AL106" s="23"/>
      <c r="AM106" s="24"/>
      <c r="AN106" s="23"/>
      <c r="AO106" s="24"/>
      <c r="AP106" s="23"/>
      <c r="AQ106" s="24"/>
      <c r="AR106" s="23">
        <v>56.17</v>
      </c>
      <c r="AS106" s="23">
        <v>-924</v>
      </c>
      <c r="AT106" s="23"/>
      <c r="AU106" s="24"/>
      <c r="AW106" s="27">
        <f t="shared" si="19"/>
        <v>299.11010600000003</v>
      </c>
      <c r="AX106" s="27">
        <f t="shared" si="20"/>
        <v>59.460106000000003</v>
      </c>
      <c r="AY106" s="27">
        <f t="shared" si="21"/>
        <v>237.28010599999996</v>
      </c>
      <c r="AZ106" s="27">
        <f t="shared" si="22"/>
        <v>1.06E-4</v>
      </c>
    </row>
    <row r="107" spans="1:52" ht="15" customHeight="1" x14ac:dyDescent="0.25">
      <c r="A107" s="13" t="str">
        <f>VLOOKUP(L107,[1]VALIDAÇÃO!$D$13:$E$350,2,0)</f>
        <v>DIRETO</v>
      </c>
      <c r="B107" s="14" t="str">
        <f t="shared" si="24"/>
        <v>148RIO AVE CARNEIROS 01 SPE LTDA.</v>
      </c>
      <c r="C107" s="15">
        <f t="shared" si="23"/>
        <v>148</v>
      </c>
      <c r="D107" s="16" t="str">
        <f t="shared" si="25"/>
        <v>153RIO AVE CARNEIROS 01 SPE LTDA.</v>
      </c>
      <c r="E107" s="17">
        <f t="shared" si="16"/>
        <v>153</v>
      </c>
      <c r="F107" s="18" t="str">
        <f t="shared" si="26"/>
        <v>151RIO AVE CARNEIROS 01 SPE LTDA.</v>
      </c>
      <c r="G107" s="18">
        <f t="shared" si="17"/>
        <v>151</v>
      </c>
      <c r="H107" s="19" t="str">
        <f t="shared" si="27"/>
        <v>144RIO AVE CARNEIROS 01 SPE LTDA.</v>
      </c>
      <c r="I107" s="19">
        <f t="shared" si="18"/>
        <v>144</v>
      </c>
      <c r="J107" s="13" t="s">
        <v>61</v>
      </c>
      <c r="K107" s="13" t="s">
        <v>197</v>
      </c>
      <c r="L107" s="13" t="s">
        <v>54</v>
      </c>
      <c r="M107" s="13" t="s">
        <v>55</v>
      </c>
      <c r="N107" s="20">
        <v>0</v>
      </c>
      <c r="O107" s="20"/>
      <c r="P107" s="21">
        <v>45201</v>
      </c>
      <c r="Q107" s="22"/>
      <c r="R107" s="23"/>
      <c r="S107" s="24"/>
      <c r="T107" s="23"/>
      <c r="U107" s="24"/>
      <c r="V107" s="23"/>
      <c r="W107" s="23"/>
      <c r="X107" s="24"/>
      <c r="Y107" s="23"/>
      <c r="Z107" s="23"/>
      <c r="AA107" s="23"/>
      <c r="AB107" s="23"/>
      <c r="AC107" s="24"/>
      <c r="AD107" s="23"/>
      <c r="AE107" s="24"/>
      <c r="AF107" s="23"/>
      <c r="AG107" s="23"/>
      <c r="AH107" s="23"/>
      <c r="AI107" s="24"/>
      <c r="AJ107" s="25"/>
      <c r="AK107" s="23"/>
      <c r="AL107" s="23"/>
      <c r="AM107" s="24"/>
      <c r="AN107" s="23"/>
      <c r="AO107" s="24"/>
      <c r="AP107" s="23"/>
      <c r="AQ107" s="24"/>
      <c r="AR107" s="23"/>
      <c r="AS107" s="23"/>
      <c r="AT107" s="23"/>
      <c r="AU107" s="24"/>
      <c r="AW107" s="27">
        <f t="shared" si="19"/>
        <v>1.07E-4</v>
      </c>
      <c r="AX107" s="27">
        <f t="shared" si="20"/>
        <v>1.07E-4</v>
      </c>
      <c r="AY107" s="27">
        <f t="shared" si="21"/>
        <v>1.07E-4</v>
      </c>
      <c r="AZ107" s="27">
        <f t="shared" si="22"/>
        <v>1.07E-4</v>
      </c>
    </row>
    <row r="108" spans="1:52" ht="15" customHeight="1" x14ac:dyDescent="0.25">
      <c r="A108" s="13" t="str">
        <f>VLOOKUP(L108,[1]VALIDAÇÃO!$D$13:$E$350,2,0)</f>
        <v>DIRETO</v>
      </c>
      <c r="B108" s="14" t="str">
        <f t="shared" si="24"/>
        <v>82CONDOMINIO DO EDIFICIO EMPRESARIAL MARIE CURIE</v>
      </c>
      <c r="C108" s="15">
        <f t="shared" si="23"/>
        <v>82</v>
      </c>
      <c r="D108" s="16" t="str">
        <f t="shared" si="25"/>
        <v>86CONDOMINIO DO EDIFICIO EMPRESARIAL MARIE CURIE</v>
      </c>
      <c r="E108" s="17">
        <f t="shared" si="16"/>
        <v>86</v>
      </c>
      <c r="F108" s="18" t="str">
        <f t="shared" si="26"/>
        <v>24CONDOMINIO DO EDIFICIO EMPRESARIAL MARIE CURIE</v>
      </c>
      <c r="G108" s="18">
        <f t="shared" si="17"/>
        <v>24</v>
      </c>
      <c r="H108" s="19" t="str">
        <f t="shared" si="27"/>
        <v>7CONDOMINIO DO EDIFICIO EMPRESARIAL MARIE CURIE</v>
      </c>
      <c r="I108" s="19">
        <f t="shared" si="18"/>
        <v>7</v>
      </c>
      <c r="J108" s="13" t="s">
        <v>57</v>
      </c>
      <c r="K108" s="13" t="s">
        <v>198</v>
      </c>
      <c r="L108" s="13" t="s">
        <v>54</v>
      </c>
      <c r="M108" s="13" t="s">
        <v>60</v>
      </c>
      <c r="N108" s="20">
        <v>1467.03</v>
      </c>
      <c r="O108" s="20">
        <v>1622.13</v>
      </c>
      <c r="P108" s="21">
        <v>45790</v>
      </c>
      <c r="Q108" s="22"/>
      <c r="R108" s="23">
        <v>1622.13</v>
      </c>
      <c r="S108" s="24"/>
      <c r="T108" s="23"/>
      <c r="U108" s="24"/>
      <c r="V108" s="23"/>
      <c r="W108" s="23">
        <v>0.04</v>
      </c>
      <c r="X108" s="24">
        <v>2.31</v>
      </c>
      <c r="Y108" s="23"/>
      <c r="Z108" s="23"/>
      <c r="AA108" s="23">
        <v>3.0599999999999996</v>
      </c>
      <c r="AB108" s="23">
        <v>183.51</v>
      </c>
      <c r="AC108" s="24">
        <v>1118.3042857142857</v>
      </c>
      <c r="AD108" s="23">
        <v>54.669999999999995</v>
      </c>
      <c r="AE108" s="24">
        <v>437.73285714285709</v>
      </c>
      <c r="AF108" s="23"/>
      <c r="AG108" s="23"/>
      <c r="AH108" s="23">
        <v>14.159999999999998</v>
      </c>
      <c r="AI108" s="24">
        <v>0</v>
      </c>
      <c r="AJ108" s="25">
        <v>220.81</v>
      </c>
      <c r="AK108" s="23">
        <v>46.68</v>
      </c>
      <c r="AL108" s="23">
        <v>-13.45</v>
      </c>
      <c r="AM108" s="24">
        <v>102.19</v>
      </c>
      <c r="AN108" s="23"/>
      <c r="AO108" s="24"/>
      <c r="AP108" s="23">
        <v>253.98999999999998</v>
      </c>
      <c r="AQ108" s="24">
        <v>1004.5614285714287</v>
      </c>
      <c r="AR108" s="23">
        <v>108.03</v>
      </c>
      <c r="AS108" s="23">
        <v>-777.2</v>
      </c>
      <c r="AT108" s="23"/>
      <c r="AU108" s="24"/>
      <c r="AW108" s="27">
        <f t="shared" si="19"/>
        <v>220.81010800000001</v>
      </c>
      <c r="AX108" s="27">
        <f t="shared" si="20"/>
        <v>54.670107999999992</v>
      </c>
      <c r="AY108" s="27">
        <f t="shared" si="21"/>
        <v>183.510108</v>
      </c>
      <c r="AZ108" s="27">
        <f t="shared" si="22"/>
        <v>253.99010799999999</v>
      </c>
    </row>
    <row r="109" spans="1:52" ht="15" customHeight="1" x14ac:dyDescent="0.25">
      <c r="A109" s="13" t="str">
        <f>VLOOKUP(L109,[1]VALIDAÇÃO!$D$13:$E$350,2,0)</f>
        <v>DIRETO</v>
      </c>
      <c r="B109" s="14" t="str">
        <f t="shared" si="24"/>
        <v>86RIO AVE CARNEIROS 01 SPE LTDA.</v>
      </c>
      <c r="C109" s="15">
        <f t="shared" si="23"/>
        <v>86</v>
      </c>
      <c r="D109" s="16" t="str">
        <f t="shared" si="25"/>
        <v>78RIO AVE CARNEIROS 01 SPE LTDA.</v>
      </c>
      <c r="E109" s="17">
        <f t="shared" si="16"/>
        <v>78</v>
      </c>
      <c r="F109" s="18" t="str">
        <f t="shared" si="26"/>
        <v>27RIO AVE CARNEIROS 01 SPE LTDA.</v>
      </c>
      <c r="G109" s="18">
        <f t="shared" si="17"/>
        <v>27</v>
      </c>
      <c r="H109" s="19" t="str">
        <f t="shared" si="27"/>
        <v>143RIO AVE CARNEIROS 01 SPE LTDA.</v>
      </c>
      <c r="I109" s="19">
        <f t="shared" si="18"/>
        <v>143</v>
      </c>
      <c r="J109" s="13" t="s">
        <v>61</v>
      </c>
      <c r="K109" s="13" t="s">
        <v>199</v>
      </c>
      <c r="L109" s="13" t="s">
        <v>63</v>
      </c>
      <c r="M109" s="13" t="s">
        <v>55</v>
      </c>
      <c r="N109" s="20">
        <v>1407.96</v>
      </c>
      <c r="O109" s="20">
        <v>2156</v>
      </c>
      <c r="P109" s="21">
        <v>45964</v>
      </c>
      <c r="Q109" s="22"/>
      <c r="R109" s="23">
        <v>2156</v>
      </c>
      <c r="S109" s="24"/>
      <c r="T109" s="23"/>
      <c r="U109" s="24"/>
      <c r="V109" s="23"/>
      <c r="W109" s="23"/>
      <c r="X109" s="24"/>
      <c r="Y109" s="23"/>
      <c r="Z109" s="23"/>
      <c r="AA109" s="23">
        <v>2.0500000000000003</v>
      </c>
      <c r="AB109" s="23">
        <v>172.85000000000002</v>
      </c>
      <c r="AC109" s="24">
        <v>1221</v>
      </c>
      <c r="AD109" s="23">
        <v>51</v>
      </c>
      <c r="AE109" s="24">
        <v>188.8</v>
      </c>
      <c r="AF109" s="23"/>
      <c r="AG109" s="23"/>
      <c r="AH109" s="23">
        <v>8.9499999999999993</v>
      </c>
      <c r="AI109" s="24">
        <v>0</v>
      </c>
      <c r="AJ109" s="25">
        <v>286.73</v>
      </c>
      <c r="AK109" s="23">
        <v>66.31</v>
      </c>
      <c r="AL109" s="23"/>
      <c r="AM109" s="24"/>
      <c r="AN109" s="23">
        <v>-77</v>
      </c>
      <c r="AO109" s="24">
        <v>1</v>
      </c>
      <c r="AP109" s="23"/>
      <c r="AQ109" s="24"/>
      <c r="AR109" s="23">
        <v>50.83</v>
      </c>
      <c r="AS109" s="23">
        <v>-1024</v>
      </c>
      <c r="AT109" s="23">
        <v>-77</v>
      </c>
      <c r="AU109" s="24">
        <v>1</v>
      </c>
      <c r="AW109" s="27">
        <f t="shared" si="19"/>
        <v>286.73010900000003</v>
      </c>
      <c r="AX109" s="27">
        <f t="shared" si="20"/>
        <v>51.000109000000002</v>
      </c>
      <c r="AY109" s="27">
        <f t="shared" si="21"/>
        <v>172.85010900000003</v>
      </c>
      <c r="AZ109" s="27">
        <f t="shared" si="22"/>
        <v>1.0900000000000001E-4</v>
      </c>
    </row>
    <row r="110" spans="1:52" ht="15" customHeight="1" x14ac:dyDescent="0.25">
      <c r="A110" s="13" t="str">
        <f>VLOOKUP(L110,[1]VALIDAÇÃO!$D$13:$E$350,2,0)</f>
        <v>INDIRETO</v>
      </c>
      <c r="B110" s="14" t="str">
        <f t="shared" si="24"/>
        <v>147RIO AVE CARNEIROS 01 SPE LTDA.</v>
      </c>
      <c r="C110" s="15">
        <f t="shared" si="23"/>
        <v>147</v>
      </c>
      <c r="D110" s="16" t="str">
        <f t="shared" si="25"/>
        <v>85RIO AVE CARNEIROS 01 SPE LTDA.</v>
      </c>
      <c r="E110" s="17">
        <f t="shared" si="16"/>
        <v>85</v>
      </c>
      <c r="F110" s="18" t="str">
        <f t="shared" si="26"/>
        <v>150RIO AVE CARNEIROS 01 SPE LTDA.</v>
      </c>
      <c r="G110" s="18">
        <f t="shared" si="17"/>
        <v>150</v>
      </c>
      <c r="H110" s="19" t="str">
        <f t="shared" si="27"/>
        <v>30RIO AVE CARNEIROS 01 SPE LTDA.</v>
      </c>
      <c r="I110" s="19">
        <f t="shared" si="18"/>
        <v>30</v>
      </c>
      <c r="J110" s="13" t="s">
        <v>61</v>
      </c>
      <c r="K110" s="13" t="s">
        <v>200</v>
      </c>
      <c r="L110" s="13" t="s">
        <v>201</v>
      </c>
      <c r="M110" s="13" t="s">
        <v>85</v>
      </c>
      <c r="N110" s="20">
        <v>1766.01</v>
      </c>
      <c r="O110" s="20">
        <v>3777.73</v>
      </c>
      <c r="P110" s="21">
        <v>45852</v>
      </c>
      <c r="Q110" s="22"/>
      <c r="R110" s="23">
        <v>3777.73</v>
      </c>
      <c r="S110" s="24"/>
      <c r="T110" s="23"/>
      <c r="U110" s="24"/>
      <c r="V110" s="23"/>
      <c r="W110" s="23"/>
      <c r="X110" s="24"/>
      <c r="Y110" s="23"/>
      <c r="Z110" s="23"/>
      <c r="AA110" s="23"/>
      <c r="AB110" s="23"/>
      <c r="AC110" s="24"/>
      <c r="AD110" s="23">
        <v>38.410000000000004</v>
      </c>
      <c r="AE110" s="24">
        <v>113.28571428571428</v>
      </c>
      <c r="AF110" s="23"/>
      <c r="AG110" s="23"/>
      <c r="AH110" s="23"/>
      <c r="AI110" s="24"/>
      <c r="AJ110" s="25"/>
      <c r="AK110" s="23"/>
      <c r="AL110" s="23">
        <v>-12.270000000000003</v>
      </c>
      <c r="AM110" s="24">
        <v>40</v>
      </c>
      <c r="AN110" s="23"/>
      <c r="AO110" s="24"/>
      <c r="AP110" s="23">
        <v>40.11</v>
      </c>
      <c r="AQ110" s="24">
        <v>155.71428571428572</v>
      </c>
      <c r="AR110" s="23">
        <v>15.54</v>
      </c>
      <c r="AS110" s="23">
        <v>-1769.03</v>
      </c>
      <c r="AT110" s="23"/>
      <c r="AU110" s="24"/>
      <c r="AW110" s="27">
        <f t="shared" si="19"/>
        <v>1.1E-4</v>
      </c>
      <c r="AX110" s="27">
        <f t="shared" si="20"/>
        <v>38.410110000000003</v>
      </c>
      <c r="AY110" s="27">
        <f t="shared" si="21"/>
        <v>1.1E-4</v>
      </c>
      <c r="AZ110" s="27">
        <f t="shared" si="22"/>
        <v>40.110109999999999</v>
      </c>
    </row>
    <row r="111" spans="1:52" ht="15" customHeight="1" x14ac:dyDescent="0.25">
      <c r="A111" s="13" t="str">
        <f>VLOOKUP(L111,[1]VALIDAÇÃO!$D$13:$E$350,2,0)</f>
        <v>DIRETO</v>
      </c>
      <c r="B111" s="14" t="str">
        <f t="shared" si="24"/>
        <v>7RIO AVE 130 SPE LTDA</v>
      </c>
      <c r="C111" s="15">
        <f t="shared" si="23"/>
        <v>7</v>
      </c>
      <c r="D111" s="16" t="str">
        <f t="shared" si="25"/>
        <v>44RIO AVE 130 SPE LTDA</v>
      </c>
      <c r="E111" s="17">
        <f t="shared" si="16"/>
        <v>44</v>
      </c>
      <c r="F111" s="18" t="str">
        <f t="shared" si="26"/>
        <v>9RIO AVE 130 SPE LTDA</v>
      </c>
      <c r="G111" s="18">
        <f t="shared" si="17"/>
        <v>9</v>
      </c>
      <c r="H111" s="19" t="str">
        <f t="shared" si="27"/>
        <v>2RIO AVE 130 SPE LTDA</v>
      </c>
      <c r="I111" s="19">
        <f t="shared" si="18"/>
        <v>2</v>
      </c>
      <c r="J111" s="13" t="s">
        <v>102</v>
      </c>
      <c r="K111" s="13" t="s">
        <v>202</v>
      </c>
      <c r="L111" s="13" t="s">
        <v>63</v>
      </c>
      <c r="M111" s="13" t="s">
        <v>55</v>
      </c>
      <c r="N111" s="20">
        <v>2178.83</v>
      </c>
      <c r="O111" s="20">
        <v>2156</v>
      </c>
      <c r="P111" s="21">
        <v>45404</v>
      </c>
      <c r="Q111" s="22"/>
      <c r="R111" s="23">
        <v>2156</v>
      </c>
      <c r="S111" s="24"/>
      <c r="T111" s="23"/>
      <c r="U111" s="24"/>
      <c r="V111" s="23"/>
      <c r="W111" s="23"/>
      <c r="X111" s="24"/>
      <c r="Y111" s="23"/>
      <c r="Z111" s="23"/>
      <c r="AA111" s="23">
        <v>12.22</v>
      </c>
      <c r="AB111" s="23">
        <v>316.49</v>
      </c>
      <c r="AC111" s="24">
        <v>1063.83</v>
      </c>
      <c r="AD111" s="23">
        <v>14.719999999999999</v>
      </c>
      <c r="AE111" s="24">
        <v>49.9</v>
      </c>
      <c r="AF111" s="23"/>
      <c r="AG111" s="23"/>
      <c r="AH111" s="23">
        <v>56.58</v>
      </c>
      <c r="AI111" s="24">
        <v>0</v>
      </c>
      <c r="AJ111" s="25">
        <v>1124.67</v>
      </c>
      <c r="AK111" s="23">
        <v>248.27999999999997</v>
      </c>
      <c r="AL111" s="23">
        <v>-2.4500000000000002</v>
      </c>
      <c r="AM111" s="24">
        <v>14</v>
      </c>
      <c r="AN111" s="23"/>
      <c r="AO111" s="24"/>
      <c r="AP111" s="23">
        <v>288.55</v>
      </c>
      <c r="AQ111" s="24">
        <v>824.42</v>
      </c>
      <c r="AR111" s="23">
        <v>133.9</v>
      </c>
      <c r="AS111" s="23">
        <v>-924</v>
      </c>
      <c r="AT111" s="23"/>
      <c r="AU111" s="24"/>
      <c r="AW111" s="27">
        <f t="shared" si="19"/>
        <v>1124.6701110000001</v>
      </c>
      <c r="AX111" s="27">
        <f t="shared" si="20"/>
        <v>14.720110999999999</v>
      </c>
      <c r="AY111" s="27">
        <f t="shared" si="21"/>
        <v>316.49011100000001</v>
      </c>
      <c r="AZ111" s="27">
        <f t="shared" si="22"/>
        <v>288.55011100000002</v>
      </c>
    </row>
    <row r="112" spans="1:52" ht="15" customHeight="1" x14ac:dyDescent="0.25">
      <c r="A112" s="13" t="str">
        <f>VLOOKUP(L112,[1]VALIDAÇÃO!$D$13:$E$350,2,0)</f>
        <v>DIRETO</v>
      </c>
      <c r="B112" s="14" t="str">
        <f t="shared" si="24"/>
        <v>3RESERVA DO PAIVA SPE 03 LTDA</v>
      </c>
      <c r="C112" s="15">
        <f t="shared" si="23"/>
        <v>3</v>
      </c>
      <c r="D112" s="16" t="str">
        <f t="shared" si="25"/>
        <v>78RESERVA DO PAIVA SPE 03 LTDA</v>
      </c>
      <c r="E112" s="17">
        <f t="shared" si="16"/>
        <v>78</v>
      </c>
      <c r="F112" s="18" t="str">
        <f t="shared" si="26"/>
        <v>118RESERVA DO PAIVA SPE 03 LTDA</v>
      </c>
      <c r="G112" s="18">
        <f t="shared" si="17"/>
        <v>118</v>
      </c>
      <c r="H112" s="19" t="str">
        <f t="shared" si="27"/>
        <v>152RESERVA DO PAIVA SPE 03 LTDA</v>
      </c>
      <c r="I112" s="19">
        <f t="shared" si="18"/>
        <v>152</v>
      </c>
      <c r="J112" s="13" t="s">
        <v>52</v>
      </c>
      <c r="K112" s="13" t="s">
        <v>203</v>
      </c>
      <c r="L112" s="13" t="s">
        <v>66</v>
      </c>
      <c r="M112" s="13" t="s">
        <v>55</v>
      </c>
      <c r="N112" s="20">
        <v>1881.26</v>
      </c>
      <c r="O112" s="20">
        <v>2156</v>
      </c>
      <c r="P112" s="21">
        <v>45558</v>
      </c>
      <c r="Q112" s="22"/>
      <c r="R112" s="23">
        <v>2156</v>
      </c>
      <c r="S112" s="24"/>
      <c r="T112" s="23"/>
      <c r="U112" s="24"/>
      <c r="V112" s="23"/>
      <c r="W112" s="23"/>
      <c r="X112" s="24"/>
      <c r="Y112" s="23"/>
      <c r="Z112" s="23"/>
      <c r="AA112" s="23">
        <v>5.07</v>
      </c>
      <c r="AB112" s="23">
        <v>13.58</v>
      </c>
      <c r="AC112" s="24">
        <v>69.91</v>
      </c>
      <c r="AD112" s="23">
        <v>184.49</v>
      </c>
      <c r="AE112" s="24">
        <v>793.32571428571418</v>
      </c>
      <c r="AF112" s="23"/>
      <c r="AG112" s="23"/>
      <c r="AH112" s="23">
        <v>23.82</v>
      </c>
      <c r="AI112" s="24">
        <v>0</v>
      </c>
      <c r="AJ112" s="25">
        <v>1551.88</v>
      </c>
      <c r="AK112" s="23">
        <v>340.78999999999996</v>
      </c>
      <c r="AL112" s="23"/>
      <c r="AM112" s="24"/>
      <c r="AN112" s="23"/>
      <c r="AO112" s="24"/>
      <c r="AP112" s="23"/>
      <c r="AQ112" s="24"/>
      <c r="AR112" s="23">
        <v>39.53</v>
      </c>
      <c r="AS112" s="23">
        <v>-924</v>
      </c>
      <c r="AT112" s="23"/>
      <c r="AU112" s="24"/>
      <c r="AW112" s="27">
        <f t="shared" si="19"/>
        <v>1551.8801120000001</v>
      </c>
      <c r="AX112" s="27">
        <f t="shared" si="20"/>
        <v>184.49011200000001</v>
      </c>
      <c r="AY112" s="27">
        <f t="shared" si="21"/>
        <v>13.580112</v>
      </c>
      <c r="AZ112" s="27">
        <f t="shared" si="22"/>
        <v>1.12E-4</v>
      </c>
    </row>
    <row r="113" spans="1:52" ht="15" customHeight="1" x14ac:dyDescent="0.25">
      <c r="A113" s="13" t="str">
        <f>VLOOKUP(L113,[1]VALIDAÇÃO!$D$13:$E$350,2,0)</f>
        <v>DIRETO</v>
      </c>
      <c r="B113" s="14" t="str">
        <f t="shared" si="24"/>
        <v>6RESERVA DO PAIVA SPE 01 LTDA.</v>
      </c>
      <c r="C113" s="15">
        <f t="shared" si="23"/>
        <v>6</v>
      </c>
      <c r="D113" s="16" t="str">
        <f t="shared" si="25"/>
        <v>18RESERVA DO PAIVA SPE 01 LTDA.</v>
      </c>
      <c r="E113" s="17">
        <f t="shared" si="16"/>
        <v>18</v>
      </c>
      <c r="F113" s="18" t="str">
        <f t="shared" si="26"/>
        <v>44RESERVA DO PAIVA SPE 01 LTDA.</v>
      </c>
      <c r="G113" s="18">
        <f t="shared" si="17"/>
        <v>44</v>
      </c>
      <c r="H113" s="19" t="str">
        <f t="shared" si="27"/>
        <v>16RESERVA DO PAIVA SPE 01 LTDA.</v>
      </c>
      <c r="I113" s="19">
        <f t="shared" si="18"/>
        <v>16</v>
      </c>
      <c r="J113" s="13" t="s">
        <v>68</v>
      </c>
      <c r="K113" s="13" t="s">
        <v>204</v>
      </c>
      <c r="L113" s="13" t="s">
        <v>54</v>
      </c>
      <c r="M113" s="13" t="s">
        <v>55</v>
      </c>
      <c r="N113" s="20">
        <v>2880.24</v>
      </c>
      <c r="O113" s="20">
        <v>1622.13</v>
      </c>
      <c r="P113" s="21">
        <v>45789</v>
      </c>
      <c r="Q113" s="22"/>
      <c r="R113" s="23">
        <v>1622.13</v>
      </c>
      <c r="S113" s="24"/>
      <c r="T113" s="23"/>
      <c r="U113" s="24"/>
      <c r="V113" s="23"/>
      <c r="W113" s="23"/>
      <c r="X113" s="24"/>
      <c r="Y113" s="23"/>
      <c r="Z113" s="23"/>
      <c r="AA113" s="23">
        <v>58.769999999999996</v>
      </c>
      <c r="AB113" s="23">
        <v>243.24999999999997</v>
      </c>
      <c r="AC113" s="24">
        <v>1497.5285714285715</v>
      </c>
      <c r="AD113" s="23">
        <v>688.22</v>
      </c>
      <c r="AE113" s="24">
        <v>4157.1285714285714</v>
      </c>
      <c r="AF113" s="23"/>
      <c r="AG113" s="23"/>
      <c r="AH113" s="23">
        <v>261.07</v>
      </c>
      <c r="AI113" s="24">
        <v>0</v>
      </c>
      <c r="AJ113" s="25">
        <v>1251.54</v>
      </c>
      <c r="AK113" s="23">
        <v>278.29999999999995</v>
      </c>
      <c r="AL113" s="23">
        <v>-15.01</v>
      </c>
      <c r="AM113" s="24">
        <v>114</v>
      </c>
      <c r="AN113" s="23"/>
      <c r="AO113" s="24"/>
      <c r="AP113" s="23">
        <v>576.51</v>
      </c>
      <c r="AQ113" s="24">
        <v>2808.5285714285715</v>
      </c>
      <c r="AR113" s="23">
        <v>342.44000000000005</v>
      </c>
      <c r="AS113" s="23">
        <v>-695.2</v>
      </c>
      <c r="AT113" s="23"/>
      <c r="AU113" s="24"/>
      <c r="AW113" s="27">
        <f t="shared" si="19"/>
        <v>1251.540113</v>
      </c>
      <c r="AX113" s="27">
        <f t="shared" si="20"/>
        <v>688.22011300000008</v>
      </c>
      <c r="AY113" s="27">
        <f t="shared" si="21"/>
        <v>243.25011299999997</v>
      </c>
      <c r="AZ113" s="27">
        <f t="shared" si="22"/>
        <v>576.51011300000005</v>
      </c>
    </row>
    <row r="114" spans="1:52" ht="15" customHeight="1" x14ac:dyDescent="0.25">
      <c r="A114" s="13" t="str">
        <f>VLOOKUP(L114,[1]VALIDAÇÃO!$D$13:$E$350,2,0)</f>
        <v>DIRETO</v>
      </c>
      <c r="B114" s="14" t="str">
        <f t="shared" si="24"/>
        <v>14RESERVA DO PAIVA SPE 03 LTDA</v>
      </c>
      <c r="C114" s="15">
        <f t="shared" si="23"/>
        <v>14</v>
      </c>
      <c r="D114" s="16" t="str">
        <f t="shared" si="25"/>
        <v>62RESERVA DO PAIVA SPE 03 LTDA</v>
      </c>
      <c r="E114" s="17">
        <f t="shared" si="16"/>
        <v>62</v>
      </c>
      <c r="F114" s="18" t="str">
        <f t="shared" si="26"/>
        <v>44RESERVA DO PAIVA SPE 03 LTDA</v>
      </c>
      <c r="G114" s="18">
        <f t="shared" si="17"/>
        <v>44</v>
      </c>
      <c r="H114" s="19" t="str">
        <f t="shared" si="27"/>
        <v>49RESERVA DO PAIVA SPE 03 LTDA</v>
      </c>
      <c r="I114" s="19">
        <f t="shared" si="18"/>
        <v>49</v>
      </c>
      <c r="J114" s="13" t="s">
        <v>52</v>
      </c>
      <c r="K114" s="13" t="s">
        <v>205</v>
      </c>
      <c r="L114" s="13" t="s">
        <v>66</v>
      </c>
      <c r="M114" s="13" t="s">
        <v>55</v>
      </c>
      <c r="N114" s="20">
        <v>1350.17</v>
      </c>
      <c r="O114" s="20">
        <v>2156</v>
      </c>
      <c r="P114" s="21">
        <v>45509</v>
      </c>
      <c r="Q114" s="22"/>
      <c r="R114" s="23">
        <v>2156</v>
      </c>
      <c r="S114" s="24"/>
      <c r="T114" s="23"/>
      <c r="U114" s="24"/>
      <c r="V114" s="23"/>
      <c r="W114" s="23"/>
      <c r="X114" s="24"/>
      <c r="Y114" s="23"/>
      <c r="Z114" s="23"/>
      <c r="AA114" s="23">
        <v>9.4799999999999986</v>
      </c>
      <c r="AB114" s="23">
        <v>217.26</v>
      </c>
      <c r="AC114" s="24">
        <v>950.00857142857149</v>
      </c>
      <c r="AD114" s="23">
        <v>258.91000000000003</v>
      </c>
      <c r="AE114" s="24">
        <v>1090.1042857142857</v>
      </c>
      <c r="AF114" s="23"/>
      <c r="AG114" s="23"/>
      <c r="AH114" s="23">
        <v>43.280000000000008</v>
      </c>
      <c r="AI114" s="24">
        <v>0</v>
      </c>
      <c r="AJ114" s="25">
        <v>918.56999999999994</v>
      </c>
      <c r="AK114" s="23">
        <v>196.35</v>
      </c>
      <c r="AL114" s="23"/>
      <c r="AM114" s="24"/>
      <c r="AN114" s="23"/>
      <c r="AO114" s="24"/>
      <c r="AP114" s="23">
        <v>81.83</v>
      </c>
      <c r="AQ114" s="24">
        <v>298.30714285714282</v>
      </c>
      <c r="AR114" s="23">
        <v>119.39999999999999</v>
      </c>
      <c r="AS114" s="23">
        <v>-924</v>
      </c>
      <c r="AT114" s="23"/>
      <c r="AU114" s="24"/>
      <c r="AW114" s="27">
        <f t="shared" si="19"/>
        <v>918.57011399999999</v>
      </c>
      <c r="AX114" s="27">
        <f t="shared" si="20"/>
        <v>258.91011400000002</v>
      </c>
      <c r="AY114" s="27">
        <f t="shared" si="21"/>
        <v>217.26011399999999</v>
      </c>
      <c r="AZ114" s="27">
        <f t="shared" si="22"/>
        <v>81.830113999999995</v>
      </c>
    </row>
    <row r="115" spans="1:52" ht="15" customHeight="1" x14ac:dyDescent="0.25">
      <c r="A115" s="13" t="str">
        <f>VLOOKUP(L115,[1]VALIDAÇÃO!$D$13:$E$350,2,0)</f>
        <v>DIRETO</v>
      </c>
      <c r="B115" s="14" t="str">
        <f t="shared" si="24"/>
        <v>17RESERVA DO PAIVA SPE 03 LTDA</v>
      </c>
      <c r="C115" s="15">
        <f t="shared" si="23"/>
        <v>17</v>
      </c>
      <c r="D115" s="16" t="str">
        <f t="shared" si="25"/>
        <v>10RESERVA DO PAIVA SPE 03 LTDA</v>
      </c>
      <c r="E115" s="17">
        <f t="shared" si="16"/>
        <v>10</v>
      </c>
      <c r="F115" s="18" t="str">
        <f t="shared" si="26"/>
        <v>7RESERVA DO PAIVA SPE 03 LTDA</v>
      </c>
      <c r="G115" s="18">
        <f t="shared" si="17"/>
        <v>7</v>
      </c>
      <c r="H115" s="19" t="str">
        <f t="shared" si="27"/>
        <v>27RESERVA DO PAIVA SPE 03 LTDA</v>
      </c>
      <c r="I115" s="19">
        <f t="shared" si="18"/>
        <v>27</v>
      </c>
      <c r="J115" s="13" t="s">
        <v>52</v>
      </c>
      <c r="K115" s="13" t="s">
        <v>206</v>
      </c>
      <c r="L115" s="13" t="s">
        <v>131</v>
      </c>
      <c r="M115" s="13" t="s">
        <v>55</v>
      </c>
      <c r="N115" s="20">
        <v>2822</v>
      </c>
      <c r="O115" s="20">
        <v>2156</v>
      </c>
      <c r="P115" s="21">
        <v>45789</v>
      </c>
      <c r="Q115" s="22"/>
      <c r="R115" s="23">
        <v>2156</v>
      </c>
      <c r="S115" s="24"/>
      <c r="T115" s="23"/>
      <c r="U115" s="24"/>
      <c r="V115" s="23"/>
      <c r="W115" s="23">
        <v>0.74</v>
      </c>
      <c r="X115" s="24">
        <v>26.22</v>
      </c>
      <c r="Y115" s="23"/>
      <c r="Z115" s="23"/>
      <c r="AA115" s="23">
        <v>32.93</v>
      </c>
      <c r="AB115" s="23">
        <v>476.83</v>
      </c>
      <c r="AC115" s="24">
        <v>1968.5271428571427</v>
      </c>
      <c r="AD115" s="23">
        <v>980.8</v>
      </c>
      <c r="AE115" s="24">
        <v>4335.0271428571432</v>
      </c>
      <c r="AF115" s="23"/>
      <c r="AG115" s="23"/>
      <c r="AH115" s="23">
        <v>147.29999999999998</v>
      </c>
      <c r="AI115" s="24">
        <v>0</v>
      </c>
      <c r="AJ115" s="25">
        <v>760.72</v>
      </c>
      <c r="AK115" s="23">
        <v>168.94</v>
      </c>
      <c r="AL115" s="23"/>
      <c r="AM115" s="24"/>
      <c r="AN115" s="23"/>
      <c r="AO115" s="24"/>
      <c r="AP115" s="23">
        <v>226.57000000000002</v>
      </c>
      <c r="AQ115" s="24">
        <v>878.87</v>
      </c>
      <c r="AR115" s="23">
        <v>377.38</v>
      </c>
      <c r="AS115" s="23">
        <v>-924</v>
      </c>
      <c r="AT115" s="23"/>
      <c r="AU115" s="24"/>
      <c r="AW115" s="27">
        <f t="shared" si="19"/>
        <v>760.72011500000008</v>
      </c>
      <c r="AX115" s="27">
        <f t="shared" si="20"/>
        <v>980.80011500000001</v>
      </c>
      <c r="AY115" s="27">
        <f t="shared" si="21"/>
        <v>476.83011499999998</v>
      </c>
      <c r="AZ115" s="27">
        <f t="shared" si="22"/>
        <v>226.57011500000002</v>
      </c>
    </row>
    <row r="116" spans="1:52" ht="15" customHeight="1" x14ac:dyDescent="0.25">
      <c r="A116" s="13" t="str">
        <f>VLOOKUP(L116,[1]VALIDAÇÃO!$D$13:$E$350,2,0)</f>
        <v>DIRETO</v>
      </c>
      <c r="B116" s="14" t="str">
        <f t="shared" si="24"/>
        <v>68RESERVA DO PAIVA SPE 03 LTDA</v>
      </c>
      <c r="C116" s="15">
        <f t="shared" si="23"/>
        <v>68</v>
      </c>
      <c r="D116" s="16" t="str">
        <f t="shared" si="25"/>
        <v>130RESERVA DO PAIVA SPE 03 LTDA</v>
      </c>
      <c r="E116" s="17">
        <f t="shared" si="16"/>
        <v>130</v>
      </c>
      <c r="F116" s="18" t="str">
        <f t="shared" si="26"/>
        <v>47RESERVA DO PAIVA SPE 03 LTDA</v>
      </c>
      <c r="G116" s="18">
        <f t="shared" si="17"/>
        <v>47</v>
      </c>
      <c r="H116" s="19" t="str">
        <f t="shared" si="27"/>
        <v>151RESERVA DO PAIVA SPE 03 LTDA</v>
      </c>
      <c r="I116" s="19">
        <f t="shared" si="18"/>
        <v>151</v>
      </c>
      <c r="J116" s="13" t="s">
        <v>52</v>
      </c>
      <c r="K116" s="13" t="s">
        <v>207</v>
      </c>
      <c r="L116" s="13" t="s">
        <v>59</v>
      </c>
      <c r="M116" s="13" t="s">
        <v>55</v>
      </c>
      <c r="N116" s="20">
        <v>1221.55</v>
      </c>
      <c r="O116" s="20">
        <v>2156</v>
      </c>
      <c r="P116" s="21">
        <v>45880</v>
      </c>
      <c r="Q116" s="22"/>
      <c r="R116" s="23">
        <v>2156</v>
      </c>
      <c r="S116" s="24"/>
      <c r="T116" s="23"/>
      <c r="U116" s="24"/>
      <c r="V116" s="23"/>
      <c r="W116" s="23"/>
      <c r="X116" s="24"/>
      <c r="Y116" s="23"/>
      <c r="Z116" s="23"/>
      <c r="AA116" s="23">
        <v>1.33</v>
      </c>
      <c r="AB116" s="23">
        <v>212.62</v>
      </c>
      <c r="AC116" s="24">
        <v>1151.5842857142857</v>
      </c>
      <c r="AD116" s="23">
        <v>29.720000000000002</v>
      </c>
      <c r="AE116" s="24">
        <v>134.64142857142858</v>
      </c>
      <c r="AF116" s="23"/>
      <c r="AG116" s="23"/>
      <c r="AH116" s="23">
        <v>6.25</v>
      </c>
      <c r="AI116" s="24">
        <v>0</v>
      </c>
      <c r="AJ116" s="25">
        <v>201.24</v>
      </c>
      <c r="AK116" s="23">
        <v>44.45</v>
      </c>
      <c r="AL116" s="23"/>
      <c r="AM116" s="24"/>
      <c r="AN116" s="23"/>
      <c r="AO116" s="24"/>
      <c r="AP116" s="23"/>
      <c r="AQ116" s="24"/>
      <c r="AR116" s="23">
        <v>51.149999999999991</v>
      </c>
      <c r="AS116" s="23">
        <v>-924</v>
      </c>
      <c r="AT116" s="23"/>
      <c r="AU116" s="24"/>
      <c r="AW116" s="27">
        <f t="shared" si="19"/>
        <v>201.240116</v>
      </c>
      <c r="AX116" s="27">
        <f t="shared" si="20"/>
        <v>29.720116000000001</v>
      </c>
      <c r="AY116" s="27">
        <f t="shared" si="21"/>
        <v>212.620116</v>
      </c>
      <c r="AZ116" s="27">
        <f t="shared" si="22"/>
        <v>1.16E-4</v>
      </c>
    </row>
    <row r="117" spans="1:52" ht="15" customHeight="1" x14ac:dyDescent="0.25">
      <c r="A117" s="13" t="str">
        <f>VLOOKUP(L117,[1]VALIDAÇÃO!$D$13:$E$350,2,0)</f>
        <v>DIRETO</v>
      </c>
      <c r="B117" s="14" t="str">
        <f t="shared" si="24"/>
        <v>58RESERVA DO PAIVA SPE 01 LTDA.</v>
      </c>
      <c r="C117" s="15">
        <f t="shared" si="23"/>
        <v>58</v>
      </c>
      <c r="D117" s="16" t="str">
        <f t="shared" si="25"/>
        <v>55RESERVA DO PAIVA SPE 01 LTDA.</v>
      </c>
      <c r="E117" s="17">
        <f t="shared" si="16"/>
        <v>55</v>
      </c>
      <c r="F117" s="18" t="str">
        <f t="shared" si="26"/>
        <v>22RESERVA DO PAIVA SPE 01 LTDA.</v>
      </c>
      <c r="G117" s="18">
        <f t="shared" si="17"/>
        <v>22</v>
      </c>
      <c r="H117" s="19" t="str">
        <f t="shared" si="27"/>
        <v>55RESERVA DO PAIVA SPE 01 LTDA.</v>
      </c>
      <c r="I117" s="19">
        <f t="shared" si="18"/>
        <v>55</v>
      </c>
      <c r="J117" s="13" t="s">
        <v>68</v>
      </c>
      <c r="K117" s="13" t="s">
        <v>208</v>
      </c>
      <c r="L117" s="13" t="s">
        <v>54</v>
      </c>
      <c r="M117" s="13" t="s">
        <v>55</v>
      </c>
      <c r="N117" s="20">
        <v>1074.33</v>
      </c>
      <c r="O117" s="20">
        <v>1622.13</v>
      </c>
      <c r="P117" s="21">
        <v>45313</v>
      </c>
      <c r="Q117" s="22"/>
      <c r="R117" s="23">
        <v>1622.13</v>
      </c>
      <c r="S117" s="24"/>
      <c r="T117" s="23"/>
      <c r="U117" s="24"/>
      <c r="V117" s="23"/>
      <c r="W117" s="23"/>
      <c r="X117" s="24"/>
      <c r="Y117" s="23"/>
      <c r="Z117" s="23"/>
      <c r="AA117" s="23">
        <v>9.5100000000000016</v>
      </c>
      <c r="AB117" s="23">
        <v>409.79</v>
      </c>
      <c r="AC117" s="24">
        <v>2085.1685714285713</v>
      </c>
      <c r="AD117" s="23">
        <v>116.61000000000001</v>
      </c>
      <c r="AE117" s="24">
        <v>602.15428571428572</v>
      </c>
      <c r="AF117" s="31"/>
      <c r="AG117" s="31"/>
      <c r="AH117" s="23">
        <v>41.93</v>
      </c>
      <c r="AI117" s="24">
        <v>0</v>
      </c>
      <c r="AJ117" s="25">
        <v>476.75</v>
      </c>
      <c r="AK117" s="23">
        <v>105.66</v>
      </c>
      <c r="AL117" s="23"/>
      <c r="AM117" s="24"/>
      <c r="AN117" s="23">
        <v>-231.73</v>
      </c>
      <c r="AO117" s="24">
        <v>4</v>
      </c>
      <c r="AP117" s="23">
        <v>218.72</v>
      </c>
      <c r="AQ117" s="24">
        <v>934.06857142857143</v>
      </c>
      <c r="AR117" s="23">
        <v>168.46</v>
      </c>
      <c r="AS117" s="23">
        <v>-695.2</v>
      </c>
      <c r="AT117" s="23">
        <v>-289.67</v>
      </c>
      <c r="AU117" s="24">
        <v>5</v>
      </c>
      <c r="AW117" s="27">
        <f t="shared" si="19"/>
        <v>476.75011699999999</v>
      </c>
      <c r="AX117" s="27">
        <f t="shared" si="20"/>
        <v>116.61011700000002</v>
      </c>
      <c r="AY117" s="27">
        <f t="shared" si="21"/>
        <v>409.79011700000001</v>
      </c>
      <c r="AZ117" s="27">
        <f t="shared" si="22"/>
        <v>218.72011699999999</v>
      </c>
    </row>
    <row r="118" spans="1:52" ht="15" customHeight="1" x14ac:dyDescent="0.25">
      <c r="A118" s="13" t="str">
        <f>VLOOKUP(L118,[1]VALIDAÇÃO!$D$13:$E$350,2,0)</f>
        <v>DIRETO</v>
      </c>
      <c r="B118" s="14" t="str">
        <f t="shared" si="24"/>
        <v>22RIO AVE 130 SPE LTDA</v>
      </c>
      <c r="C118" s="15">
        <f t="shared" si="23"/>
        <v>22</v>
      </c>
      <c r="D118" s="16" t="str">
        <f t="shared" si="25"/>
        <v>65RIO AVE 130 SPE LTDA</v>
      </c>
      <c r="E118" s="17">
        <f t="shared" si="16"/>
        <v>65</v>
      </c>
      <c r="F118" s="18" t="str">
        <f t="shared" si="26"/>
        <v>14RIO AVE 130 SPE LTDA</v>
      </c>
      <c r="G118" s="18">
        <f t="shared" si="17"/>
        <v>14</v>
      </c>
      <c r="H118" s="19" t="str">
        <f t="shared" si="27"/>
        <v>19RIO AVE 130 SPE LTDA</v>
      </c>
      <c r="I118" s="19">
        <f t="shared" si="18"/>
        <v>19</v>
      </c>
      <c r="J118" s="13" t="s">
        <v>102</v>
      </c>
      <c r="K118" s="13" t="s">
        <v>209</v>
      </c>
      <c r="L118" s="13" t="s">
        <v>92</v>
      </c>
      <c r="M118" s="13" t="s">
        <v>55</v>
      </c>
      <c r="N118" s="20">
        <v>1953.64</v>
      </c>
      <c r="O118" s="20">
        <v>2156</v>
      </c>
      <c r="P118" s="21">
        <v>45964</v>
      </c>
      <c r="Q118" s="22"/>
      <c r="R118" s="23">
        <v>2156</v>
      </c>
      <c r="S118" s="24"/>
      <c r="T118" s="23"/>
      <c r="U118" s="24"/>
      <c r="V118" s="23"/>
      <c r="W118" s="23"/>
      <c r="X118" s="24"/>
      <c r="Y118" s="23"/>
      <c r="Z118" s="23"/>
      <c r="AA118" s="23">
        <v>9.4500000000000011</v>
      </c>
      <c r="AB118" s="23">
        <v>284.41000000000003</v>
      </c>
      <c r="AC118" s="24">
        <v>1516</v>
      </c>
      <c r="AD118" s="23"/>
      <c r="AE118" s="24"/>
      <c r="AF118" s="23"/>
      <c r="AG118" s="23"/>
      <c r="AH118" s="23">
        <v>43.13</v>
      </c>
      <c r="AI118" s="24">
        <v>0</v>
      </c>
      <c r="AJ118" s="25">
        <v>716.67</v>
      </c>
      <c r="AK118" s="23">
        <v>159.48000000000002</v>
      </c>
      <c r="AL118" s="23">
        <v>-62.48</v>
      </c>
      <c r="AM118" s="24">
        <v>357</v>
      </c>
      <c r="AN118" s="23"/>
      <c r="AO118" s="24"/>
      <c r="AP118" s="23">
        <v>127.4</v>
      </c>
      <c r="AQ118" s="24">
        <v>364</v>
      </c>
      <c r="AR118" s="23">
        <v>91.37</v>
      </c>
      <c r="AS118" s="23">
        <v>-924</v>
      </c>
      <c r="AT118" s="23"/>
      <c r="AU118" s="24"/>
      <c r="AW118" s="27">
        <f t="shared" si="19"/>
        <v>716.670118</v>
      </c>
      <c r="AX118" s="27">
        <f t="shared" si="20"/>
        <v>1.18E-4</v>
      </c>
      <c r="AY118" s="27">
        <f t="shared" si="21"/>
        <v>284.41011800000001</v>
      </c>
      <c r="AZ118" s="27">
        <f t="shared" si="22"/>
        <v>127.40011800000001</v>
      </c>
    </row>
    <row r="119" spans="1:52" ht="15" customHeight="1" x14ac:dyDescent="0.25">
      <c r="A119" s="13" t="str">
        <f>VLOOKUP(L119,[1]VALIDAÇÃO!$D$13:$E$350,2,0)</f>
        <v>DIRETO</v>
      </c>
      <c r="B119" s="14" t="str">
        <f t="shared" si="24"/>
        <v>78RESERVA DO PAIVA SPE 03 LTDA</v>
      </c>
      <c r="C119" s="15">
        <f t="shared" si="23"/>
        <v>78</v>
      </c>
      <c r="D119" s="16" t="str">
        <f t="shared" si="25"/>
        <v>42RESERVA DO PAIVA SPE 03 LTDA</v>
      </c>
      <c r="E119" s="17">
        <f t="shared" si="16"/>
        <v>42</v>
      </c>
      <c r="F119" s="18" t="str">
        <f t="shared" si="26"/>
        <v>31RESERVA DO PAIVA SPE 03 LTDA</v>
      </c>
      <c r="G119" s="18">
        <f t="shared" si="17"/>
        <v>31</v>
      </c>
      <c r="H119" s="19" t="str">
        <f t="shared" si="27"/>
        <v>52RESERVA DO PAIVA SPE 03 LTDA</v>
      </c>
      <c r="I119" s="19">
        <f t="shared" si="18"/>
        <v>52</v>
      </c>
      <c r="J119" s="13" t="s">
        <v>52</v>
      </c>
      <c r="K119" s="13" t="s">
        <v>210</v>
      </c>
      <c r="L119" s="13" t="s">
        <v>54</v>
      </c>
      <c r="M119" s="13" t="s">
        <v>55</v>
      </c>
      <c r="N119" s="20">
        <v>1438.72</v>
      </c>
      <c r="O119" s="20">
        <v>1622.13</v>
      </c>
      <c r="P119" s="21">
        <v>45922</v>
      </c>
      <c r="Q119" s="22"/>
      <c r="R119" s="23">
        <v>1622.13</v>
      </c>
      <c r="S119" s="24"/>
      <c r="T119" s="23"/>
      <c r="U119" s="24"/>
      <c r="V119" s="23"/>
      <c r="W119" s="23">
        <v>0.01</v>
      </c>
      <c r="X119" s="24">
        <v>1.67</v>
      </c>
      <c r="Y119" s="23"/>
      <c r="Z119" s="23"/>
      <c r="AA119" s="23">
        <v>4.83</v>
      </c>
      <c r="AB119" s="23">
        <v>259.39999999999998</v>
      </c>
      <c r="AC119" s="24">
        <v>1864.2857142857142</v>
      </c>
      <c r="AD119" s="23">
        <v>358.42999999999995</v>
      </c>
      <c r="AE119" s="24">
        <v>2924.3857142857141</v>
      </c>
      <c r="AF119" s="23"/>
      <c r="AG119" s="23"/>
      <c r="AH119" s="23">
        <v>21.15</v>
      </c>
      <c r="AI119" s="24">
        <v>0</v>
      </c>
      <c r="AJ119" s="25">
        <v>176.25</v>
      </c>
      <c r="AK119" s="23">
        <v>39.280000000000008</v>
      </c>
      <c r="AL119" s="23"/>
      <c r="AM119" s="24"/>
      <c r="AN119" s="23"/>
      <c r="AO119" s="24"/>
      <c r="AP119" s="23">
        <v>58.06</v>
      </c>
      <c r="AQ119" s="24">
        <v>900</v>
      </c>
      <c r="AR119" s="23">
        <v>160</v>
      </c>
      <c r="AS119" s="23">
        <v>-695.2</v>
      </c>
      <c r="AT119" s="23"/>
      <c r="AU119" s="24"/>
      <c r="AW119" s="27">
        <f t="shared" si="19"/>
        <v>176.25011900000001</v>
      </c>
      <c r="AX119" s="27">
        <f t="shared" si="20"/>
        <v>358.43011899999993</v>
      </c>
      <c r="AY119" s="27">
        <f t="shared" si="21"/>
        <v>259.40011899999996</v>
      </c>
      <c r="AZ119" s="27">
        <f t="shared" si="22"/>
        <v>58.060119</v>
      </c>
    </row>
    <row r="120" spans="1:52" ht="15" customHeight="1" x14ac:dyDescent="0.25">
      <c r="A120" s="13" t="str">
        <f>VLOOKUP(L120,[1]VALIDAÇÃO!$D$13:$E$350,2,0)</f>
        <v>DIRETO</v>
      </c>
      <c r="B120" s="14" t="str">
        <f t="shared" si="24"/>
        <v>52RESERVA DO PAIVA SPE 01 LTDA.</v>
      </c>
      <c r="C120" s="15">
        <f t="shared" si="23"/>
        <v>52</v>
      </c>
      <c r="D120" s="16" t="str">
        <f t="shared" si="25"/>
        <v>37RESERVA DO PAIVA SPE 01 LTDA.</v>
      </c>
      <c r="E120" s="17">
        <f t="shared" si="16"/>
        <v>37</v>
      </c>
      <c r="F120" s="18" t="str">
        <f t="shared" si="26"/>
        <v>61RESERVA DO PAIVA SPE 01 LTDA.</v>
      </c>
      <c r="G120" s="18">
        <f t="shared" si="17"/>
        <v>61</v>
      </c>
      <c r="H120" s="19" t="str">
        <f t="shared" si="27"/>
        <v>25RESERVA DO PAIVA SPE 01 LTDA.</v>
      </c>
      <c r="I120" s="19">
        <f t="shared" si="18"/>
        <v>25</v>
      </c>
      <c r="J120" s="13" t="s">
        <v>68</v>
      </c>
      <c r="K120" s="13" t="s">
        <v>211</v>
      </c>
      <c r="L120" s="13" t="s">
        <v>54</v>
      </c>
      <c r="M120" s="13" t="s">
        <v>55</v>
      </c>
      <c r="N120" s="20">
        <v>2128.34</v>
      </c>
      <c r="O120" s="20">
        <v>1622.13</v>
      </c>
      <c r="P120" s="21">
        <v>45951</v>
      </c>
      <c r="Q120" s="22"/>
      <c r="R120" s="23">
        <v>1622.13</v>
      </c>
      <c r="S120" s="24"/>
      <c r="T120" s="23"/>
      <c r="U120" s="24"/>
      <c r="V120" s="23"/>
      <c r="W120" s="23"/>
      <c r="X120" s="24"/>
      <c r="Y120" s="23"/>
      <c r="Z120" s="23"/>
      <c r="AA120" s="23">
        <v>18.209999999999997</v>
      </c>
      <c r="AB120" s="23">
        <v>109.45</v>
      </c>
      <c r="AC120" s="24">
        <v>489</v>
      </c>
      <c r="AD120" s="23">
        <v>260.48</v>
      </c>
      <c r="AE120" s="24">
        <v>2042.4</v>
      </c>
      <c r="AF120" s="23"/>
      <c r="AG120" s="23"/>
      <c r="AH120" s="23">
        <v>82.01</v>
      </c>
      <c r="AI120" s="24">
        <v>0</v>
      </c>
      <c r="AJ120" s="25">
        <v>525.33000000000004</v>
      </c>
      <c r="AK120" s="23">
        <v>116.41</v>
      </c>
      <c r="AL120" s="23"/>
      <c r="AM120" s="24"/>
      <c r="AN120" s="23"/>
      <c r="AO120" s="24"/>
      <c r="AP120" s="23">
        <v>448.62</v>
      </c>
      <c r="AQ120" s="24">
        <v>2951.6000000000004</v>
      </c>
      <c r="AR120" s="23">
        <v>187.09</v>
      </c>
      <c r="AS120" s="23">
        <v>-695.2</v>
      </c>
      <c r="AT120" s="23"/>
      <c r="AU120" s="24"/>
      <c r="AW120" s="27">
        <f t="shared" si="19"/>
        <v>525.33012000000008</v>
      </c>
      <c r="AX120" s="27">
        <f t="shared" si="20"/>
        <v>260.48012</v>
      </c>
      <c r="AY120" s="27">
        <f t="shared" si="21"/>
        <v>109.45012</v>
      </c>
      <c r="AZ120" s="27">
        <f t="shared" si="22"/>
        <v>448.62011999999999</v>
      </c>
    </row>
    <row r="121" spans="1:52" ht="15" customHeight="1" x14ac:dyDescent="0.25">
      <c r="A121" s="13" t="str">
        <f>VLOOKUP(L121,[1]VALIDAÇÃO!$D$13:$E$350,2,0)</f>
        <v>DIRETO</v>
      </c>
      <c r="B121" s="14" t="str">
        <f t="shared" si="24"/>
        <v>44RIO AVE CARNEIROS 01 SPE LTDA.</v>
      </c>
      <c r="C121" s="15">
        <f t="shared" si="23"/>
        <v>44</v>
      </c>
      <c r="D121" s="16" t="str">
        <f t="shared" si="25"/>
        <v>50RIO AVE CARNEIROS 01 SPE LTDA.</v>
      </c>
      <c r="E121" s="17">
        <f t="shared" si="16"/>
        <v>50</v>
      </c>
      <c r="F121" s="18" t="str">
        <f t="shared" si="26"/>
        <v>93RIO AVE CARNEIROS 01 SPE LTDA.</v>
      </c>
      <c r="G121" s="18">
        <f t="shared" si="17"/>
        <v>93</v>
      </c>
      <c r="H121" s="19" t="str">
        <f t="shared" si="27"/>
        <v>78RIO AVE CARNEIROS 01 SPE LTDA.</v>
      </c>
      <c r="I121" s="19">
        <f t="shared" si="18"/>
        <v>78</v>
      </c>
      <c r="J121" s="13" t="s">
        <v>61</v>
      </c>
      <c r="K121" s="13" t="s">
        <v>212</v>
      </c>
      <c r="L121" s="13" t="s">
        <v>54</v>
      </c>
      <c r="M121" s="13" t="s">
        <v>55</v>
      </c>
      <c r="N121" s="20">
        <v>1252.31</v>
      </c>
      <c r="O121" s="20">
        <v>1622.13</v>
      </c>
      <c r="P121" s="21">
        <v>45828</v>
      </c>
      <c r="Q121" s="22"/>
      <c r="R121" s="23">
        <v>1622.13</v>
      </c>
      <c r="S121" s="24"/>
      <c r="T121" s="23"/>
      <c r="U121" s="24"/>
      <c r="V121" s="23"/>
      <c r="W121" s="23"/>
      <c r="X121" s="24"/>
      <c r="Y121" s="23"/>
      <c r="Z121" s="23"/>
      <c r="AA121" s="23">
        <v>4.18</v>
      </c>
      <c r="AB121" s="23">
        <v>44.05</v>
      </c>
      <c r="AC121" s="24">
        <v>468.57142857142856</v>
      </c>
      <c r="AD121" s="23">
        <v>180.36</v>
      </c>
      <c r="AE121" s="24">
        <v>1160.4285714285716</v>
      </c>
      <c r="AF121" s="23"/>
      <c r="AG121" s="23"/>
      <c r="AH121" s="23">
        <v>17.899999999999999</v>
      </c>
      <c r="AI121" s="24">
        <v>0</v>
      </c>
      <c r="AJ121" s="25">
        <v>471.27</v>
      </c>
      <c r="AK121" s="23">
        <v>102.53</v>
      </c>
      <c r="AL121" s="23">
        <v>-32.39</v>
      </c>
      <c r="AM121" s="24">
        <v>246</v>
      </c>
      <c r="AN121" s="23"/>
      <c r="AO121" s="24"/>
      <c r="AP121" s="23">
        <v>12.79</v>
      </c>
      <c r="AQ121" s="24">
        <v>115.71428571428572</v>
      </c>
      <c r="AR121" s="23">
        <v>55.64</v>
      </c>
      <c r="AS121" s="23">
        <v>-775.2</v>
      </c>
      <c r="AT121" s="23"/>
      <c r="AU121" s="24"/>
      <c r="AW121" s="27">
        <f t="shared" si="19"/>
        <v>471.27012099999996</v>
      </c>
      <c r="AX121" s="27">
        <f t="shared" si="20"/>
        <v>180.36012100000002</v>
      </c>
      <c r="AY121" s="27">
        <f t="shared" si="21"/>
        <v>44.050120999999997</v>
      </c>
      <c r="AZ121" s="27">
        <f t="shared" si="22"/>
        <v>12.790120999999999</v>
      </c>
    </row>
    <row r="122" spans="1:52" ht="15" customHeight="1" x14ac:dyDescent="0.25">
      <c r="A122" s="13" t="str">
        <f>VLOOKUP(L122,[1]VALIDAÇÃO!$D$13:$E$350,2,0)</f>
        <v>DIRETO</v>
      </c>
      <c r="B122" s="14" t="str">
        <f t="shared" si="24"/>
        <v>45RIO AVE 130 SPE LTDA</v>
      </c>
      <c r="C122" s="15">
        <f t="shared" si="23"/>
        <v>45</v>
      </c>
      <c r="D122" s="16" t="str">
        <f t="shared" si="25"/>
        <v>55RIO AVE 130 SPE LTDA</v>
      </c>
      <c r="E122" s="17">
        <f t="shared" si="16"/>
        <v>55</v>
      </c>
      <c r="F122" s="18" t="str">
        <f t="shared" si="26"/>
        <v>30RIO AVE 130 SPE LTDA</v>
      </c>
      <c r="G122" s="18">
        <f t="shared" si="17"/>
        <v>30</v>
      </c>
      <c r="H122" s="19" t="str">
        <f t="shared" si="27"/>
        <v>63RIO AVE 130 SPE LTDA</v>
      </c>
      <c r="I122" s="19">
        <f t="shared" si="18"/>
        <v>63</v>
      </c>
      <c r="J122" s="13" t="s">
        <v>102</v>
      </c>
      <c r="K122" s="13" t="s">
        <v>213</v>
      </c>
      <c r="L122" s="13" t="s">
        <v>92</v>
      </c>
      <c r="M122" s="13" t="s">
        <v>55</v>
      </c>
      <c r="N122" s="20">
        <v>1383.19</v>
      </c>
      <c r="O122" s="20">
        <v>2156</v>
      </c>
      <c r="P122" s="21">
        <v>45910</v>
      </c>
      <c r="Q122" s="22"/>
      <c r="R122" s="23">
        <v>2156</v>
      </c>
      <c r="S122" s="24"/>
      <c r="T122" s="23"/>
      <c r="U122" s="24"/>
      <c r="V122" s="23"/>
      <c r="W122" s="23"/>
      <c r="X122" s="24"/>
      <c r="Y122" s="23"/>
      <c r="Z122" s="23"/>
      <c r="AA122" s="23">
        <v>2.33</v>
      </c>
      <c r="AB122" s="23">
        <v>187.49</v>
      </c>
      <c r="AC122" s="24">
        <v>1186.5714285714284</v>
      </c>
      <c r="AD122" s="23">
        <v>1.1200000000000001</v>
      </c>
      <c r="AE122" s="24">
        <v>12.385714285714286</v>
      </c>
      <c r="AF122" s="23"/>
      <c r="AG122" s="23"/>
      <c r="AH122" s="23">
        <v>9.8699999999999992</v>
      </c>
      <c r="AI122" s="24">
        <v>0</v>
      </c>
      <c r="AJ122" s="25">
        <v>369.17</v>
      </c>
      <c r="AK122" s="23">
        <v>83.37</v>
      </c>
      <c r="AL122" s="23">
        <v>-24.15</v>
      </c>
      <c r="AM122" s="24">
        <v>138</v>
      </c>
      <c r="AN122" s="23"/>
      <c r="AO122" s="24"/>
      <c r="AP122" s="23"/>
      <c r="AQ122" s="24"/>
      <c r="AR122" s="23">
        <v>43.34</v>
      </c>
      <c r="AS122" s="23">
        <v>-924</v>
      </c>
      <c r="AT122" s="23"/>
      <c r="AU122" s="24"/>
      <c r="AW122" s="27">
        <f t="shared" si="19"/>
        <v>369.17012199999999</v>
      </c>
      <c r="AX122" s="27">
        <f t="shared" si="20"/>
        <v>1.1201220000000001</v>
      </c>
      <c r="AY122" s="27">
        <f t="shared" si="21"/>
        <v>187.49012200000001</v>
      </c>
      <c r="AZ122" s="27">
        <f t="shared" si="22"/>
        <v>1.22E-4</v>
      </c>
    </row>
    <row r="123" spans="1:52" ht="15" customHeight="1" x14ac:dyDescent="0.25">
      <c r="A123" s="13" t="str">
        <f>VLOOKUP(L123,[1]VALIDAÇÃO!$D$13:$E$350,2,0)</f>
        <v>DIRETO</v>
      </c>
      <c r="B123" s="14" t="str">
        <f t="shared" si="24"/>
        <v>24RESERVA DO PAIVA SPE 01 LTDA.</v>
      </c>
      <c r="C123" s="15">
        <f t="shared" si="23"/>
        <v>24</v>
      </c>
      <c r="D123" s="16" t="str">
        <f t="shared" si="25"/>
        <v>35RESERVA DO PAIVA SPE 01 LTDA.</v>
      </c>
      <c r="E123" s="17">
        <f t="shared" si="16"/>
        <v>35</v>
      </c>
      <c r="F123" s="18" t="str">
        <f t="shared" si="26"/>
        <v>52RESERVA DO PAIVA SPE 01 LTDA.</v>
      </c>
      <c r="G123" s="18">
        <f t="shared" si="17"/>
        <v>52</v>
      </c>
      <c r="H123" s="19" t="str">
        <f t="shared" si="27"/>
        <v>31RESERVA DO PAIVA SPE 01 LTDA.</v>
      </c>
      <c r="I123" s="19">
        <f t="shared" si="18"/>
        <v>31</v>
      </c>
      <c r="J123" s="13" t="s">
        <v>68</v>
      </c>
      <c r="K123" s="13" t="s">
        <v>214</v>
      </c>
      <c r="L123" s="13" t="s">
        <v>54</v>
      </c>
      <c r="M123" s="13" t="s">
        <v>55</v>
      </c>
      <c r="N123" s="20">
        <v>2261.63</v>
      </c>
      <c r="O123" s="20">
        <v>1622.13</v>
      </c>
      <c r="P123" s="21">
        <v>45922</v>
      </c>
      <c r="Q123" s="22"/>
      <c r="R123" s="23">
        <v>1622.13</v>
      </c>
      <c r="S123" s="24"/>
      <c r="T123" s="23"/>
      <c r="U123" s="24"/>
      <c r="V123" s="23"/>
      <c r="W123" s="23"/>
      <c r="X123" s="24"/>
      <c r="Y123" s="23"/>
      <c r="Z123" s="23"/>
      <c r="AA123" s="23">
        <v>28.709999999999997</v>
      </c>
      <c r="AB123" s="23">
        <v>173.43999999999997</v>
      </c>
      <c r="AC123" s="24">
        <v>1298.3285714285714</v>
      </c>
      <c r="AD123" s="23">
        <v>282.79000000000002</v>
      </c>
      <c r="AE123" s="24">
        <v>2383.3285714285712</v>
      </c>
      <c r="AF123" s="23"/>
      <c r="AG123" s="23"/>
      <c r="AH123" s="23">
        <v>127.38999999999999</v>
      </c>
      <c r="AI123" s="24">
        <v>0</v>
      </c>
      <c r="AJ123" s="25">
        <v>860</v>
      </c>
      <c r="AK123" s="23">
        <v>190.95000000000002</v>
      </c>
      <c r="AL123" s="23">
        <v>-22.65</v>
      </c>
      <c r="AM123" s="24">
        <v>172</v>
      </c>
      <c r="AN123" s="23"/>
      <c r="AO123" s="24"/>
      <c r="AP123" s="23">
        <v>400.03</v>
      </c>
      <c r="AQ123" s="24">
        <v>2496.2857142857142</v>
      </c>
      <c r="AR123" s="23">
        <v>200.75</v>
      </c>
      <c r="AS123" s="23">
        <v>-695.2</v>
      </c>
      <c r="AT123" s="23"/>
      <c r="AU123" s="24"/>
      <c r="AW123" s="27">
        <f t="shared" si="19"/>
        <v>860.00012300000003</v>
      </c>
      <c r="AX123" s="27">
        <f t="shared" si="20"/>
        <v>282.79012299999999</v>
      </c>
      <c r="AY123" s="27">
        <f t="shared" si="21"/>
        <v>173.44012299999997</v>
      </c>
      <c r="AZ123" s="27">
        <f t="shared" si="22"/>
        <v>400.03012299999995</v>
      </c>
    </row>
    <row r="124" spans="1:52" ht="15" customHeight="1" x14ac:dyDescent="0.25">
      <c r="A124" s="13" t="str">
        <f>VLOOKUP(L124,[1]VALIDAÇÃO!$D$13:$E$350,2,0)</f>
        <v>DIRETO</v>
      </c>
      <c r="B124" s="14" t="str">
        <f t="shared" si="24"/>
        <v>29RESERVA DO PAIVA SPE 01 LTDA.</v>
      </c>
      <c r="C124" s="15">
        <f t="shared" si="23"/>
        <v>29</v>
      </c>
      <c r="D124" s="16" t="str">
        <f t="shared" si="25"/>
        <v>76RESERVA DO PAIVA SPE 01 LTDA.</v>
      </c>
      <c r="E124" s="17">
        <f t="shared" si="16"/>
        <v>76</v>
      </c>
      <c r="F124" s="18" t="str">
        <f t="shared" si="26"/>
        <v>70RESERVA DO PAIVA SPE 01 LTDA.</v>
      </c>
      <c r="G124" s="18">
        <f t="shared" si="17"/>
        <v>70</v>
      </c>
      <c r="H124" s="19" t="str">
        <f t="shared" si="27"/>
        <v>64RESERVA DO PAIVA SPE 01 LTDA.</v>
      </c>
      <c r="I124" s="19">
        <f t="shared" si="18"/>
        <v>64</v>
      </c>
      <c r="J124" s="13" t="s">
        <v>68</v>
      </c>
      <c r="K124" s="13" t="s">
        <v>215</v>
      </c>
      <c r="L124" s="13" t="s">
        <v>54</v>
      </c>
      <c r="M124" s="13" t="s">
        <v>55</v>
      </c>
      <c r="N124" s="20">
        <v>1425.75</v>
      </c>
      <c r="O124" s="20">
        <v>1622.13</v>
      </c>
      <c r="P124" s="21">
        <v>45782</v>
      </c>
      <c r="Q124" s="22"/>
      <c r="R124" s="23">
        <v>1622.13</v>
      </c>
      <c r="S124" s="24"/>
      <c r="T124" s="23"/>
      <c r="U124" s="24"/>
      <c r="V124" s="23"/>
      <c r="W124" s="23"/>
      <c r="X124" s="24"/>
      <c r="Y124" s="23"/>
      <c r="Z124" s="23"/>
      <c r="AA124" s="23">
        <v>5.28</v>
      </c>
      <c r="AB124" s="23">
        <v>55.5</v>
      </c>
      <c r="AC124" s="24">
        <v>462.04285714285714</v>
      </c>
      <c r="AD124" s="23">
        <v>14.899999999999999</v>
      </c>
      <c r="AE124" s="24">
        <v>88.55714285714285</v>
      </c>
      <c r="AF124" s="23"/>
      <c r="AG124" s="23"/>
      <c r="AH124" s="23">
        <v>23.07</v>
      </c>
      <c r="AI124" s="24">
        <v>0</v>
      </c>
      <c r="AJ124" s="25">
        <v>789.02</v>
      </c>
      <c r="AK124" s="23">
        <v>172.77000000000004</v>
      </c>
      <c r="AL124" s="23">
        <v>-50.56</v>
      </c>
      <c r="AM124" s="24">
        <v>384</v>
      </c>
      <c r="AN124" s="23"/>
      <c r="AO124" s="24"/>
      <c r="AP124" s="23">
        <v>170.45000000000002</v>
      </c>
      <c r="AQ124" s="24">
        <v>789.9571428571428</v>
      </c>
      <c r="AR124" s="23">
        <v>55.41</v>
      </c>
      <c r="AS124" s="23">
        <v>-695.2</v>
      </c>
      <c r="AT124" s="23"/>
      <c r="AU124" s="24"/>
      <c r="AW124" s="27">
        <f t="shared" si="19"/>
        <v>789.02012400000001</v>
      </c>
      <c r="AX124" s="27">
        <f t="shared" si="20"/>
        <v>14.900123999999998</v>
      </c>
      <c r="AY124" s="27">
        <f t="shared" si="21"/>
        <v>55.500124</v>
      </c>
      <c r="AZ124" s="27">
        <f t="shared" si="22"/>
        <v>170.45012400000002</v>
      </c>
    </row>
    <row r="125" spans="1:52" ht="15" customHeight="1" x14ac:dyDescent="0.25">
      <c r="A125" s="13" t="str">
        <f>VLOOKUP(L125,[1]VALIDAÇÃO!$D$13:$E$350,2,0)</f>
        <v>DIRETO</v>
      </c>
      <c r="B125" s="14" t="str">
        <f t="shared" si="24"/>
        <v>21RIO AVE CARNEIROS 01 SPE LTDA.</v>
      </c>
      <c r="C125" s="15">
        <f t="shared" si="23"/>
        <v>21</v>
      </c>
      <c r="D125" s="16" t="str">
        <f t="shared" si="25"/>
        <v>91RIO AVE CARNEIROS 01 SPE LTDA.</v>
      </c>
      <c r="E125" s="17">
        <f t="shared" si="16"/>
        <v>91</v>
      </c>
      <c r="F125" s="18" t="str">
        <f t="shared" si="26"/>
        <v>149RIO AVE CARNEIROS 01 SPE LTDA.</v>
      </c>
      <c r="G125" s="18">
        <f t="shared" si="17"/>
        <v>149</v>
      </c>
      <c r="H125" s="19" t="str">
        <f t="shared" si="27"/>
        <v>142RIO AVE CARNEIROS 01 SPE LTDA.</v>
      </c>
      <c r="I125" s="19">
        <f t="shared" si="18"/>
        <v>142</v>
      </c>
      <c r="J125" s="13" t="s">
        <v>61</v>
      </c>
      <c r="K125" s="13" t="s">
        <v>216</v>
      </c>
      <c r="L125" s="13" t="s">
        <v>63</v>
      </c>
      <c r="M125" s="13" t="s">
        <v>55</v>
      </c>
      <c r="N125" s="20">
        <v>851.47</v>
      </c>
      <c r="O125" s="20">
        <v>2156</v>
      </c>
      <c r="P125" s="21">
        <v>45705</v>
      </c>
      <c r="Q125" s="22"/>
      <c r="R125" s="23">
        <v>2156</v>
      </c>
      <c r="S125" s="24"/>
      <c r="T125" s="23"/>
      <c r="U125" s="24"/>
      <c r="V125" s="23"/>
      <c r="W125" s="23"/>
      <c r="X125" s="24"/>
      <c r="Y125" s="23"/>
      <c r="Z125" s="23"/>
      <c r="AA125" s="23">
        <v>0.4</v>
      </c>
      <c r="AB125" s="23"/>
      <c r="AC125" s="24"/>
      <c r="AD125" s="23">
        <v>31.700000000000003</v>
      </c>
      <c r="AE125" s="24">
        <v>127</v>
      </c>
      <c r="AF125" s="23"/>
      <c r="AG125" s="23"/>
      <c r="AH125" s="23">
        <v>1.81</v>
      </c>
      <c r="AI125" s="24">
        <v>0</v>
      </c>
      <c r="AJ125" s="25">
        <v>659.26</v>
      </c>
      <c r="AK125" s="23">
        <v>144.85</v>
      </c>
      <c r="AL125" s="23"/>
      <c r="AM125" s="24"/>
      <c r="AN125" s="23">
        <v>-308</v>
      </c>
      <c r="AO125" s="24">
        <v>4</v>
      </c>
      <c r="AP125" s="23"/>
      <c r="AQ125" s="24"/>
      <c r="AR125" s="23">
        <v>6.91</v>
      </c>
      <c r="AS125" s="23">
        <v>-924</v>
      </c>
      <c r="AT125" s="23">
        <v>-231</v>
      </c>
      <c r="AU125" s="24">
        <v>3</v>
      </c>
      <c r="AW125" s="27">
        <f t="shared" si="19"/>
        <v>659.26012500000002</v>
      </c>
      <c r="AX125" s="27">
        <f t="shared" si="20"/>
        <v>31.700125000000003</v>
      </c>
      <c r="AY125" s="27">
        <f t="shared" si="21"/>
        <v>1.25E-4</v>
      </c>
      <c r="AZ125" s="27">
        <f t="shared" si="22"/>
        <v>1.25E-4</v>
      </c>
    </row>
    <row r="126" spans="1:52" ht="15" customHeight="1" x14ac:dyDescent="0.25">
      <c r="A126" s="13" t="str">
        <f>VLOOKUP(L126,[1]VALIDAÇÃO!$D$13:$E$350,2,0)</f>
        <v>DIRETO</v>
      </c>
      <c r="B126" s="14" t="str">
        <f t="shared" si="24"/>
        <v>69RESERVA DO PAIVA SPE 01 LTDA.</v>
      </c>
      <c r="C126" s="15">
        <f t="shared" si="23"/>
        <v>69</v>
      </c>
      <c r="D126" s="16" t="str">
        <f t="shared" si="25"/>
        <v>57RESERVA DO PAIVA SPE 01 LTDA.</v>
      </c>
      <c r="E126" s="17">
        <f t="shared" si="16"/>
        <v>57</v>
      </c>
      <c r="F126" s="18" t="str">
        <f t="shared" si="26"/>
        <v>79RESERVA DO PAIVA SPE 01 LTDA.</v>
      </c>
      <c r="G126" s="18">
        <f t="shared" si="17"/>
        <v>79</v>
      </c>
      <c r="H126" s="19" t="str">
        <f t="shared" si="27"/>
        <v>68RESERVA DO PAIVA SPE 01 LTDA.</v>
      </c>
      <c r="I126" s="19">
        <f t="shared" si="18"/>
        <v>68</v>
      </c>
      <c r="J126" s="13" t="s">
        <v>68</v>
      </c>
      <c r="K126" s="13" t="s">
        <v>217</v>
      </c>
      <c r="L126" s="13" t="s">
        <v>54</v>
      </c>
      <c r="M126" s="13" t="s">
        <v>55</v>
      </c>
      <c r="N126" s="20">
        <v>1058.49</v>
      </c>
      <c r="O126" s="20">
        <v>1622.13</v>
      </c>
      <c r="P126" s="21">
        <v>45954</v>
      </c>
      <c r="Q126" s="22"/>
      <c r="R126" s="23">
        <v>1622.13</v>
      </c>
      <c r="S126" s="24"/>
      <c r="T126" s="23"/>
      <c r="U126" s="24"/>
      <c r="V126" s="23"/>
      <c r="W126" s="23"/>
      <c r="X126" s="24"/>
      <c r="Y126" s="23"/>
      <c r="Z126" s="23"/>
      <c r="AA126" s="23">
        <v>2.98</v>
      </c>
      <c r="AB126" s="23"/>
      <c r="AC126" s="24"/>
      <c r="AD126" s="23">
        <v>95.45</v>
      </c>
      <c r="AE126" s="24">
        <v>748.40000000000009</v>
      </c>
      <c r="AF126" s="31"/>
      <c r="AG126" s="31"/>
      <c r="AH126" s="23">
        <v>13.22</v>
      </c>
      <c r="AI126" s="24">
        <v>0</v>
      </c>
      <c r="AJ126" s="25">
        <v>274</v>
      </c>
      <c r="AK126" s="23">
        <v>61.660000000000004</v>
      </c>
      <c r="AL126" s="23"/>
      <c r="AM126" s="24"/>
      <c r="AN126" s="23">
        <v>-57.93</v>
      </c>
      <c r="AO126" s="24">
        <v>1</v>
      </c>
      <c r="AP126" s="23">
        <v>159.74</v>
      </c>
      <c r="AQ126" s="24">
        <v>924.6</v>
      </c>
      <c r="AR126" s="23">
        <v>58.190000000000005</v>
      </c>
      <c r="AS126" s="23">
        <v>-695.2</v>
      </c>
      <c r="AT126" s="23">
        <v>-57.93</v>
      </c>
      <c r="AU126" s="24">
        <v>1</v>
      </c>
      <c r="AV126" s="32"/>
      <c r="AW126" s="27">
        <f t="shared" si="19"/>
        <v>274.00012600000002</v>
      </c>
      <c r="AX126" s="27">
        <f t="shared" si="20"/>
        <v>95.450125999999997</v>
      </c>
      <c r="AY126" s="27">
        <f t="shared" si="21"/>
        <v>1.26E-4</v>
      </c>
      <c r="AZ126" s="27">
        <f t="shared" si="22"/>
        <v>159.740126</v>
      </c>
    </row>
    <row r="127" spans="1:52" ht="15" customHeight="1" x14ac:dyDescent="0.25">
      <c r="A127" s="13" t="str">
        <f>VLOOKUP(L127,[1]VALIDAÇÃO!$D$13:$E$350,2,0)</f>
        <v>DIRETO</v>
      </c>
      <c r="B127" s="14" t="str">
        <f t="shared" si="24"/>
        <v>68RIO AVE CARNEIROS 01 SPE LTDA.</v>
      </c>
      <c r="C127" s="15">
        <f t="shared" si="23"/>
        <v>68</v>
      </c>
      <c r="D127" s="16" t="str">
        <f t="shared" si="25"/>
        <v>56RIO AVE CARNEIROS 01 SPE LTDA.</v>
      </c>
      <c r="E127" s="17">
        <f t="shared" si="16"/>
        <v>56</v>
      </c>
      <c r="F127" s="18" t="str">
        <f t="shared" si="26"/>
        <v>71RIO AVE CARNEIROS 01 SPE LTDA.</v>
      </c>
      <c r="G127" s="18">
        <f t="shared" si="17"/>
        <v>71</v>
      </c>
      <c r="H127" s="19" t="str">
        <f t="shared" si="27"/>
        <v>25RIO AVE CARNEIROS 01 SPE LTDA.</v>
      </c>
      <c r="I127" s="19">
        <f t="shared" si="18"/>
        <v>25</v>
      </c>
      <c r="J127" s="13" t="s">
        <v>61</v>
      </c>
      <c r="K127" s="13" t="s">
        <v>218</v>
      </c>
      <c r="L127" s="13" t="s">
        <v>54</v>
      </c>
      <c r="M127" s="13" t="s">
        <v>55</v>
      </c>
      <c r="N127" s="20">
        <v>942.53</v>
      </c>
      <c r="O127" s="20">
        <v>1622.13</v>
      </c>
      <c r="P127" s="21">
        <v>45782</v>
      </c>
      <c r="Q127" s="22"/>
      <c r="R127" s="23">
        <v>1622.13</v>
      </c>
      <c r="S127" s="24"/>
      <c r="T127" s="23"/>
      <c r="U127" s="24"/>
      <c r="V127" s="23"/>
      <c r="W127" s="23"/>
      <c r="X127" s="24"/>
      <c r="Y127" s="23"/>
      <c r="Z127" s="23"/>
      <c r="AA127" s="23">
        <v>3.02</v>
      </c>
      <c r="AB127" s="23">
        <v>83.89</v>
      </c>
      <c r="AC127" s="24">
        <v>698.37142857142862</v>
      </c>
      <c r="AD127" s="23">
        <v>134.25</v>
      </c>
      <c r="AE127" s="24">
        <v>1117.5571428571427</v>
      </c>
      <c r="AF127" s="23"/>
      <c r="AG127" s="23"/>
      <c r="AH127" s="23">
        <v>13.93</v>
      </c>
      <c r="AI127" s="24">
        <v>0</v>
      </c>
      <c r="AJ127" s="25">
        <v>374.73</v>
      </c>
      <c r="AK127" s="23">
        <v>82.9</v>
      </c>
      <c r="AL127" s="23"/>
      <c r="AM127" s="24"/>
      <c r="AN127" s="23"/>
      <c r="AO127" s="24"/>
      <c r="AP127" s="23">
        <v>43.87</v>
      </c>
      <c r="AQ127" s="24">
        <v>310.41428571428571</v>
      </c>
      <c r="AR127" s="23">
        <v>55.989999999999995</v>
      </c>
      <c r="AS127" s="23">
        <v>-695.2</v>
      </c>
      <c r="AT127" s="23"/>
      <c r="AU127" s="24"/>
      <c r="AW127" s="27">
        <f t="shared" si="19"/>
        <v>374.73012700000004</v>
      </c>
      <c r="AX127" s="27">
        <f t="shared" si="20"/>
        <v>134.25012699999999</v>
      </c>
      <c r="AY127" s="27">
        <f t="shared" si="21"/>
        <v>83.890127000000007</v>
      </c>
      <c r="AZ127" s="27">
        <f t="shared" si="22"/>
        <v>43.870126999999997</v>
      </c>
    </row>
    <row r="128" spans="1:52" ht="15" customHeight="1" x14ac:dyDescent="0.25">
      <c r="A128" s="13" t="str">
        <f>VLOOKUP(L128,[1]VALIDAÇÃO!$D$13:$E$350,2,0)</f>
        <v>DIRETO</v>
      </c>
      <c r="B128" s="14" t="str">
        <f t="shared" si="24"/>
        <v>45CONDOMINIO DO EDIFICIO EMPRESARIAL MARIE CURIE</v>
      </c>
      <c r="C128" s="15">
        <f t="shared" si="23"/>
        <v>45</v>
      </c>
      <c r="D128" s="16" t="str">
        <f t="shared" si="25"/>
        <v>60CONDOMINIO DO EDIFICIO EMPRESARIAL MARIE CURIE</v>
      </c>
      <c r="E128" s="17">
        <f t="shared" si="16"/>
        <v>60</v>
      </c>
      <c r="F128" s="18" t="str">
        <f t="shared" si="26"/>
        <v>80CONDOMINIO DO EDIFICIO EMPRESARIAL MARIE CURIE</v>
      </c>
      <c r="G128" s="18">
        <f t="shared" si="17"/>
        <v>80</v>
      </c>
      <c r="H128" s="19" t="str">
        <f t="shared" si="27"/>
        <v>114CONDOMINIO DO EDIFICIO EMPRESARIAL MARIE CURIE</v>
      </c>
      <c r="I128" s="19">
        <f t="shared" si="18"/>
        <v>114</v>
      </c>
      <c r="J128" s="13" t="s">
        <v>57</v>
      </c>
      <c r="K128" s="13" t="s">
        <v>219</v>
      </c>
      <c r="L128" s="13" t="s">
        <v>54</v>
      </c>
      <c r="M128" s="13" t="s">
        <v>60</v>
      </c>
      <c r="N128" s="20">
        <v>1058.3399999999999</v>
      </c>
      <c r="O128" s="20">
        <v>1622.13</v>
      </c>
      <c r="P128" s="21">
        <v>45672</v>
      </c>
      <c r="Q128" s="22"/>
      <c r="R128" s="23">
        <v>1622.13</v>
      </c>
      <c r="S128" s="24"/>
      <c r="T128" s="23"/>
      <c r="U128" s="24"/>
      <c r="V128" s="23"/>
      <c r="W128" s="23"/>
      <c r="X128" s="24"/>
      <c r="Y128" s="23"/>
      <c r="Z128" s="23"/>
      <c r="AA128" s="23">
        <v>2</v>
      </c>
      <c r="AB128" s="23">
        <v>15.889999999999999</v>
      </c>
      <c r="AC128" s="24">
        <v>92.228571428571428</v>
      </c>
      <c r="AD128" s="23">
        <v>120.32000000000001</v>
      </c>
      <c r="AE128" s="24">
        <v>581.56142857142856</v>
      </c>
      <c r="AF128" s="23"/>
      <c r="AG128" s="23"/>
      <c r="AH128" s="23">
        <v>9.1</v>
      </c>
      <c r="AI128" s="24">
        <v>0</v>
      </c>
      <c r="AJ128" s="25">
        <v>560.28</v>
      </c>
      <c r="AK128" s="23">
        <v>119.94</v>
      </c>
      <c r="AL128" s="23">
        <v>-3.98</v>
      </c>
      <c r="AM128" s="24">
        <v>30.19</v>
      </c>
      <c r="AN128" s="23"/>
      <c r="AO128" s="24"/>
      <c r="AP128" s="23"/>
      <c r="AQ128" s="24"/>
      <c r="AR128" s="23">
        <v>29.669999999999998</v>
      </c>
      <c r="AS128" s="23">
        <v>-695.2</v>
      </c>
      <c r="AT128" s="23"/>
      <c r="AU128" s="24"/>
      <c r="AW128" s="27">
        <f t="shared" si="19"/>
        <v>560.28012799999999</v>
      </c>
      <c r="AX128" s="27">
        <f t="shared" si="20"/>
        <v>120.32012800000001</v>
      </c>
      <c r="AY128" s="27">
        <f t="shared" si="21"/>
        <v>15.890127999999999</v>
      </c>
      <c r="AZ128" s="27">
        <f t="shared" si="22"/>
        <v>1.2799999999999999E-4</v>
      </c>
    </row>
    <row r="129" spans="1:52" ht="15" customHeight="1" x14ac:dyDescent="0.25">
      <c r="A129" s="13" t="str">
        <f>VLOOKUP(L129,[1]VALIDAÇÃO!$D$13:$E$350,2,0)</f>
        <v>DIRETO</v>
      </c>
      <c r="B129" s="14" t="str">
        <f t="shared" si="24"/>
        <v>46RIO AVE CARNEIROS 01 SPE LTDA.</v>
      </c>
      <c r="C129" s="15">
        <f t="shared" si="23"/>
        <v>46</v>
      </c>
      <c r="D129" s="16" t="str">
        <f t="shared" si="25"/>
        <v>23RIO AVE CARNEIROS 01 SPE LTDA.</v>
      </c>
      <c r="E129" s="17">
        <f t="shared" si="16"/>
        <v>23</v>
      </c>
      <c r="F129" s="18" t="str">
        <f t="shared" si="26"/>
        <v>6RIO AVE CARNEIROS 01 SPE LTDA.</v>
      </c>
      <c r="G129" s="18">
        <f t="shared" si="17"/>
        <v>6</v>
      </c>
      <c r="H129" s="19" t="str">
        <f t="shared" si="27"/>
        <v>52RIO AVE CARNEIROS 01 SPE LTDA.</v>
      </c>
      <c r="I129" s="19">
        <f t="shared" si="18"/>
        <v>52</v>
      </c>
      <c r="J129" s="13" t="s">
        <v>61</v>
      </c>
      <c r="K129" s="13" t="s">
        <v>220</v>
      </c>
      <c r="L129" s="13" t="s">
        <v>101</v>
      </c>
      <c r="M129" s="13" t="s">
        <v>55</v>
      </c>
      <c r="N129" s="20">
        <v>1495.65</v>
      </c>
      <c r="O129" s="20">
        <v>2156</v>
      </c>
      <c r="P129" s="21">
        <v>45323</v>
      </c>
      <c r="Q129" s="22"/>
      <c r="R129" s="23">
        <v>2156</v>
      </c>
      <c r="S129" s="24"/>
      <c r="T129" s="23"/>
      <c r="U129" s="24"/>
      <c r="V129" s="23"/>
      <c r="W129" s="23"/>
      <c r="X129" s="24"/>
      <c r="Y129" s="23"/>
      <c r="Z129" s="23"/>
      <c r="AA129" s="23">
        <v>6.88</v>
      </c>
      <c r="AB129" s="23">
        <v>290.21000000000004</v>
      </c>
      <c r="AC129" s="24">
        <v>975.5</v>
      </c>
      <c r="AD129" s="23">
        <v>372.34</v>
      </c>
      <c r="AE129" s="24">
        <v>1251.58</v>
      </c>
      <c r="AF129" s="23"/>
      <c r="AG129" s="23"/>
      <c r="AH129" s="23">
        <v>31.45</v>
      </c>
      <c r="AI129" s="24">
        <v>0</v>
      </c>
      <c r="AJ129" s="25">
        <v>467.66</v>
      </c>
      <c r="AK129" s="23">
        <v>103.18</v>
      </c>
      <c r="AL129" s="23">
        <v>-13.13</v>
      </c>
      <c r="AM129" s="24">
        <v>75</v>
      </c>
      <c r="AN129" s="23">
        <v>-77</v>
      </c>
      <c r="AO129" s="24">
        <v>1</v>
      </c>
      <c r="AP129" s="23">
        <v>29.37</v>
      </c>
      <c r="AQ129" s="24">
        <v>83.92</v>
      </c>
      <c r="AR129" s="23">
        <v>150.70999999999998</v>
      </c>
      <c r="AS129" s="23">
        <v>-924</v>
      </c>
      <c r="AT129" s="23">
        <v>-77</v>
      </c>
      <c r="AU129" s="24">
        <v>1</v>
      </c>
      <c r="AW129" s="27">
        <f t="shared" si="19"/>
        <v>467.66012900000004</v>
      </c>
      <c r="AX129" s="27">
        <f t="shared" si="20"/>
        <v>372.34012899999999</v>
      </c>
      <c r="AY129" s="27">
        <f t="shared" si="21"/>
        <v>290.21012900000005</v>
      </c>
      <c r="AZ129" s="27">
        <f t="shared" si="22"/>
        <v>29.370129000000002</v>
      </c>
    </row>
    <row r="130" spans="1:52" ht="15" customHeight="1" x14ac:dyDescent="0.25">
      <c r="A130" s="13" t="str">
        <f>VLOOKUP(L130,[1]VALIDAÇÃO!$D$13:$E$350,2,0)</f>
        <v>DIRETO</v>
      </c>
      <c r="B130" s="14" t="str">
        <f t="shared" si="24"/>
        <v>123RESERVA DO PAIVA SPE 03 LTDA</v>
      </c>
      <c r="C130" s="15">
        <f t="shared" si="23"/>
        <v>123</v>
      </c>
      <c r="D130" s="16" t="str">
        <f t="shared" si="25"/>
        <v>79RESERVA DO PAIVA SPE 03 LTDA</v>
      </c>
      <c r="E130" s="17">
        <f t="shared" ref="E130:E193" si="28">1+SUMPRODUCT(($J$2:$J$1437=$J130)*(AX$2:AX$1437&gt;AX130))</f>
        <v>79</v>
      </c>
      <c r="F130" s="18" t="str">
        <f t="shared" si="26"/>
        <v>87RESERVA DO PAIVA SPE 03 LTDA</v>
      </c>
      <c r="G130" s="18">
        <f t="shared" ref="G130:G193" si="29">1+SUMPRODUCT(($J$2:$J$1437=$J130)*(AY$2:AY$1437&gt;AY130))</f>
        <v>87</v>
      </c>
      <c r="H130" s="19" t="str">
        <f t="shared" si="27"/>
        <v>67RESERVA DO PAIVA SPE 03 LTDA</v>
      </c>
      <c r="I130" s="19">
        <f t="shared" ref="I130:I193" si="30">1+SUMPRODUCT(($J$2:$J$1437=$J130)*(AZ$2:AZ$1437&gt;AZ130))</f>
        <v>67</v>
      </c>
      <c r="J130" s="13" t="s">
        <v>52</v>
      </c>
      <c r="K130" s="13" t="s">
        <v>221</v>
      </c>
      <c r="L130" s="13" t="s">
        <v>54</v>
      </c>
      <c r="M130" s="13" t="s">
        <v>55</v>
      </c>
      <c r="N130" s="20">
        <v>466.9</v>
      </c>
      <c r="O130" s="20">
        <v>1622.13</v>
      </c>
      <c r="P130" s="21">
        <v>45798</v>
      </c>
      <c r="Q130" s="22"/>
      <c r="R130" s="23">
        <v>1622.13</v>
      </c>
      <c r="S130" s="24"/>
      <c r="T130" s="23"/>
      <c r="U130" s="24"/>
      <c r="V130" s="23"/>
      <c r="W130" s="23">
        <v>0.26</v>
      </c>
      <c r="X130" s="24">
        <v>14.02</v>
      </c>
      <c r="Y130" s="23"/>
      <c r="Z130" s="23"/>
      <c r="AA130" s="23">
        <v>1.22</v>
      </c>
      <c r="AB130" s="23">
        <v>84.08</v>
      </c>
      <c r="AC130" s="24">
        <v>785.31428571428569</v>
      </c>
      <c r="AD130" s="23">
        <v>181.39000000000001</v>
      </c>
      <c r="AE130" s="24">
        <v>1516.2414285714285</v>
      </c>
      <c r="AF130" s="23"/>
      <c r="AG130" s="23"/>
      <c r="AH130" s="23">
        <v>5.3</v>
      </c>
      <c r="AI130" s="24">
        <v>0</v>
      </c>
      <c r="AJ130" s="25">
        <v>50.22</v>
      </c>
      <c r="AK130" s="23">
        <v>11.469999999999999</v>
      </c>
      <c r="AL130" s="23">
        <v>-28.18</v>
      </c>
      <c r="AM130" s="24">
        <v>214</v>
      </c>
      <c r="AN130" s="23">
        <v>-173.8</v>
      </c>
      <c r="AO130" s="24">
        <v>3</v>
      </c>
      <c r="AP130" s="23">
        <v>30.16</v>
      </c>
      <c r="AQ130" s="24">
        <v>239.45714285714286</v>
      </c>
      <c r="AR130" s="23">
        <v>69.42</v>
      </c>
      <c r="AS130" s="23">
        <v>-695.2</v>
      </c>
      <c r="AT130" s="23">
        <v>-115.87</v>
      </c>
      <c r="AU130" s="24">
        <v>2</v>
      </c>
      <c r="AW130" s="27">
        <f t="shared" ref="AW130:AW193" si="31">AJ130+ROW(C130)/1000000</f>
        <v>50.220129999999997</v>
      </c>
      <c r="AX130" s="27">
        <f t="shared" ref="AX130:AX193" si="32">AD130+ROW(C130)/1000000</f>
        <v>181.39013000000003</v>
      </c>
      <c r="AY130" s="27">
        <f t="shared" ref="AY130:AY193" si="33">AB130+ROW(A130)/1000000</f>
        <v>84.080129999999997</v>
      </c>
      <c r="AZ130" s="27">
        <f t="shared" ref="AZ130:AZ193" si="34">AP130+ROW(A130)/1000000</f>
        <v>30.160129999999999</v>
      </c>
    </row>
    <row r="131" spans="1:52" ht="15" customHeight="1" x14ac:dyDescent="0.25">
      <c r="A131" s="13" t="str">
        <f>VLOOKUP(L131,[1]VALIDAÇÃO!$D$13:$E$350,2,0)</f>
        <v>DIRETO</v>
      </c>
      <c r="B131" s="14" t="str">
        <f t="shared" si="24"/>
        <v>18CONDOMINIO DO EDIFICIO EMPRESARIAL MARIE CURIE</v>
      </c>
      <c r="C131" s="15">
        <f t="shared" ref="C131:C194" si="35">1+SUMPRODUCT(($J$2:$J$1437=J131)*($AW$2:$AW$1437&gt;AW131))</f>
        <v>18</v>
      </c>
      <c r="D131" s="16" t="str">
        <f t="shared" si="25"/>
        <v>116CONDOMINIO DO EDIFICIO EMPRESARIAL MARIE CURIE</v>
      </c>
      <c r="E131" s="17">
        <f t="shared" si="28"/>
        <v>116</v>
      </c>
      <c r="F131" s="18" t="str">
        <f t="shared" si="26"/>
        <v>122CONDOMINIO DO EDIFICIO EMPRESARIAL MARIE CURIE</v>
      </c>
      <c r="G131" s="18">
        <f t="shared" si="29"/>
        <v>122</v>
      </c>
      <c r="H131" s="19" t="str">
        <f t="shared" si="27"/>
        <v>113CONDOMINIO DO EDIFICIO EMPRESARIAL MARIE CURIE</v>
      </c>
      <c r="I131" s="19">
        <f t="shared" si="30"/>
        <v>113</v>
      </c>
      <c r="J131" s="13" t="s">
        <v>57</v>
      </c>
      <c r="K131" s="13" t="s">
        <v>222</v>
      </c>
      <c r="L131" s="13" t="s">
        <v>66</v>
      </c>
      <c r="M131" s="13" t="s">
        <v>60</v>
      </c>
      <c r="N131" s="20">
        <v>1765.38</v>
      </c>
      <c r="O131" s="20">
        <v>2156</v>
      </c>
      <c r="P131" s="21">
        <v>45939</v>
      </c>
      <c r="Q131" s="22"/>
      <c r="R131" s="23">
        <v>2156</v>
      </c>
      <c r="S131" s="24"/>
      <c r="T131" s="23"/>
      <c r="U131" s="24"/>
      <c r="V131" s="23"/>
      <c r="W131" s="23"/>
      <c r="X131" s="24"/>
      <c r="Y131" s="23"/>
      <c r="Z131" s="23"/>
      <c r="AA131" s="23">
        <v>0.03</v>
      </c>
      <c r="AB131" s="23"/>
      <c r="AC131" s="24"/>
      <c r="AD131" s="23">
        <v>3.6100000000000003</v>
      </c>
      <c r="AE131" s="24">
        <v>49.55714285714285</v>
      </c>
      <c r="AF131" s="23"/>
      <c r="AG131" s="23"/>
      <c r="AH131" s="23">
        <v>0.14000000000000001</v>
      </c>
      <c r="AI131" s="24">
        <v>0</v>
      </c>
      <c r="AJ131" s="25">
        <v>982.26</v>
      </c>
      <c r="AK131" s="23">
        <v>212.55</v>
      </c>
      <c r="AL131" s="23"/>
      <c r="AM131" s="24"/>
      <c r="AN131" s="23"/>
      <c r="AO131" s="24"/>
      <c r="AP131" s="23"/>
      <c r="AQ131" s="24"/>
      <c r="AR131" s="23">
        <v>0.87</v>
      </c>
      <c r="AS131" s="23">
        <v>-924</v>
      </c>
      <c r="AT131" s="23"/>
      <c r="AU131" s="24"/>
      <c r="AW131" s="27">
        <f t="shared" si="31"/>
        <v>982.260131</v>
      </c>
      <c r="AX131" s="27">
        <f t="shared" si="32"/>
        <v>3.6101310000000004</v>
      </c>
      <c r="AY131" s="27">
        <f t="shared" si="33"/>
        <v>1.3100000000000001E-4</v>
      </c>
      <c r="AZ131" s="27">
        <f t="shared" si="34"/>
        <v>1.3100000000000001E-4</v>
      </c>
    </row>
    <row r="132" spans="1:52" ht="15" customHeight="1" x14ac:dyDescent="0.25">
      <c r="A132" s="13" t="str">
        <f>VLOOKUP(L132,[1]VALIDAÇÃO!$D$13:$E$350,2,0)</f>
        <v>DIRETO</v>
      </c>
      <c r="B132" s="14" t="str">
        <f t="shared" si="24"/>
        <v>52RIO AVE 200 SPE LTDA.</v>
      </c>
      <c r="C132" s="15">
        <f t="shared" si="35"/>
        <v>52</v>
      </c>
      <c r="D132" s="16" t="str">
        <f t="shared" si="25"/>
        <v>13RIO AVE 200 SPE LTDA.</v>
      </c>
      <c r="E132" s="17">
        <f t="shared" si="28"/>
        <v>13</v>
      </c>
      <c r="F132" s="18" t="str">
        <f t="shared" si="26"/>
        <v>14RIO AVE 200 SPE LTDA.</v>
      </c>
      <c r="G132" s="18">
        <f t="shared" si="29"/>
        <v>14</v>
      </c>
      <c r="H132" s="19" t="str">
        <f t="shared" si="27"/>
        <v>17RIO AVE 200 SPE LTDA.</v>
      </c>
      <c r="I132" s="19">
        <f t="shared" si="30"/>
        <v>17</v>
      </c>
      <c r="J132" s="13" t="s">
        <v>48</v>
      </c>
      <c r="K132" s="13" t="s">
        <v>223</v>
      </c>
      <c r="L132" s="13" t="s">
        <v>54</v>
      </c>
      <c r="M132" s="13" t="s">
        <v>55</v>
      </c>
      <c r="N132" s="20">
        <v>1087.51</v>
      </c>
      <c r="O132" s="20">
        <v>1622.13</v>
      </c>
      <c r="P132" s="21">
        <v>45811</v>
      </c>
      <c r="Q132" s="22"/>
      <c r="R132" s="23">
        <v>1622.13</v>
      </c>
      <c r="S132" s="24"/>
      <c r="T132" s="23"/>
      <c r="U132" s="24"/>
      <c r="V132" s="23"/>
      <c r="W132" s="23">
        <v>0.02</v>
      </c>
      <c r="X132" s="24">
        <v>1.5</v>
      </c>
      <c r="Y132" s="23"/>
      <c r="Z132" s="23"/>
      <c r="AA132" s="23">
        <v>1.29</v>
      </c>
      <c r="AB132" s="23">
        <v>109.25999999999999</v>
      </c>
      <c r="AC132" s="24">
        <v>1020.4714285714285</v>
      </c>
      <c r="AD132" s="23">
        <v>246.04999999999995</v>
      </c>
      <c r="AE132" s="24">
        <v>1830.1857142857143</v>
      </c>
      <c r="AF132" s="23"/>
      <c r="AG132" s="23"/>
      <c r="AH132" s="23">
        <v>6.0100000000000007</v>
      </c>
      <c r="AI132" s="24">
        <v>0</v>
      </c>
      <c r="AJ132" s="25">
        <v>165.14</v>
      </c>
      <c r="AK132" s="23">
        <v>36.410000000000004</v>
      </c>
      <c r="AL132" s="23"/>
      <c r="AM132" s="24"/>
      <c r="AN132" s="23"/>
      <c r="AO132" s="24"/>
      <c r="AP132" s="23">
        <v>14.399999999999999</v>
      </c>
      <c r="AQ132" s="24">
        <v>114.28571428571428</v>
      </c>
      <c r="AR132" s="23">
        <v>74.25</v>
      </c>
      <c r="AS132" s="23">
        <v>-815.2</v>
      </c>
      <c r="AT132" s="23"/>
      <c r="AU132" s="24"/>
      <c r="AW132" s="27">
        <f t="shared" si="31"/>
        <v>165.14013199999999</v>
      </c>
      <c r="AX132" s="27">
        <f t="shared" si="32"/>
        <v>246.05013199999996</v>
      </c>
      <c r="AY132" s="27">
        <f t="shared" si="33"/>
        <v>109.26013199999998</v>
      </c>
      <c r="AZ132" s="27">
        <f t="shared" si="34"/>
        <v>14.400131999999999</v>
      </c>
    </row>
    <row r="133" spans="1:52" ht="15" customHeight="1" x14ac:dyDescent="0.25">
      <c r="A133" s="13" t="str">
        <f>VLOOKUP(L133,[1]VALIDAÇÃO!$D$13:$E$350,2,0)</f>
        <v>DIRETO</v>
      </c>
      <c r="B133" s="14" t="str">
        <f t="shared" si="24"/>
        <v>41RIO AVE 200 SPE LTDA.</v>
      </c>
      <c r="C133" s="15">
        <f t="shared" si="35"/>
        <v>41</v>
      </c>
      <c r="D133" s="16" t="str">
        <f t="shared" si="25"/>
        <v>37RIO AVE 200 SPE LTDA.</v>
      </c>
      <c r="E133" s="17">
        <f t="shared" si="28"/>
        <v>37</v>
      </c>
      <c r="F133" s="18" t="str">
        <f t="shared" si="26"/>
        <v>41RIO AVE 200 SPE LTDA.</v>
      </c>
      <c r="G133" s="18">
        <f t="shared" si="29"/>
        <v>41</v>
      </c>
      <c r="H133" s="19" t="str">
        <f t="shared" si="27"/>
        <v>72RIO AVE 200 SPE LTDA.</v>
      </c>
      <c r="I133" s="19">
        <f t="shared" si="30"/>
        <v>72</v>
      </c>
      <c r="J133" s="13" t="s">
        <v>48</v>
      </c>
      <c r="K133" s="13" t="s">
        <v>224</v>
      </c>
      <c r="L133" s="13" t="s">
        <v>54</v>
      </c>
      <c r="M133" s="13" t="s">
        <v>55</v>
      </c>
      <c r="N133" s="20">
        <v>1051.77</v>
      </c>
      <c r="O133" s="20">
        <v>1622.13</v>
      </c>
      <c r="P133" s="21">
        <v>45938</v>
      </c>
      <c r="Q133" s="22"/>
      <c r="R133" s="23">
        <v>1622.13</v>
      </c>
      <c r="S133" s="24"/>
      <c r="T133" s="23"/>
      <c r="U133" s="24"/>
      <c r="V133" s="23"/>
      <c r="W133" s="23"/>
      <c r="X133" s="24"/>
      <c r="Y133" s="23"/>
      <c r="Z133" s="23"/>
      <c r="AA133" s="23">
        <v>1.69</v>
      </c>
      <c r="AB133" s="23">
        <v>10.07</v>
      </c>
      <c r="AC133" s="24">
        <v>183.57142857142856</v>
      </c>
      <c r="AD133" s="23">
        <v>111.89999999999999</v>
      </c>
      <c r="AE133" s="24">
        <v>928.14285714285711</v>
      </c>
      <c r="AF133" s="23"/>
      <c r="AG133" s="23"/>
      <c r="AH133" s="23">
        <v>6.91</v>
      </c>
      <c r="AI133" s="24">
        <v>0</v>
      </c>
      <c r="AJ133" s="25">
        <v>339.91</v>
      </c>
      <c r="AK133" s="23">
        <v>76.5</v>
      </c>
      <c r="AL133" s="23"/>
      <c r="AM133" s="24"/>
      <c r="AN133" s="23"/>
      <c r="AO133" s="24"/>
      <c r="AP133" s="23"/>
      <c r="AQ133" s="24"/>
      <c r="AR133" s="23">
        <v>29.590000000000003</v>
      </c>
      <c r="AS133" s="23">
        <v>-695.2</v>
      </c>
      <c r="AT133" s="23"/>
      <c r="AU133" s="24"/>
      <c r="AW133" s="27">
        <f t="shared" si="31"/>
        <v>339.91013300000003</v>
      </c>
      <c r="AX133" s="27">
        <f t="shared" si="32"/>
        <v>111.900133</v>
      </c>
      <c r="AY133" s="27">
        <f t="shared" si="33"/>
        <v>10.070133</v>
      </c>
      <c r="AZ133" s="27">
        <f t="shared" si="34"/>
        <v>1.3300000000000001E-4</v>
      </c>
    </row>
    <row r="134" spans="1:52" ht="15" customHeight="1" x14ac:dyDescent="0.25">
      <c r="A134" s="13" t="str">
        <f>VLOOKUP(L134,[1]VALIDAÇÃO!$D$13:$E$350,2,0)</f>
        <v>DIRETO</v>
      </c>
      <c r="B134" s="14" t="str">
        <f t="shared" si="24"/>
        <v>22RESERVA DO PAIVA SPE 01 LTDA.</v>
      </c>
      <c r="C134" s="15">
        <f t="shared" si="35"/>
        <v>22</v>
      </c>
      <c r="D134" s="16" t="str">
        <f t="shared" si="25"/>
        <v>26RESERVA DO PAIVA SPE 01 LTDA.</v>
      </c>
      <c r="E134" s="17">
        <f t="shared" si="28"/>
        <v>26</v>
      </c>
      <c r="F134" s="18" t="str">
        <f t="shared" si="26"/>
        <v>42RESERVA DO PAIVA SPE 01 LTDA.</v>
      </c>
      <c r="G134" s="18">
        <f t="shared" si="29"/>
        <v>42</v>
      </c>
      <c r="H134" s="19" t="str">
        <f t="shared" si="27"/>
        <v>26RESERVA DO PAIVA SPE 01 LTDA.</v>
      </c>
      <c r="I134" s="19">
        <f t="shared" si="30"/>
        <v>26</v>
      </c>
      <c r="J134" s="13" t="s">
        <v>68</v>
      </c>
      <c r="K134" s="13" t="s">
        <v>225</v>
      </c>
      <c r="L134" s="13" t="s">
        <v>54</v>
      </c>
      <c r="M134" s="13" t="s">
        <v>55</v>
      </c>
      <c r="N134" s="20">
        <v>2215.3000000000002</v>
      </c>
      <c r="O134" s="20">
        <v>1622.13</v>
      </c>
      <c r="P134" s="21">
        <v>45736</v>
      </c>
      <c r="Q134" s="22"/>
      <c r="R134" s="23">
        <v>1622.13</v>
      </c>
      <c r="S134" s="24"/>
      <c r="T134" s="23"/>
      <c r="U134" s="24"/>
      <c r="V134" s="23"/>
      <c r="W134" s="23">
        <v>0.87</v>
      </c>
      <c r="X134" s="24">
        <v>33.14</v>
      </c>
      <c r="Y134" s="23"/>
      <c r="Z134" s="23"/>
      <c r="AA134" s="23">
        <v>32.17</v>
      </c>
      <c r="AB134" s="23">
        <v>264.45</v>
      </c>
      <c r="AC134" s="24">
        <v>1573.1257142857144</v>
      </c>
      <c r="AD134" s="23">
        <v>458.96999999999991</v>
      </c>
      <c r="AE134" s="24">
        <v>2529.34</v>
      </c>
      <c r="AF134" s="23"/>
      <c r="AG134" s="23"/>
      <c r="AH134" s="23">
        <v>145.71</v>
      </c>
      <c r="AI134" s="24">
        <v>0</v>
      </c>
      <c r="AJ134" s="25">
        <v>878.11</v>
      </c>
      <c r="AK134" s="23">
        <v>193.22</v>
      </c>
      <c r="AL134" s="23"/>
      <c r="AM134" s="24"/>
      <c r="AN134" s="23"/>
      <c r="AO134" s="24"/>
      <c r="AP134" s="23">
        <v>437.47</v>
      </c>
      <c r="AQ134" s="24">
        <v>1844.4114285714286</v>
      </c>
      <c r="AR134" s="23">
        <v>258.27</v>
      </c>
      <c r="AS134" s="23">
        <v>-695.2</v>
      </c>
      <c r="AT134" s="23"/>
      <c r="AU134" s="24"/>
      <c r="AW134" s="27">
        <f t="shared" si="31"/>
        <v>878.11013400000002</v>
      </c>
      <c r="AX134" s="27">
        <f t="shared" si="32"/>
        <v>458.97013399999992</v>
      </c>
      <c r="AY134" s="27">
        <f t="shared" si="33"/>
        <v>264.45013399999999</v>
      </c>
      <c r="AZ134" s="27">
        <f t="shared" si="34"/>
        <v>437.47013400000003</v>
      </c>
    </row>
    <row r="135" spans="1:52" ht="15" customHeight="1" x14ac:dyDescent="0.25">
      <c r="A135" s="13" t="str">
        <f>VLOOKUP(L135,[1]VALIDAÇÃO!$D$13:$E$350,2,0)</f>
        <v>DIRETO</v>
      </c>
      <c r="B135" s="14" t="str">
        <f t="shared" si="24"/>
        <v>15RESERVA DO PAIVA SPE 03 LTDA</v>
      </c>
      <c r="C135" s="15">
        <f t="shared" si="35"/>
        <v>15</v>
      </c>
      <c r="D135" s="16" t="str">
        <f t="shared" si="25"/>
        <v>125RESERVA DO PAIVA SPE 03 LTDA</v>
      </c>
      <c r="E135" s="17">
        <f t="shared" si="28"/>
        <v>125</v>
      </c>
      <c r="F135" s="18" t="str">
        <f t="shared" si="26"/>
        <v>80RESERVA DO PAIVA SPE 03 LTDA</v>
      </c>
      <c r="G135" s="18">
        <f t="shared" si="29"/>
        <v>80</v>
      </c>
      <c r="H135" s="19" t="str">
        <f t="shared" si="27"/>
        <v>64RESERVA DO PAIVA SPE 03 LTDA</v>
      </c>
      <c r="I135" s="19">
        <f t="shared" si="30"/>
        <v>64</v>
      </c>
      <c r="J135" s="13" t="s">
        <v>52</v>
      </c>
      <c r="K135" s="13" t="s">
        <v>226</v>
      </c>
      <c r="L135" s="13" t="s">
        <v>66</v>
      </c>
      <c r="M135" s="13" t="s">
        <v>55</v>
      </c>
      <c r="N135" s="20">
        <v>1495.46</v>
      </c>
      <c r="O135" s="20">
        <v>2156</v>
      </c>
      <c r="P135" s="21">
        <v>45567</v>
      </c>
      <c r="Q135" s="22"/>
      <c r="R135" s="23">
        <v>2156</v>
      </c>
      <c r="S135" s="24"/>
      <c r="T135" s="23"/>
      <c r="U135" s="24"/>
      <c r="V135" s="23"/>
      <c r="W135" s="23"/>
      <c r="X135" s="24"/>
      <c r="Y135" s="23"/>
      <c r="Z135" s="23"/>
      <c r="AA135" s="23">
        <v>2.5</v>
      </c>
      <c r="AB135" s="23">
        <v>88.19</v>
      </c>
      <c r="AC135" s="24">
        <v>389.29428571428571</v>
      </c>
      <c r="AD135" s="23">
        <v>50.09</v>
      </c>
      <c r="AE135" s="24">
        <v>177.79428571428571</v>
      </c>
      <c r="AF135" s="23"/>
      <c r="AG135" s="23"/>
      <c r="AH135" s="23">
        <v>12.24</v>
      </c>
      <c r="AI135" s="24">
        <v>0</v>
      </c>
      <c r="AJ135" s="25">
        <v>904.65</v>
      </c>
      <c r="AK135" s="23">
        <v>196.55</v>
      </c>
      <c r="AL135" s="23"/>
      <c r="AM135" s="24"/>
      <c r="AN135" s="23"/>
      <c r="AO135" s="24"/>
      <c r="AP135" s="23">
        <v>35.61</v>
      </c>
      <c r="AQ135" s="24">
        <v>129.83142857142855</v>
      </c>
      <c r="AR135" s="23">
        <v>34.68</v>
      </c>
      <c r="AS135" s="23">
        <v>-924</v>
      </c>
      <c r="AT135" s="23"/>
      <c r="AU135" s="24"/>
      <c r="AW135" s="27">
        <f t="shared" si="31"/>
        <v>904.65013499999998</v>
      </c>
      <c r="AX135" s="27">
        <f t="shared" si="32"/>
        <v>50.090135000000004</v>
      </c>
      <c r="AY135" s="27">
        <f t="shared" si="33"/>
        <v>88.190134999999998</v>
      </c>
      <c r="AZ135" s="27">
        <f t="shared" si="34"/>
        <v>35.610135</v>
      </c>
    </row>
    <row r="136" spans="1:52" ht="15" customHeight="1" x14ac:dyDescent="0.25">
      <c r="A136" s="13" t="str">
        <f>VLOOKUP(L136,[1]VALIDAÇÃO!$D$13:$E$350,2,0)</f>
        <v>DIRETO</v>
      </c>
      <c r="B136" s="14" t="str">
        <f t="shared" si="24"/>
        <v>85RIO AVE CARNEIROS 01 SPE LTDA.</v>
      </c>
      <c r="C136" s="15">
        <f t="shared" si="35"/>
        <v>85</v>
      </c>
      <c r="D136" s="16" t="str">
        <f t="shared" si="25"/>
        <v>112RIO AVE CARNEIROS 01 SPE LTDA.</v>
      </c>
      <c r="E136" s="17">
        <f t="shared" si="28"/>
        <v>112</v>
      </c>
      <c r="F136" s="18" t="str">
        <f t="shared" si="26"/>
        <v>98RIO AVE CARNEIROS 01 SPE LTDA.</v>
      </c>
      <c r="G136" s="18">
        <f t="shared" si="29"/>
        <v>98</v>
      </c>
      <c r="H136" s="19" t="str">
        <f t="shared" si="27"/>
        <v>23RIO AVE CARNEIROS 01 SPE LTDA.</v>
      </c>
      <c r="I136" s="19">
        <f t="shared" si="30"/>
        <v>23</v>
      </c>
      <c r="J136" s="13" t="s">
        <v>61</v>
      </c>
      <c r="K136" s="13" t="s">
        <v>227</v>
      </c>
      <c r="L136" s="13" t="s">
        <v>63</v>
      </c>
      <c r="M136" s="13" t="s">
        <v>55</v>
      </c>
      <c r="N136" s="20">
        <v>1243.79</v>
      </c>
      <c r="O136" s="20">
        <v>2156</v>
      </c>
      <c r="P136" s="21">
        <v>45964</v>
      </c>
      <c r="Q136" s="22"/>
      <c r="R136" s="23">
        <v>2156</v>
      </c>
      <c r="S136" s="24"/>
      <c r="T136" s="23"/>
      <c r="U136" s="24"/>
      <c r="V136" s="23"/>
      <c r="W136" s="23"/>
      <c r="X136" s="24"/>
      <c r="Y136" s="23"/>
      <c r="Z136" s="23"/>
      <c r="AA136" s="23">
        <v>1.1100000000000001</v>
      </c>
      <c r="AB136" s="23">
        <v>38.160000000000004</v>
      </c>
      <c r="AC136" s="24">
        <v>769.6</v>
      </c>
      <c r="AD136" s="23">
        <v>10.84</v>
      </c>
      <c r="AE136" s="24">
        <v>108.4</v>
      </c>
      <c r="AF136" s="23"/>
      <c r="AG136" s="23"/>
      <c r="AH136" s="23">
        <v>4.1400000000000006</v>
      </c>
      <c r="AI136" s="24">
        <v>0</v>
      </c>
      <c r="AJ136" s="25">
        <v>286.73</v>
      </c>
      <c r="AK136" s="23">
        <v>66.31</v>
      </c>
      <c r="AL136" s="23"/>
      <c r="AM136" s="24"/>
      <c r="AN136" s="23"/>
      <c r="AO136" s="24"/>
      <c r="AP136" s="23">
        <v>45.55</v>
      </c>
      <c r="AQ136" s="24">
        <v>780.80000000000007</v>
      </c>
      <c r="AR136" s="23">
        <v>25.42</v>
      </c>
      <c r="AS136" s="23">
        <v>-924</v>
      </c>
      <c r="AT136" s="23"/>
      <c r="AU136" s="24"/>
      <c r="AW136" s="27">
        <f t="shared" si="31"/>
        <v>286.73013600000002</v>
      </c>
      <c r="AX136" s="27">
        <f t="shared" si="32"/>
        <v>10.840135999999999</v>
      </c>
      <c r="AY136" s="27">
        <f t="shared" si="33"/>
        <v>38.160136000000001</v>
      </c>
      <c r="AZ136" s="27">
        <f t="shared" si="34"/>
        <v>45.550135999999995</v>
      </c>
    </row>
    <row r="137" spans="1:52" ht="15" customHeight="1" x14ac:dyDescent="0.25">
      <c r="A137" s="13" t="str">
        <f>VLOOKUP(L137,[1]VALIDAÇÃO!$D$13:$E$350,2,0)</f>
        <v>INDIRETO</v>
      </c>
      <c r="B137" s="14" t="str">
        <f t="shared" si="24"/>
        <v>64RIO AVE 130 SPE LTDA</v>
      </c>
      <c r="C137" s="15">
        <f t="shared" si="35"/>
        <v>64</v>
      </c>
      <c r="D137" s="16" t="str">
        <f t="shared" si="25"/>
        <v>28RIO AVE 130 SPE LTDA</v>
      </c>
      <c r="E137" s="17">
        <f t="shared" si="28"/>
        <v>28</v>
      </c>
      <c r="F137" s="18" t="str">
        <f t="shared" si="26"/>
        <v>48RIO AVE 130 SPE LTDA</v>
      </c>
      <c r="G137" s="18">
        <f t="shared" si="29"/>
        <v>48</v>
      </c>
      <c r="H137" s="19" t="str">
        <f t="shared" si="27"/>
        <v>62RIO AVE 130 SPE LTDA</v>
      </c>
      <c r="I137" s="19">
        <f t="shared" si="30"/>
        <v>62</v>
      </c>
      <c r="J137" s="13" t="s">
        <v>102</v>
      </c>
      <c r="K137" s="13" t="s">
        <v>228</v>
      </c>
      <c r="L137" s="13" t="s">
        <v>229</v>
      </c>
      <c r="M137" s="13" t="s">
        <v>85</v>
      </c>
      <c r="N137" s="20">
        <v>1764.79</v>
      </c>
      <c r="O137" s="20">
        <v>3460.15</v>
      </c>
      <c r="P137" s="21">
        <v>45055</v>
      </c>
      <c r="Q137" s="22"/>
      <c r="R137" s="23">
        <v>3460.15</v>
      </c>
      <c r="S137" s="24"/>
      <c r="T137" s="23"/>
      <c r="U137" s="24"/>
      <c r="V137" s="23"/>
      <c r="W137" s="23"/>
      <c r="X137" s="24"/>
      <c r="Y137" s="23"/>
      <c r="Z137" s="23"/>
      <c r="AA137" s="23"/>
      <c r="AB137" s="23">
        <v>24.47</v>
      </c>
      <c r="AC137" s="24">
        <v>66.42</v>
      </c>
      <c r="AD137" s="23">
        <v>213.74</v>
      </c>
      <c r="AE137" s="24">
        <v>584.51</v>
      </c>
      <c r="AF137" s="23"/>
      <c r="AG137" s="23"/>
      <c r="AH137" s="23"/>
      <c r="AI137" s="24"/>
      <c r="AJ137" s="25"/>
      <c r="AK137" s="23"/>
      <c r="AL137" s="23"/>
      <c r="AM137" s="24"/>
      <c r="AN137" s="23"/>
      <c r="AO137" s="24"/>
      <c r="AP137" s="23"/>
      <c r="AQ137" s="24"/>
      <c r="AR137" s="23">
        <v>46.13</v>
      </c>
      <c r="AS137" s="23">
        <v>-1384.06</v>
      </c>
      <c r="AT137" s="23"/>
      <c r="AU137" s="24"/>
      <c r="AW137" s="27">
        <f t="shared" si="31"/>
        <v>1.37E-4</v>
      </c>
      <c r="AX137" s="27">
        <f t="shared" si="32"/>
        <v>213.740137</v>
      </c>
      <c r="AY137" s="27">
        <f t="shared" si="33"/>
        <v>24.470136999999998</v>
      </c>
      <c r="AZ137" s="27">
        <f t="shared" si="34"/>
        <v>1.37E-4</v>
      </c>
    </row>
    <row r="138" spans="1:52" ht="15" customHeight="1" x14ac:dyDescent="0.25">
      <c r="A138" s="13" t="str">
        <f>VLOOKUP(L138,[1]VALIDAÇÃO!$D$13:$E$350,2,0)</f>
        <v>DIRETO</v>
      </c>
      <c r="B138" s="14" t="str">
        <f t="shared" si="24"/>
        <v>14RIO AVE 200 SPE LTDA.</v>
      </c>
      <c r="C138" s="15">
        <f t="shared" si="35"/>
        <v>14</v>
      </c>
      <c r="D138" s="16" t="str">
        <f t="shared" si="25"/>
        <v>53RIO AVE 200 SPE LTDA.</v>
      </c>
      <c r="E138" s="17">
        <f t="shared" si="28"/>
        <v>53</v>
      </c>
      <c r="F138" s="18" t="str">
        <f t="shared" si="26"/>
        <v>76RIO AVE 200 SPE LTDA.</v>
      </c>
      <c r="G138" s="18">
        <f t="shared" si="29"/>
        <v>76</v>
      </c>
      <c r="H138" s="19" t="str">
        <f t="shared" si="27"/>
        <v>71RIO AVE 200 SPE LTDA.</v>
      </c>
      <c r="I138" s="19">
        <f t="shared" si="30"/>
        <v>71</v>
      </c>
      <c r="J138" s="13" t="s">
        <v>48</v>
      </c>
      <c r="K138" s="13" t="s">
        <v>230</v>
      </c>
      <c r="L138" s="13" t="s">
        <v>63</v>
      </c>
      <c r="M138" s="13" t="s">
        <v>55</v>
      </c>
      <c r="N138" s="20">
        <v>1869.22</v>
      </c>
      <c r="O138" s="20">
        <v>2156</v>
      </c>
      <c r="P138" s="21">
        <v>45964</v>
      </c>
      <c r="Q138" s="22"/>
      <c r="R138" s="23">
        <v>2156</v>
      </c>
      <c r="S138" s="24"/>
      <c r="T138" s="23"/>
      <c r="U138" s="24"/>
      <c r="V138" s="23"/>
      <c r="W138" s="23"/>
      <c r="X138" s="24"/>
      <c r="Y138" s="23"/>
      <c r="Z138" s="23"/>
      <c r="AA138" s="23">
        <v>1.59</v>
      </c>
      <c r="AB138" s="23"/>
      <c r="AC138" s="24"/>
      <c r="AD138" s="23">
        <v>50.379999999999995</v>
      </c>
      <c r="AE138" s="24">
        <v>236</v>
      </c>
      <c r="AF138" s="23"/>
      <c r="AG138" s="23"/>
      <c r="AH138" s="23">
        <v>7.21</v>
      </c>
      <c r="AI138" s="24">
        <v>0</v>
      </c>
      <c r="AJ138" s="25">
        <v>974.93000000000006</v>
      </c>
      <c r="AK138" s="23">
        <v>220.34</v>
      </c>
      <c r="AL138" s="23"/>
      <c r="AM138" s="24"/>
      <c r="AN138" s="23"/>
      <c r="AO138" s="24"/>
      <c r="AP138" s="23"/>
      <c r="AQ138" s="24"/>
      <c r="AR138" s="23">
        <v>11.18</v>
      </c>
      <c r="AS138" s="23">
        <v>-924</v>
      </c>
      <c r="AT138" s="23"/>
      <c r="AU138" s="24"/>
      <c r="AW138" s="27">
        <f t="shared" si="31"/>
        <v>974.93013800000006</v>
      </c>
      <c r="AX138" s="27">
        <f t="shared" si="32"/>
        <v>50.380137999999995</v>
      </c>
      <c r="AY138" s="27">
        <f t="shared" si="33"/>
        <v>1.3799999999999999E-4</v>
      </c>
      <c r="AZ138" s="27">
        <f t="shared" si="34"/>
        <v>1.3799999999999999E-4</v>
      </c>
    </row>
    <row r="139" spans="1:52" ht="15" customHeight="1" x14ac:dyDescent="0.25">
      <c r="A139" s="13" t="str">
        <f>VLOOKUP(L139,[1]VALIDAÇÃO!$D$13:$E$350,2,0)</f>
        <v>DIRETO</v>
      </c>
      <c r="B139" s="14" t="str">
        <f t="shared" si="24"/>
        <v>46RESERVA DO PAIVA SPE 03 LTDA</v>
      </c>
      <c r="C139" s="15">
        <f t="shared" si="35"/>
        <v>46</v>
      </c>
      <c r="D139" s="16" t="str">
        <f t="shared" si="25"/>
        <v>24RESERVA DO PAIVA SPE 03 LTDA</v>
      </c>
      <c r="E139" s="17">
        <f t="shared" si="28"/>
        <v>24</v>
      </c>
      <c r="F139" s="18" t="str">
        <f t="shared" si="26"/>
        <v>81RESERVA DO PAIVA SPE 03 LTDA</v>
      </c>
      <c r="G139" s="18">
        <f t="shared" si="29"/>
        <v>81</v>
      </c>
      <c r="H139" s="19" t="str">
        <f t="shared" si="27"/>
        <v>28RESERVA DO PAIVA SPE 03 LTDA</v>
      </c>
      <c r="I139" s="19">
        <f t="shared" si="30"/>
        <v>28</v>
      </c>
      <c r="J139" s="13" t="s">
        <v>52</v>
      </c>
      <c r="K139" s="13" t="s">
        <v>231</v>
      </c>
      <c r="L139" s="13" t="s">
        <v>71</v>
      </c>
      <c r="M139" s="13" t="s">
        <v>55</v>
      </c>
      <c r="N139" s="20">
        <v>1515.17</v>
      </c>
      <c r="O139" s="20">
        <v>1622.13</v>
      </c>
      <c r="P139" s="21">
        <v>45810</v>
      </c>
      <c r="Q139" s="22"/>
      <c r="R139" s="23">
        <v>1622.13</v>
      </c>
      <c r="S139" s="24"/>
      <c r="T139" s="23"/>
      <c r="U139" s="24"/>
      <c r="V139" s="23"/>
      <c r="W139" s="23">
        <v>0.62</v>
      </c>
      <c r="X139" s="24">
        <v>34.39</v>
      </c>
      <c r="Y139" s="23"/>
      <c r="Z139" s="23"/>
      <c r="AA139" s="23">
        <v>8.4600000000000009</v>
      </c>
      <c r="AB139" s="23">
        <v>87.86999999999999</v>
      </c>
      <c r="AC139" s="24">
        <v>820.64285714285722</v>
      </c>
      <c r="AD139" s="23">
        <v>560.16</v>
      </c>
      <c r="AE139" s="24">
        <v>3719.0842857142861</v>
      </c>
      <c r="AF139" s="23"/>
      <c r="AG139" s="23"/>
      <c r="AH139" s="23">
        <v>36.840000000000003</v>
      </c>
      <c r="AI139" s="24">
        <v>0</v>
      </c>
      <c r="AJ139" s="25">
        <v>319.27</v>
      </c>
      <c r="AK139" s="23">
        <v>71.22</v>
      </c>
      <c r="AL139" s="23">
        <v>-6.87</v>
      </c>
      <c r="AM139" s="24">
        <v>52.17</v>
      </c>
      <c r="AN139" s="23"/>
      <c r="AO139" s="24"/>
      <c r="AP139" s="23">
        <v>211.81</v>
      </c>
      <c r="AQ139" s="24">
        <v>1159.9985714285715</v>
      </c>
      <c r="AR139" s="23">
        <v>192.22</v>
      </c>
      <c r="AS139" s="23">
        <v>-695.2</v>
      </c>
      <c r="AT139" s="23"/>
      <c r="AU139" s="24"/>
      <c r="AW139" s="27">
        <f t="shared" si="31"/>
        <v>319.27013899999997</v>
      </c>
      <c r="AX139" s="27">
        <f t="shared" si="32"/>
        <v>560.16013899999996</v>
      </c>
      <c r="AY139" s="27">
        <f t="shared" si="33"/>
        <v>87.870138999999995</v>
      </c>
      <c r="AZ139" s="27">
        <f t="shared" si="34"/>
        <v>211.81013899999999</v>
      </c>
    </row>
    <row r="140" spans="1:52" ht="15" customHeight="1" x14ac:dyDescent="0.25">
      <c r="A140" s="13" t="str">
        <f>VLOOKUP(L140,[1]VALIDAÇÃO!$D$13:$E$350,2,0)</f>
        <v>DIRETO</v>
      </c>
      <c r="B140" s="14" t="str">
        <f t="shared" si="24"/>
        <v>113RIO AVE CARNEIROS 01 SPE LTDA.</v>
      </c>
      <c r="C140" s="15">
        <f t="shared" si="35"/>
        <v>113</v>
      </c>
      <c r="D140" s="16" t="str">
        <f t="shared" si="25"/>
        <v>65RIO AVE CARNEIROS 01 SPE LTDA.</v>
      </c>
      <c r="E140" s="17">
        <f t="shared" si="28"/>
        <v>65</v>
      </c>
      <c r="F140" s="18" t="str">
        <f t="shared" si="26"/>
        <v>105RIO AVE CARNEIROS 01 SPE LTDA.</v>
      </c>
      <c r="G140" s="18">
        <f t="shared" si="29"/>
        <v>105</v>
      </c>
      <c r="H140" s="19" t="str">
        <f t="shared" si="27"/>
        <v>62RIO AVE CARNEIROS 01 SPE LTDA.</v>
      </c>
      <c r="I140" s="19">
        <f t="shared" si="30"/>
        <v>62</v>
      </c>
      <c r="J140" s="13" t="s">
        <v>61</v>
      </c>
      <c r="K140" s="13" t="s">
        <v>232</v>
      </c>
      <c r="L140" s="13" t="s">
        <v>54</v>
      </c>
      <c r="M140" s="13" t="s">
        <v>55</v>
      </c>
      <c r="N140" s="20">
        <v>887.06</v>
      </c>
      <c r="O140" s="20">
        <v>1622.13</v>
      </c>
      <c r="P140" s="21">
        <v>45915</v>
      </c>
      <c r="Q140" s="22"/>
      <c r="R140" s="23">
        <v>1622.13</v>
      </c>
      <c r="S140" s="24"/>
      <c r="T140" s="23"/>
      <c r="U140" s="24"/>
      <c r="V140" s="23"/>
      <c r="W140" s="23"/>
      <c r="X140" s="24"/>
      <c r="Y140" s="23"/>
      <c r="Z140" s="23"/>
      <c r="AA140" s="23">
        <v>0.84000000000000008</v>
      </c>
      <c r="AB140" s="23">
        <v>31.36</v>
      </c>
      <c r="AC140" s="24">
        <v>461.9</v>
      </c>
      <c r="AD140" s="23">
        <v>78.949999999999989</v>
      </c>
      <c r="AE140" s="24">
        <v>1162.8571428571429</v>
      </c>
      <c r="AF140" s="23"/>
      <c r="AG140" s="23"/>
      <c r="AH140" s="23">
        <v>3.16</v>
      </c>
      <c r="AI140" s="24">
        <v>0</v>
      </c>
      <c r="AJ140" s="25">
        <v>142.6</v>
      </c>
      <c r="AK140" s="23">
        <v>32.119999999999997</v>
      </c>
      <c r="AL140" s="23"/>
      <c r="AM140" s="24"/>
      <c r="AN140" s="23"/>
      <c r="AO140" s="24"/>
      <c r="AP140" s="23">
        <v>18.829999999999998</v>
      </c>
      <c r="AQ140" s="24">
        <v>235.71428571428572</v>
      </c>
      <c r="AR140" s="23">
        <v>33.950000000000003</v>
      </c>
      <c r="AS140" s="23">
        <v>-741.2</v>
      </c>
      <c r="AT140" s="23"/>
      <c r="AU140" s="24"/>
      <c r="AW140" s="27">
        <f t="shared" si="31"/>
        <v>142.60013999999998</v>
      </c>
      <c r="AX140" s="27">
        <f t="shared" si="32"/>
        <v>78.95013999999999</v>
      </c>
      <c r="AY140" s="27">
        <f t="shared" si="33"/>
        <v>31.360139999999998</v>
      </c>
      <c r="AZ140" s="27">
        <f t="shared" si="34"/>
        <v>18.830139999999997</v>
      </c>
    </row>
    <row r="141" spans="1:52" ht="15" customHeight="1" x14ac:dyDescent="0.25">
      <c r="A141" s="13" t="str">
        <f>VLOOKUP(L141,[1]VALIDAÇÃO!$D$13:$E$350,2,0)</f>
        <v>INDIRETO</v>
      </c>
      <c r="B141" s="14" t="str">
        <f t="shared" si="24"/>
        <v>161RESERVA DO PAIVA SPE 03 LTDA</v>
      </c>
      <c r="C141" s="15">
        <f t="shared" si="35"/>
        <v>161</v>
      </c>
      <c r="D141" s="16" t="str">
        <f t="shared" si="25"/>
        <v>163RESERVA DO PAIVA SPE 03 LTDA</v>
      </c>
      <c r="E141" s="17">
        <f t="shared" si="28"/>
        <v>163</v>
      </c>
      <c r="F141" s="18" t="str">
        <f t="shared" si="26"/>
        <v>160RESERVA DO PAIVA SPE 03 LTDA</v>
      </c>
      <c r="G141" s="18">
        <f t="shared" si="29"/>
        <v>160</v>
      </c>
      <c r="H141" s="19" t="str">
        <f t="shared" si="27"/>
        <v>150RESERVA DO PAIVA SPE 03 LTDA</v>
      </c>
      <c r="I141" s="19">
        <f t="shared" si="30"/>
        <v>150</v>
      </c>
      <c r="J141" s="13" t="s">
        <v>52</v>
      </c>
      <c r="K141" s="13" t="s">
        <v>233</v>
      </c>
      <c r="L141" s="13" t="s">
        <v>116</v>
      </c>
      <c r="M141" s="13" t="s">
        <v>85</v>
      </c>
      <c r="N141" s="20">
        <v>290.42</v>
      </c>
      <c r="O141" s="20">
        <v>665.46</v>
      </c>
      <c r="P141" s="21">
        <v>45679</v>
      </c>
      <c r="Q141" s="22"/>
      <c r="R141" s="23">
        <v>665.46</v>
      </c>
      <c r="S141" s="24"/>
      <c r="T141" s="23"/>
      <c r="U141" s="24"/>
      <c r="V141" s="23"/>
      <c r="W141" s="23"/>
      <c r="X141" s="24"/>
      <c r="Y141" s="23"/>
      <c r="Z141" s="23"/>
      <c r="AA141" s="23"/>
      <c r="AB141" s="23"/>
      <c r="AC141" s="24"/>
      <c r="AD141" s="23"/>
      <c r="AE141" s="24"/>
      <c r="AF141" s="23"/>
      <c r="AG141" s="23"/>
      <c r="AH141" s="23"/>
      <c r="AI141" s="24"/>
      <c r="AJ141" s="25"/>
      <c r="AK141" s="23"/>
      <c r="AL141" s="23"/>
      <c r="AM141" s="24"/>
      <c r="AN141" s="23"/>
      <c r="AO141" s="24"/>
      <c r="AP141" s="23"/>
      <c r="AQ141" s="24"/>
      <c r="AR141" s="23"/>
      <c r="AS141" s="23">
        <v>-285.2</v>
      </c>
      <c r="AT141" s="23"/>
      <c r="AU141" s="24"/>
      <c r="AW141" s="27">
        <f t="shared" si="31"/>
        <v>1.4100000000000001E-4</v>
      </c>
      <c r="AX141" s="27">
        <f t="shared" si="32"/>
        <v>1.4100000000000001E-4</v>
      </c>
      <c r="AY141" s="27">
        <f t="shared" si="33"/>
        <v>1.4100000000000001E-4</v>
      </c>
      <c r="AZ141" s="27">
        <f t="shared" si="34"/>
        <v>1.4100000000000001E-4</v>
      </c>
    </row>
    <row r="142" spans="1:52" ht="15" customHeight="1" x14ac:dyDescent="0.25">
      <c r="A142" s="13" t="str">
        <f>VLOOKUP(L142,[1]VALIDAÇÃO!$D$13:$E$350,2,0)</f>
        <v>DIRETO</v>
      </c>
      <c r="B142" s="14" t="str">
        <f t="shared" si="24"/>
        <v>72RESERVA DO PAIVA SPE 01 LTDA.</v>
      </c>
      <c r="C142" s="15">
        <f t="shared" si="35"/>
        <v>72</v>
      </c>
      <c r="D142" s="16" t="str">
        <f t="shared" si="25"/>
        <v>78RESERVA DO PAIVA SPE 01 LTDA.</v>
      </c>
      <c r="E142" s="17">
        <f t="shared" si="28"/>
        <v>78</v>
      </c>
      <c r="F142" s="18" t="str">
        <f t="shared" si="26"/>
        <v>77RESERVA DO PAIVA SPE 01 LTDA.</v>
      </c>
      <c r="G142" s="18">
        <f t="shared" si="29"/>
        <v>77</v>
      </c>
      <c r="H142" s="19" t="str">
        <f t="shared" si="27"/>
        <v>79RESERVA DO PAIVA SPE 01 LTDA.</v>
      </c>
      <c r="I142" s="19">
        <f t="shared" si="30"/>
        <v>79</v>
      </c>
      <c r="J142" s="13" t="s">
        <v>68</v>
      </c>
      <c r="K142" s="13" t="s">
        <v>234</v>
      </c>
      <c r="L142" s="13" t="s">
        <v>63</v>
      </c>
      <c r="M142" s="13" t="s">
        <v>55</v>
      </c>
      <c r="N142" s="20">
        <v>0</v>
      </c>
      <c r="O142" s="20"/>
      <c r="P142" s="21">
        <v>45603</v>
      </c>
      <c r="Q142" s="22"/>
      <c r="R142" s="23"/>
      <c r="S142" s="24"/>
      <c r="T142" s="23"/>
      <c r="U142" s="24"/>
      <c r="V142" s="23"/>
      <c r="W142" s="23"/>
      <c r="X142" s="24"/>
      <c r="Y142" s="23"/>
      <c r="Z142" s="23"/>
      <c r="AA142" s="23">
        <v>0.01</v>
      </c>
      <c r="AB142" s="23">
        <v>3.27</v>
      </c>
      <c r="AC142" s="24">
        <v>43.92</v>
      </c>
      <c r="AD142" s="23">
        <v>0.81</v>
      </c>
      <c r="AE142" s="24">
        <v>10.92</v>
      </c>
      <c r="AF142" s="23"/>
      <c r="AG142" s="23"/>
      <c r="AH142" s="23">
        <v>0.1</v>
      </c>
      <c r="AI142" s="24">
        <v>0</v>
      </c>
      <c r="AJ142" s="25">
        <v>21.71</v>
      </c>
      <c r="AK142" s="23">
        <v>3.71</v>
      </c>
      <c r="AL142" s="23"/>
      <c r="AM142" s="24"/>
      <c r="AN142" s="23"/>
      <c r="AO142" s="24"/>
      <c r="AP142" s="23"/>
      <c r="AQ142" s="24"/>
      <c r="AR142" s="23">
        <v>0.4</v>
      </c>
      <c r="AS142" s="23"/>
      <c r="AT142" s="23"/>
      <c r="AU142" s="24"/>
      <c r="AW142" s="27">
        <f t="shared" si="31"/>
        <v>21.710142000000001</v>
      </c>
      <c r="AX142" s="27">
        <f t="shared" si="32"/>
        <v>0.81014200000000003</v>
      </c>
      <c r="AY142" s="27">
        <f t="shared" si="33"/>
        <v>3.2701419999999999</v>
      </c>
      <c r="AZ142" s="27">
        <f t="shared" si="34"/>
        <v>1.4200000000000001E-4</v>
      </c>
    </row>
    <row r="143" spans="1:52" ht="15" customHeight="1" x14ac:dyDescent="0.25">
      <c r="A143" s="13" t="str">
        <f>VLOOKUP(L143,[1]VALIDAÇÃO!$D$13:$E$350,2,0)</f>
        <v>DIRETO</v>
      </c>
      <c r="B143" s="14" t="str">
        <f t="shared" si="24"/>
        <v>43CONDOMINIO DO EDIFICIO EMPRESARIAL MARIE CURIE</v>
      </c>
      <c r="C143" s="15">
        <f t="shared" si="35"/>
        <v>43</v>
      </c>
      <c r="D143" s="16" t="str">
        <f t="shared" si="25"/>
        <v>107CONDOMINIO DO EDIFICIO EMPRESARIAL MARIE CURIE</v>
      </c>
      <c r="E143" s="17">
        <f t="shared" si="28"/>
        <v>107</v>
      </c>
      <c r="F143" s="18" t="str">
        <f t="shared" si="26"/>
        <v>121CONDOMINIO DO EDIFICIO EMPRESARIAL MARIE CURIE</v>
      </c>
      <c r="G143" s="18">
        <f t="shared" si="29"/>
        <v>121</v>
      </c>
      <c r="H143" s="19" t="str">
        <f t="shared" si="27"/>
        <v>112CONDOMINIO DO EDIFICIO EMPRESARIAL MARIE CURIE</v>
      </c>
      <c r="I143" s="19">
        <f t="shared" si="30"/>
        <v>112</v>
      </c>
      <c r="J143" s="13" t="s">
        <v>57</v>
      </c>
      <c r="K143" s="13" t="s">
        <v>235</v>
      </c>
      <c r="L143" s="13" t="s">
        <v>63</v>
      </c>
      <c r="M143" s="13" t="s">
        <v>60</v>
      </c>
      <c r="N143" s="20">
        <v>1227.08</v>
      </c>
      <c r="O143" s="20">
        <v>2156</v>
      </c>
      <c r="P143" s="21">
        <v>45762</v>
      </c>
      <c r="Q143" s="22"/>
      <c r="R143" s="23">
        <v>2156</v>
      </c>
      <c r="S143" s="24"/>
      <c r="T143" s="23"/>
      <c r="U143" s="24"/>
      <c r="V143" s="23"/>
      <c r="W143" s="23"/>
      <c r="X143" s="24"/>
      <c r="Y143" s="23"/>
      <c r="Z143" s="23"/>
      <c r="AA143" s="23">
        <v>0.16</v>
      </c>
      <c r="AB143" s="23"/>
      <c r="AC143" s="24"/>
      <c r="AD143" s="23">
        <v>13.05</v>
      </c>
      <c r="AE143" s="24">
        <v>46.361428571428569</v>
      </c>
      <c r="AF143" s="23"/>
      <c r="AG143" s="23"/>
      <c r="AH143" s="23">
        <v>0.72</v>
      </c>
      <c r="AI143" s="24">
        <v>0</v>
      </c>
      <c r="AJ143" s="25">
        <v>592.99</v>
      </c>
      <c r="AK143" s="23">
        <v>126.38999999999999</v>
      </c>
      <c r="AL143" s="23">
        <v>-130.22999999999999</v>
      </c>
      <c r="AM143" s="24">
        <v>744.19</v>
      </c>
      <c r="AN143" s="23"/>
      <c r="AO143" s="24"/>
      <c r="AP143" s="23"/>
      <c r="AQ143" s="24"/>
      <c r="AR143" s="23">
        <v>2.87</v>
      </c>
      <c r="AS143" s="23">
        <v>-924</v>
      </c>
      <c r="AT143" s="23"/>
      <c r="AU143" s="24"/>
      <c r="AW143" s="27">
        <f t="shared" si="31"/>
        <v>592.99014299999999</v>
      </c>
      <c r="AX143" s="27">
        <f t="shared" si="32"/>
        <v>13.050143</v>
      </c>
      <c r="AY143" s="27">
        <f t="shared" si="33"/>
        <v>1.4300000000000001E-4</v>
      </c>
      <c r="AZ143" s="27">
        <f t="shared" si="34"/>
        <v>1.4300000000000001E-4</v>
      </c>
    </row>
    <row r="144" spans="1:52" ht="15" customHeight="1" x14ac:dyDescent="0.25">
      <c r="A144" s="13" t="str">
        <f>VLOOKUP(L144,[1]VALIDAÇÃO!$D$13:$E$350,2,0)</f>
        <v>DIRETO</v>
      </c>
      <c r="B144" s="14" t="str">
        <f t="shared" si="24"/>
        <v>45RESERVA DO PAIVA SPE 03 LTDA</v>
      </c>
      <c r="C144" s="15">
        <f t="shared" si="35"/>
        <v>45</v>
      </c>
      <c r="D144" s="16" t="str">
        <f t="shared" si="25"/>
        <v>116RESERVA DO PAIVA SPE 03 LTDA</v>
      </c>
      <c r="E144" s="17">
        <f t="shared" si="28"/>
        <v>116</v>
      </c>
      <c r="F144" s="18" t="str">
        <f t="shared" si="26"/>
        <v>72RESERVA DO PAIVA SPE 03 LTDA</v>
      </c>
      <c r="G144" s="18">
        <f t="shared" si="29"/>
        <v>72</v>
      </c>
      <c r="H144" s="19" t="str">
        <f t="shared" si="27"/>
        <v>21RESERVA DO PAIVA SPE 03 LTDA</v>
      </c>
      <c r="I144" s="19">
        <f t="shared" si="30"/>
        <v>21</v>
      </c>
      <c r="J144" s="13" t="s">
        <v>52</v>
      </c>
      <c r="K144" s="13" t="s">
        <v>236</v>
      </c>
      <c r="L144" s="13" t="s">
        <v>54</v>
      </c>
      <c r="M144" s="13" t="s">
        <v>55</v>
      </c>
      <c r="N144" s="20">
        <v>1510.26</v>
      </c>
      <c r="O144" s="20">
        <v>1622.13</v>
      </c>
      <c r="P144" s="21">
        <v>45980</v>
      </c>
      <c r="Q144" s="22"/>
      <c r="R144" s="23">
        <v>1622.13</v>
      </c>
      <c r="S144" s="24"/>
      <c r="T144" s="23"/>
      <c r="U144" s="24"/>
      <c r="V144" s="23"/>
      <c r="W144" s="23"/>
      <c r="X144" s="24"/>
      <c r="Y144" s="23"/>
      <c r="Z144" s="23"/>
      <c r="AA144" s="23">
        <v>6.83</v>
      </c>
      <c r="AB144" s="23">
        <v>108.56</v>
      </c>
      <c r="AC144" s="24">
        <v>485</v>
      </c>
      <c r="AD144" s="23">
        <v>78.34</v>
      </c>
      <c r="AE144" s="24">
        <v>350</v>
      </c>
      <c r="AF144" s="23"/>
      <c r="AG144" s="23"/>
      <c r="AH144" s="23">
        <v>31.42</v>
      </c>
      <c r="AI144" s="24">
        <v>0</v>
      </c>
      <c r="AJ144" s="25">
        <v>328.57</v>
      </c>
      <c r="AK144" s="23">
        <v>71.430000000000007</v>
      </c>
      <c r="AL144" s="23"/>
      <c r="AM144" s="24"/>
      <c r="AN144" s="23">
        <v>-57.93</v>
      </c>
      <c r="AO144" s="24">
        <v>1</v>
      </c>
      <c r="AP144" s="23">
        <v>254.91</v>
      </c>
      <c r="AQ144" s="24">
        <v>968</v>
      </c>
      <c r="AR144" s="23">
        <v>96.05</v>
      </c>
      <c r="AS144" s="23">
        <v>-695.2</v>
      </c>
      <c r="AT144" s="23">
        <v>-57.93</v>
      </c>
      <c r="AU144" s="24">
        <v>1</v>
      </c>
      <c r="AW144" s="27">
        <f t="shared" si="31"/>
        <v>328.57014399999997</v>
      </c>
      <c r="AX144" s="27">
        <f t="shared" si="32"/>
        <v>78.340144000000009</v>
      </c>
      <c r="AY144" s="27">
        <f t="shared" si="33"/>
        <v>108.56014400000001</v>
      </c>
      <c r="AZ144" s="27">
        <f t="shared" si="34"/>
        <v>254.910144</v>
      </c>
    </row>
    <row r="145" spans="1:52" ht="15" customHeight="1" x14ac:dyDescent="0.25">
      <c r="A145" s="13" t="str">
        <f>VLOOKUP(L145,[1]VALIDAÇÃO!$D$13:$E$350,2,0)</f>
        <v>DIRETO</v>
      </c>
      <c r="B145" s="14" t="str">
        <f t="shared" si="24"/>
        <v>16RESERVA DO PAIVA SPE 01 LTDA.</v>
      </c>
      <c r="C145" s="15">
        <f t="shared" si="35"/>
        <v>16</v>
      </c>
      <c r="D145" s="16" t="str">
        <f t="shared" si="25"/>
        <v>45RESERVA DO PAIVA SPE 01 LTDA.</v>
      </c>
      <c r="E145" s="17">
        <f t="shared" si="28"/>
        <v>45</v>
      </c>
      <c r="F145" s="18" t="str">
        <f t="shared" si="26"/>
        <v>38RESERVA DO PAIVA SPE 01 LTDA.</v>
      </c>
      <c r="G145" s="18">
        <f t="shared" si="29"/>
        <v>38</v>
      </c>
      <c r="H145" s="19" t="str">
        <f t="shared" si="27"/>
        <v>48RESERVA DO PAIVA SPE 01 LTDA.</v>
      </c>
      <c r="I145" s="19">
        <f t="shared" si="30"/>
        <v>48</v>
      </c>
      <c r="J145" s="13" t="s">
        <v>68</v>
      </c>
      <c r="K145" s="13" t="s">
        <v>237</v>
      </c>
      <c r="L145" s="13" t="s">
        <v>54</v>
      </c>
      <c r="M145" s="13" t="s">
        <v>55</v>
      </c>
      <c r="N145" s="20">
        <v>1812.5</v>
      </c>
      <c r="O145" s="20">
        <v>1622.13</v>
      </c>
      <c r="P145" s="21">
        <v>45313</v>
      </c>
      <c r="Q145" s="22"/>
      <c r="R145" s="23">
        <v>1622.13</v>
      </c>
      <c r="S145" s="24"/>
      <c r="T145" s="23"/>
      <c r="U145" s="24"/>
      <c r="V145" s="23"/>
      <c r="W145" s="23"/>
      <c r="X145" s="24"/>
      <c r="Y145" s="23"/>
      <c r="Z145" s="23"/>
      <c r="AA145" s="23">
        <v>18.12</v>
      </c>
      <c r="AB145" s="23">
        <v>282.99</v>
      </c>
      <c r="AC145" s="24">
        <v>1336.2850000000001</v>
      </c>
      <c r="AD145" s="23">
        <v>170.74</v>
      </c>
      <c r="AE145" s="24">
        <v>793.93812500000001</v>
      </c>
      <c r="AF145" s="23"/>
      <c r="AG145" s="23"/>
      <c r="AH145" s="23">
        <v>78.67</v>
      </c>
      <c r="AI145" s="24">
        <v>0</v>
      </c>
      <c r="AJ145" s="25">
        <v>994.83999999999992</v>
      </c>
      <c r="AK145" s="23">
        <v>216.73000000000002</v>
      </c>
      <c r="AL145" s="23"/>
      <c r="AM145" s="24"/>
      <c r="AN145" s="23"/>
      <c r="AO145" s="24"/>
      <c r="AP145" s="23">
        <v>269.19</v>
      </c>
      <c r="AQ145" s="24">
        <v>1022.27</v>
      </c>
      <c r="AR145" s="23">
        <v>166.99</v>
      </c>
      <c r="AS145" s="23">
        <v>-695.2</v>
      </c>
      <c r="AT145" s="23"/>
      <c r="AU145" s="24"/>
      <c r="AW145" s="27">
        <f t="shared" si="31"/>
        <v>994.84014499999989</v>
      </c>
      <c r="AX145" s="27">
        <f t="shared" si="32"/>
        <v>170.74014500000001</v>
      </c>
      <c r="AY145" s="27">
        <f t="shared" si="33"/>
        <v>282.99014499999998</v>
      </c>
      <c r="AZ145" s="27">
        <f t="shared" si="34"/>
        <v>269.19014499999997</v>
      </c>
    </row>
    <row r="146" spans="1:52" ht="15" customHeight="1" x14ac:dyDescent="0.25">
      <c r="A146" s="13" t="str">
        <f>VLOOKUP(L146,[1]VALIDAÇÃO!$D$13:$E$350,2,0)</f>
        <v>INDIRETO</v>
      </c>
      <c r="B146" s="14" t="str">
        <f t="shared" si="24"/>
        <v>76RIO AVE 200 SPE LTDA.</v>
      </c>
      <c r="C146" s="15">
        <f t="shared" si="35"/>
        <v>76</v>
      </c>
      <c r="D146" s="16" t="str">
        <f t="shared" si="25"/>
        <v>6RIO AVE 200 SPE LTDA.</v>
      </c>
      <c r="E146" s="17">
        <f t="shared" si="28"/>
        <v>6</v>
      </c>
      <c r="F146" s="18" t="str">
        <f t="shared" si="26"/>
        <v>9RIO AVE 200 SPE LTDA.</v>
      </c>
      <c r="G146" s="18">
        <f t="shared" si="29"/>
        <v>9</v>
      </c>
      <c r="H146" s="19" t="str">
        <f t="shared" si="27"/>
        <v>70RIO AVE 200 SPE LTDA.</v>
      </c>
      <c r="I146" s="19">
        <f t="shared" si="30"/>
        <v>70</v>
      </c>
      <c r="J146" s="13" t="s">
        <v>48</v>
      </c>
      <c r="K146" s="13" t="s">
        <v>238</v>
      </c>
      <c r="L146" s="13" t="s">
        <v>134</v>
      </c>
      <c r="M146" s="13" t="s">
        <v>51</v>
      </c>
      <c r="N146" s="20">
        <v>1560.52</v>
      </c>
      <c r="O146" s="20">
        <v>3026.02</v>
      </c>
      <c r="P146" s="21">
        <v>45797</v>
      </c>
      <c r="Q146" s="22"/>
      <c r="R146" s="23">
        <v>3026.02</v>
      </c>
      <c r="S146" s="24"/>
      <c r="T146" s="23"/>
      <c r="U146" s="24"/>
      <c r="V146" s="23"/>
      <c r="W146" s="23"/>
      <c r="X146" s="24"/>
      <c r="Y146" s="23"/>
      <c r="Z146" s="23"/>
      <c r="AA146" s="23"/>
      <c r="AB146" s="23">
        <v>164.51</v>
      </c>
      <c r="AC146" s="24">
        <v>823.67142857142858</v>
      </c>
      <c r="AD146" s="23">
        <v>490.05</v>
      </c>
      <c r="AE146" s="24">
        <v>1825.3857142857144</v>
      </c>
      <c r="AF146" s="23"/>
      <c r="AG146" s="23"/>
      <c r="AH146" s="23"/>
      <c r="AI146" s="24"/>
      <c r="AJ146" s="25"/>
      <c r="AK146" s="23"/>
      <c r="AL146" s="23"/>
      <c r="AM146" s="24"/>
      <c r="AN146" s="23"/>
      <c r="AO146" s="24"/>
      <c r="AP146" s="23"/>
      <c r="AQ146" s="24"/>
      <c r="AR146" s="23">
        <v>138.53</v>
      </c>
      <c r="AS146" s="23">
        <v>-1296.8599999999999</v>
      </c>
      <c r="AT146" s="23"/>
      <c r="AU146" s="24"/>
      <c r="AW146" s="27">
        <f t="shared" si="31"/>
        <v>1.46E-4</v>
      </c>
      <c r="AX146" s="27">
        <f t="shared" si="32"/>
        <v>490.05014599999998</v>
      </c>
      <c r="AY146" s="27">
        <f t="shared" si="33"/>
        <v>164.51014599999999</v>
      </c>
      <c r="AZ146" s="27">
        <f t="shared" si="34"/>
        <v>1.46E-4</v>
      </c>
    </row>
    <row r="147" spans="1:52" ht="15" customHeight="1" x14ac:dyDescent="0.25">
      <c r="A147" s="13" t="str">
        <f>VLOOKUP(L147,[1]VALIDAÇÃO!$D$13:$E$350,2,0)</f>
        <v>DIRETO</v>
      </c>
      <c r="B147" s="14" t="str">
        <f t="shared" si="24"/>
        <v>11CONDOMINIO DO EDIFICIO EMPRESARIAL MARIE CURIE</v>
      </c>
      <c r="C147" s="15">
        <f t="shared" si="35"/>
        <v>11</v>
      </c>
      <c r="D147" s="16" t="str">
        <f t="shared" si="25"/>
        <v>75CONDOMINIO DO EDIFICIO EMPRESARIAL MARIE CURIE</v>
      </c>
      <c r="E147" s="17">
        <f t="shared" si="28"/>
        <v>75</v>
      </c>
      <c r="F147" s="18" t="str">
        <f t="shared" si="26"/>
        <v>50CONDOMINIO DO EDIFICIO EMPRESARIAL MARIE CURIE</v>
      </c>
      <c r="G147" s="18">
        <f t="shared" si="29"/>
        <v>50</v>
      </c>
      <c r="H147" s="19" t="str">
        <f t="shared" si="27"/>
        <v>111CONDOMINIO DO EDIFICIO EMPRESARIAL MARIE CURIE</v>
      </c>
      <c r="I147" s="19">
        <f t="shared" si="30"/>
        <v>111</v>
      </c>
      <c r="J147" s="13" t="s">
        <v>57</v>
      </c>
      <c r="K147" s="13" t="s">
        <v>239</v>
      </c>
      <c r="L147" s="13" t="s">
        <v>66</v>
      </c>
      <c r="M147" s="13" t="s">
        <v>60</v>
      </c>
      <c r="N147" s="20">
        <v>1636.76</v>
      </c>
      <c r="O147" s="20">
        <v>2156</v>
      </c>
      <c r="P147" s="21">
        <v>45672</v>
      </c>
      <c r="Q147" s="22"/>
      <c r="R147" s="23">
        <v>2156</v>
      </c>
      <c r="S147" s="24"/>
      <c r="T147" s="23"/>
      <c r="U147" s="24"/>
      <c r="V147" s="23"/>
      <c r="W147" s="23"/>
      <c r="X147" s="24"/>
      <c r="Y147" s="23"/>
      <c r="Z147" s="23"/>
      <c r="AA147" s="23">
        <v>1.95</v>
      </c>
      <c r="AB147" s="23">
        <v>70.289999999999992</v>
      </c>
      <c r="AC147" s="24">
        <v>306.85714285714289</v>
      </c>
      <c r="AD147" s="23">
        <v>76.95</v>
      </c>
      <c r="AE147" s="24">
        <v>322.70428571428573</v>
      </c>
      <c r="AF147" s="23"/>
      <c r="AG147" s="23"/>
      <c r="AH147" s="23">
        <v>9.09</v>
      </c>
      <c r="AI147" s="24">
        <v>0</v>
      </c>
      <c r="AJ147" s="25">
        <v>1273.82</v>
      </c>
      <c r="AK147" s="23">
        <v>273.76</v>
      </c>
      <c r="AL147" s="23">
        <v>-8.08</v>
      </c>
      <c r="AM147" s="24">
        <v>46.19</v>
      </c>
      <c r="AN147" s="23">
        <v>-77</v>
      </c>
      <c r="AO147" s="24">
        <v>1</v>
      </c>
      <c r="AP147" s="23"/>
      <c r="AQ147" s="24"/>
      <c r="AR147" s="23">
        <v>26.07</v>
      </c>
      <c r="AS147" s="23">
        <v>-924</v>
      </c>
      <c r="AT147" s="23">
        <v>-77</v>
      </c>
      <c r="AU147" s="24">
        <v>1</v>
      </c>
      <c r="AW147" s="27">
        <f t="shared" si="31"/>
        <v>1273.8201469999999</v>
      </c>
      <c r="AX147" s="27">
        <f t="shared" si="32"/>
        <v>76.950147000000001</v>
      </c>
      <c r="AY147" s="27">
        <f t="shared" si="33"/>
        <v>70.29014699999999</v>
      </c>
      <c r="AZ147" s="27">
        <f t="shared" si="34"/>
        <v>1.47E-4</v>
      </c>
    </row>
    <row r="148" spans="1:52" ht="15" customHeight="1" x14ac:dyDescent="0.25">
      <c r="A148" s="13" t="str">
        <f>VLOOKUP(L148,[1]VALIDAÇÃO!$D$13:$E$350,2,0)</f>
        <v>DIRETO</v>
      </c>
      <c r="B148" s="14" t="str">
        <f t="shared" ref="B148:B211" si="36">C148&amp;J148</f>
        <v>95RIO AVE CARNEIROS 01 SPE LTDA.</v>
      </c>
      <c r="C148" s="15">
        <f t="shared" si="35"/>
        <v>95</v>
      </c>
      <c r="D148" s="16" t="str">
        <f t="shared" ref="D148:D211" si="37">E148&amp;J148</f>
        <v>89RIO AVE CARNEIROS 01 SPE LTDA.</v>
      </c>
      <c r="E148" s="17">
        <f t="shared" si="28"/>
        <v>89</v>
      </c>
      <c r="F148" s="18" t="str">
        <f t="shared" ref="F148:F211" si="38">G148&amp;J148</f>
        <v>84RIO AVE CARNEIROS 01 SPE LTDA.</v>
      </c>
      <c r="G148" s="18">
        <f t="shared" si="29"/>
        <v>84</v>
      </c>
      <c r="H148" s="19" t="str">
        <f t="shared" ref="H148:H211" si="39">I148&amp;J148</f>
        <v>63RIO AVE CARNEIROS 01 SPE LTDA.</v>
      </c>
      <c r="I148" s="19">
        <f t="shared" si="30"/>
        <v>63</v>
      </c>
      <c r="J148" s="13" t="s">
        <v>61</v>
      </c>
      <c r="K148" s="13" t="s">
        <v>240</v>
      </c>
      <c r="L148" s="13" t="s">
        <v>149</v>
      </c>
      <c r="M148" s="13" t="s">
        <v>55</v>
      </c>
      <c r="N148" s="20">
        <v>979.92</v>
      </c>
      <c r="O148" s="20">
        <v>1622.13</v>
      </c>
      <c r="P148" s="21">
        <v>45915</v>
      </c>
      <c r="Q148" s="22"/>
      <c r="R148" s="23">
        <v>1622.13</v>
      </c>
      <c r="S148" s="24"/>
      <c r="T148" s="23"/>
      <c r="U148" s="24"/>
      <c r="V148" s="23"/>
      <c r="W148" s="23"/>
      <c r="X148" s="24"/>
      <c r="Y148" s="23"/>
      <c r="Z148" s="23"/>
      <c r="AA148" s="23">
        <v>1.04</v>
      </c>
      <c r="AB148" s="23">
        <v>62.430000000000007</v>
      </c>
      <c r="AC148" s="24">
        <v>919.52857142857135</v>
      </c>
      <c r="AD148" s="23">
        <v>31.849999999999998</v>
      </c>
      <c r="AE148" s="24">
        <v>149.95714285714286</v>
      </c>
      <c r="AF148" s="23"/>
      <c r="AG148" s="23"/>
      <c r="AH148" s="23">
        <v>4.55</v>
      </c>
      <c r="AI148" s="24">
        <v>0</v>
      </c>
      <c r="AJ148" s="25">
        <v>252.01999999999998</v>
      </c>
      <c r="AK148" s="23">
        <v>56.11</v>
      </c>
      <c r="AL148" s="23"/>
      <c r="AM148" s="24"/>
      <c r="AN148" s="23"/>
      <c r="AO148" s="24"/>
      <c r="AP148" s="23">
        <v>18.45</v>
      </c>
      <c r="AQ148" s="24">
        <v>230.95714285714286</v>
      </c>
      <c r="AR148" s="23">
        <v>25.979999999999997</v>
      </c>
      <c r="AS148" s="23">
        <v>-695.2</v>
      </c>
      <c r="AT148" s="23"/>
      <c r="AU148" s="24"/>
      <c r="AW148" s="27">
        <f t="shared" si="31"/>
        <v>252.02014799999998</v>
      </c>
      <c r="AX148" s="27">
        <f t="shared" si="32"/>
        <v>31.850147999999997</v>
      </c>
      <c r="AY148" s="27">
        <f t="shared" si="33"/>
        <v>62.43014800000001</v>
      </c>
      <c r="AZ148" s="27">
        <f t="shared" si="34"/>
        <v>18.450147999999999</v>
      </c>
    </row>
    <row r="149" spans="1:52" ht="15" customHeight="1" x14ac:dyDescent="0.25">
      <c r="A149" s="13" t="str">
        <f>VLOOKUP(L149,[1]VALIDAÇÃO!$D$13:$E$350,2,0)</f>
        <v>DIRETO</v>
      </c>
      <c r="B149" s="14" t="str">
        <f t="shared" si="36"/>
        <v>99CONDOMINIO DO EDIFICIO EMPRESARIAL MARIE CURIE</v>
      </c>
      <c r="C149" s="15">
        <f t="shared" si="35"/>
        <v>99</v>
      </c>
      <c r="D149" s="16" t="str">
        <f t="shared" si="37"/>
        <v>32CONDOMINIO DO EDIFICIO EMPRESARIAL MARIE CURIE</v>
      </c>
      <c r="E149" s="17">
        <f t="shared" si="28"/>
        <v>32</v>
      </c>
      <c r="F149" s="18" t="str">
        <f t="shared" si="38"/>
        <v>120CONDOMINIO DO EDIFICIO EMPRESARIAL MARIE CURIE</v>
      </c>
      <c r="G149" s="18">
        <f t="shared" si="29"/>
        <v>120</v>
      </c>
      <c r="H149" s="19" t="str">
        <f t="shared" si="39"/>
        <v>110CONDOMINIO DO EDIFICIO EMPRESARIAL MARIE CURIE</v>
      </c>
      <c r="I149" s="19">
        <f t="shared" si="30"/>
        <v>110</v>
      </c>
      <c r="J149" s="13" t="s">
        <v>57</v>
      </c>
      <c r="K149" s="13" t="s">
        <v>241</v>
      </c>
      <c r="L149" s="13" t="s">
        <v>87</v>
      </c>
      <c r="M149" s="13" t="s">
        <v>60</v>
      </c>
      <c r="N149" s="20">
        <v>1261.5899999999999</v>
      </c>
      <c r="O149" s="20">
        <v>2156</v>
      </c>
      <c r="P149" s="21">
        <v>45992</v>
      </c>
      <c r="Q149" s="22"/>
      <c r="R149" s="23">
        <v>2156</v>
      </c>
      <c r="S149" s="24"/>
      <c r="T149" s="23"/>
      <c r="U149" s="24"/>
      <c r="V149" s="23"/>
      <c r="W149" s="23"/>
      <c r="X149" s="24"/>
      <c r="Y149" s="23"/>
      <c r="Z149" s="23"/>
      <c r="AA149" s="23">
        <v>1.51</v>
      </c>
      <c r="AB149" s="23"/>
      <c r="AC149" s="24"/>
      <c r="AD149" s="23">
        <v>230.62</v>
      </c>
      <c r="AE149" s="24">
        <v>775.19</v>
      </c>
      <c r="AF149" s="23"/>
      <c r="AG149" s="23"/>
      <c r="AH149" s="23">
        <v>6.96</v>
      </c>
      <c r="AI149" s="24">
        <v>0</v>
      </c>
      <c r="AJ149" s="25">
        <v>169.23</v>
      </c>
      <c r="AK149" s="23">
        <v>36.79</v>
      </c>
      <c r="AL149" s="23"/>
      <c r="AM149" s="24"/>
      <c r="AN149" s="23"/>
      <c r="AO149" s="24"/>
      <c r="AP149" s="23"/>
      <c r="AQ149" s="24"/>
      <c r="AR149" s="23">
        <v>50.13</v>
      </c>
      <c r="AS149" s="23">
        <v>-924</v>
      </c>
      <c r="AT149" s="23"/>
      <c r="AU149" s="24"/>
      <c r="AW149" s="27">
        <f t="shared" si="31"/>
        <v>169.23014899999998</v>
      </c>
      <c r="AX149" s="27">
        <f t="shared" si="32"/>
        <v>230.620149</v>
      </c>
      <c r="AY149" s="27">
        <f t="shared" si="33"/>
        <v>1.4899999999999999E-4</v>
      </c>
      <c r="AZ149" s="27">
        <f t="shared" si="34"/>
        <v>1.4899999999999999E-4</v>
      </c>
    </row>
    <row r="150" spans="1:52" ht="15" customHeight="1" x14ac:dyDescent="0.25">
      <c r="A150" s="13" t="str">
        <f>VLOOKUP(L150,[1]VALIDAÇÃO!$D$13:$E$350,2,0)</f>
        <v>DIRETO</v>
      </c>
      <c r="B150" s="14" t="str">
        <f t="shared" si="36"/>
        <v>160RESERVA DO PAIVA SPE 03 LTDA</v>
      </c>
      <c r="C150" s="15">
        <f t="shared" si="35"/>
        <v>160</v>
      </c>
      <c r="D150" s="16" t="str">
        <f t="shared" si="37"/>
        <v>149RESERVA DO PAIVA SPE 03 LTDA</v>
      </c>
      <c r="E150" s="17">
        <f t="shared" si="28"/>
        <v>149</v>
      </c>
      <c r="F150" s="18" t="str">
        <f t="shared" si="38"/>
        <v>159RESERVA DO PAIVA SPE 03 LTDA</v>
      </c>
      <c r="G150" s="18">
        <f t="shared" si="29"/>
        <v>159</v>
      </c>
      <c r="H150" s="19" t="str">
        <f t="shared" si="39"/>
        <v>149RESERVA DO PAIVA SPE 03 LTDA</v>
      </c>
      <c r="I150" s="19">
        <f t="shared" si="30"/>
        <v>149</v>
      </c>
      <c r="J150" s="13" t="s">
        <v>52</v>
      </c>
      <c r="K150" s="13" t="s">
        <v>242</v>
      </c>
      <c r="L150" s="13" t="s">
        <v>63</v>
      </c>
      <c r="M150" s="13" t="s">
        <v>55</v>
      </c>
      <c r="N150" s="20">
        <v>870.34</v>
      </c>
      <c r="O150" s="20">
        <v>2156</v>
      </c>
      <c r="P150" s="21">
        <v>45992</v>
      </c>
      <c r="Q150" s="22"/>
      <c r="R150" s="23">
        <v>2156</v>
      </c>
      <c r="S150" s="24"/>
      <c r="T150" s="23"/>
      <c r="U150" s="24"/>
      <c r="V150" s="23"/>
      <c r="W150" s="23"/>
      <c r="X150" s="24"/>
      <c r="Y150" s="23"/>
      <c r="Z150" s="23"/>
      <c r="AA150" s="23"/>
      <c r="AB150" s="23"/>
      <c r="AC150" s="24"/>
      <c r="AD150" s="23">
        <v>3.27</v>
      </c>
      <c r="AE150" s="24">
        <v>11</v>
      </c>
      <c r="AF150" s="23"/>
      <c r="AG150" s="23"/>
      <c r="AH150" s="23"/>
      <c r="AI150" s="24"/>
      <c r="AJ150" s="25"/>
      <c r="AK150" s="23"/>
      <c r="AL150" s="23">
        <v>-5.25</v>
      </c>
      <c r="AM150" s="24">
        <v>30</v>
      </c>
      <c r="AN150" s="23"/>
      <c r="AO150" s="24"/>
      <c r="AP150" s="23"/>
      <c r="AQ150" s="24"/>
      <c r="AR150" s="23">
        <v>0.71</v>
      </c>
      <c r="AS150" s="23">
        <v>-924</v>
      </c>
      <c r="AT150" s="23"/>
      <c r="AU150" s="24"/>
      <c r="AW150" s="27">
        <f t="shared" si="31"/>
        <v>1.4999999999999999E-4</v>
      </c>
      <c r="AX150" s="27">
        <f t="shared" si="32"/>
        <v>3.2701500000000001</v>
      </c>
      <c r="AY150" s="27">
        <f t="shared" si="33"/>
        <v>1.4999999999999999E-4</v>
      </c>
      <c r="AZ150" s="27">
        <f t="shared" si="34"/>
        <v>1.4999999999999999E-4</v>
      </c>
    </row>
    <row r="151" spans="1:52" ht="15" customHeight="1" x14ac:dyDescent="0.25">
      <c r="A151" s="13" t="str">
        <f>VLOOKUP(L151,[1]VALIDAÇÃO!$D$13:$E$350,2,0)</f>
        <v>DIRETO</v>
      </c>
      <c r="B151" s="14" t="str">
        <f t="shared" si="36"/>
        <v>73RESERVA DO PAIVA SPE 03 LTDA</v>
      </c>
      <c r="C151" s="15">
        <f t="shared" si="35"/>
        <v>73</v>
      </c>
      <c r="D151" s="16" t="str">
        <f t="shared" si="37"/>
        <v>93RESERVA DO PAIVA SPE 03 LTDA</v>
      </c>
      <c r="E151" s="17">
        <f t="shared" si="28"/>
        <v>93</v>
      </c>
      <c r="F151" s="18" t="str">
        <f t="shared" si="38"/>
        <v>34RESERVA DO PAIVA SPE 03 LTDA</v>
      </c>
      <c r="G151" s="18">
        <f t="shared" si="29"/>
        <v>34</v>
      </c>
      <c r="H151" s="19" t="str">
        <f t="shared" si="39"/>
        <v>53RESERVA DO PAIVA SPE 03 LTDA</v>
      </c>
      <c r="I151" s="19">
        <f t="shared" si="30"/>
        <v>53</v>
      </c>
      <c r="J151" s="13" t="s">
        <v>52</v>
      </c>
      <c r="K151" s="13" t="s">
        <v>243</v>
      </c>
      <c r="L151" s="13" t="s">
        <v>54</v>
      </c>
      <c r="M151" s="13" t="s">
        <v>55</v>
      </c>
      <c r="N151" s="20">
        <v>814.7</v>
      </c>
      <c r="O151" s="20">
        <v>1622.13</v>
      </c>
      <c r="P151" s="21">
        <v>45691</v>
      </c>
      <c r="Q151" s="22"/>
      <c r="R151" s="23">
        <v>1622.13</v>
      </c>
      <c r="S151" s="24"/>
      <c r="T151" s="23"/>
      <c r="U151" s="24"/>
      <c r="V151" s="23"/>
      <c r="W151" s="23"/>
      <c r="X151" s="24"/>
      <c r="Y151" s="23"/>
      <c r="Z151" s="23"/>
      <c r="AA151" s="23">
        <v>2.13</v>
      </c>
      <c r="AB151" s="23">
        <v>255.22</v>
      </c>
      <c r="AC151" s="24">
        <v>1484.9842857142858</v>
      </c>
      <c r="AD151" s="23">
        <v>151.34</v>
      </c>
      <c r="AE151" s="24">
        <v>936.98428571428576</v>
      </c>
      <c r="AF151" s="23"/>
      <c r="AG151" s="23"/>
      <c r="AH151" s="23">
        <v>9.5300000000000011</v>
      </c>
      <c r="AI151" s="24">
        <v>0</v>
      </c>
      <c r="AJ151" s="25">
        <v>183.77</v>
      </c>
      <c r="AK151" s="23">
        <v>41.059999999999995</v>
      </c>
      <c r="AL151" s="23">
        <v>-1.47</v>
      </c>
      <c r="AM151" s="24">
        <v>11.17</v>
      </c>
      <c r="AN151" s="23"/>
      <c r="AO151" s="24"/>
      <c r="AP151" s="23">
        <v>54.03</v>
      </c>
      <c r="AQ151" s="24">
        <v>288.35714285714283</v>
      </c>
      <c r="AR151" s="23">
        <v>98</v>
      </c>
      <c r="AS151" s="23">
        <v>-695.2</v>
      </c>
      <c r="AT151" s="23"/>
      <c r="AU151" s="24"/>
      <c r="AW151" s="27">
        <f t="shared" si="31"/>
        <v>183.770151</v>
      </c>
      <c r="AX151" s="27">
        <f t="shared" si="32"/>
        <v>151.34015099999999</v>
      </c>
      <c r="AY151" s="27">
        <f t="shared" si="33"/>
        <v>255.22015099999999</v>
      </c>
      <c r="AZ151" s="27">
        <f t="shared" si="34"/>
        <v>54.030151000000004</v>
      </c>
    </row>
    <row r="152" spans="1:52" ht="15" customHeight="1" x14ac:dyDescent="0.25">
      <c r="A152" s="13" t="str">
        <f>VLOOKUP(L152,[1]VALIDAÇÃO!$D$13:$E$350,2,0)</f>
        <v>DIRETO</v>
      </c>
      <c r="B152" s="14" t="str">
        <f t="shared" si="36"/>
        <v>45RIO AVE 200 SPE LTDA.</v>
      </c>
      <c r="C152" s="15">
        <f t="shared" si="35"/>
        <v>45</v>
      </c>
      <c r="D152" s="16" t="str">
        <f t="shared" si="37"/>
        <v>62RIO AVE 200 SPE LTDA.</v>
      </c>
      <c r="E152" s="17">
        <f t="shared" si="28"/>
        <v>62</v>
      </c>
      <c r="F152" s="18" t="str">
        <f t="shared" si="38"/>
        <v>75RIO AVE 200 SPE LTDA.</v>
      </c>
      <c r="G152" s="18">
        <f t="shared" si="29"/>
        <v>75</v>
      </c>
      <c r="H152" s="19" t="str">
        <f t="shared" si="39"/>
        <v>69RIO AVE 200 SPE LTDA.</v>
      </c>
      <c r="I152" s="19">
        <f t="shared" si="30"/>
        <v>69</v>
      </c>
      <c r="J152" s="13" t="s">
        <v>48</v>
      </c>
      <c r="K152" s="13" t="s">
        <v>244</v>
      </c>
      <c r="L152" s="13" t="s">
        <v>54</v>
      </c>
      <c r="M152" s="13" t="s">
        <v>55</v>
      </c>
      <c r="N152" s="20">
        <v>523.44000000000005</v>
      </c>
      <c r="O152" s="20">
        <v>1622.13</v>
      </c>
      <c r="P152" s="21">
        <v>45938</v>
      </c>
      <c r="Q152" s="22"/>
      <c r="R152" s="23">
        <v>1622.13</v>
      </c>
      <c r="S152" s="24"/>
      <c r="T152" s="23"/>
      <c r="U152" s="24"/>
      <c r="V152" s="23"/>
      <c r="W152" s="23"/>
      <c r="X152" s="24"/>
      <c r="Y152" s="23"/>
      <c r="Z152" s="23"/>
      <c r="AA152" s="23">
        <v>0.12</v>
      </c>
      <c r="AB152" s="23"/>
      <c r="AC152" s="24"/>
      <c r="AD152" s="23">
        <v>10.52</v>
      </c>
      <c r="AE152" s="24">
        <v>47</v>
      </c>
      <c r="AF152" s="23"/>
      <c r="AG152" s="23"/>
      <c r="AH152" s="23">
        <v>0.54</v>
      </c>
      <c r="AI152" s="24">
        <v>0</v>
      </c>
      <c r="AJ152" s="25">
        <v>280.04000000000002</v>
      </c>
      <c r="AK152" s="23">
        <v>59.809999999999995</v>
      </c>
      <c r="AL152" s="23"/>
      <c r="AM152" s="24"/>
      <c r="AN152" s="23"/>
      <c r="AO152" s="24"/>
      <c r="AP152" s="23"/>
      <c r="AQ152" s="24"/>
      <c r="AR152" s="23">
        <v>2.29</v>
      </c>
      <c r="AS152" s="23">
        <v>-695.2</v>
      </c>
      <c r="AT152" s="23"/>
      <c r="AU152" s="24"/>
      <c r="AW152" s="27">
        <f t="shared" si="31"/>
        <v>280.04015200000003</v>
      </c>
      <c r="AX152" s="27">
        <f t="shared" si="32"/>
        <v>10.520152</v>
      </c>
      <c r="AY152" s="27">
        <f t="shared" si="33"/>
        <v>1.5200000000000001E-4</v>
      </c>
      <c r="AZ152" s="27">
        <f t="shared" si="34"/>
        <v>1.5200000000000001E-4</v>
      </c>
    </row>
    <row r="153" spans="1:52" ht="15" customHeight="1" x14ac:dyDescent="0.25">
      <c r="A153" s="13" t="str">
        <f>VLOOKUP(L153,[1]VALIDAÇÃO!$D$13:$E$350,2,0)</f>
        <v>DIRETO</v>
      </c>
      <c r="B153" s="14" t="str">
        <f t="shared" si="36"/>
        <v>11RESERVA DO PAIVA SPE 03 LTDA</v>
      </c>
      <c r="C153" s="15">
        <f t="shared" si="35"/>
        <v>11</v>
      </c>
      <c r="D153" s="16" t="str">
        <f t="shared" si="37"/>
        <v>53RESERVA DO PAIVA SPE 03 LTDA</v>
      </c>
      <c r="E153" s="17">
        <f t="shared" si="28"/>
        <v>53</v>
      </c>
      <c r="F153" s="18" t="str">
        <f t="shared" si="38"/>
        <v>108RESERVA DO PAIVA SPE 03 LTDA</v>
      </c>
      <c r="G153" s="18">
        <f t="shared" si="29"/>
        <v>108</v>
      </c>
      <c r="H153" s="19" t="str">
        <f t="shared" si="39"/>
        <v>77RESERVA DO PAIVA SPE 03 LTDA</v>
      </c>
      <c r="I153" s="19">
        <f t="shared" si="30"/>
        <v>77</v>
      </c>
      <c r="J153" s="13" t="s">
        <v>52</v>
      </c>
      <c r="K153" s="13" t="s">
        <v>245</v>
      </c>
      <c r="L153" s="13" t="s">
        <v>54</v>
      </c>
      <c r="M153" s="13" t="s">
        <v>55</v>
      </c>
      <c r="N153" s="20">
        <v>1475.5</v>
      </c>
      <c r="O153" s="20">
        <v>1622.13</v>
      </c>
      <c r="P153" s="21">
        <v>45558</v>
      </c>
      <c r="Q153" s="22"/>
      <c r="R153" s="23">
        <v>1622.13</v>
      </c>
      <c r="S153" s="24"/>
      <c r="T153" s="23"/>
      <c r="U153" s="24"/>
      <c r="V153" s="23"/>
      <c r="W153" s="23">
        <v>0.26</v>
      </c>
      <c r="X153" s="24">
        <v>9.3000000000000007</v>
      </c>
      <c r="Y153" s="23"/>
      <c r="Z153" s="23"/>
      <c r="AA153" s="23">
        <v>5.839999999999999</v>
      </c>
      <c r="AB153" s="23">
        <v>36.33</v>
      </c>
      <c r="AC153" s="24">
        <v>207.11857142857141</v>
      </c>
      <c r="AD153" s="23">
        <v>283.27999999999997</v>
      </c>
      <c r="AE153" s="24">
        <v>1613.8085714285714</v>
      </c>
      <c r="AF153" s="23"/>
      <c r="AG153" s="23"/>
      <c r="AH153" s="23">
        <v>27.68</v>
      </c>
      <c r="AI153" s="24">
        <v>0</v>
      </c>
      <c r="AJ153" s="25">
        <v>1099.94</v>
      </c>
      <c r="AK153" s="23">
        <v>242.14</v>
      </c>
      <c r="AL153" s="23"/>
      <c r="AM153" s="24"/>
      <c r="AN153" s="23"/>
      <c r="AO153" s="24"/>
      <c r="AP153" s="23">
        <v>14.319999999999999</v>
      </c>
      <c r="AQ153" s="24">
        <v>69.407142857142858</v>
      </c>
      <c r="AR153" s="23">
        <v>66.930000000000007</v>
      </c>
      <c r="AS153" s="23">
        <v>-695.2</v>
      </c>
      <c r="AT153" s="23"/>
      <c r="AU153" s="24"/>
      <c r="AW153" s="27">
        <f t="shared" si="31"/>
        <v>1099.940153</v>
      </c>
      <c r="AX153" s="27">
        <f t="shared" si="32"/>
        <v>283.28015299999998</v>
      </c>
      <c r="AY153" s="27">
        <f t="shared" si="33"/>
        <v>36.330152999999996</v>
      </c>
      <c r="AZ153" s="27">
        <f t="shared" si="34"/>
        <v>14.320152999999998</v>
      </c>
    </row>
    <row r="154" spans="1:52" ht="15" customHeight="1" x14ac:dyDescent="0.25">
      <c r="A154" s="13" t="str">
        <f>VLOOKUP(L154,[1]VALIDAÇÃO!$D$13:$E$350,2,0)</f>
        <v>DIRETO</v>
      </c>
      <c r="B154" s="14" t="str">
        <f t="shared" si="36"/>
        <v>10CONDOMINIO DO EDIFICIO EMPRESARIAL MARIE CURIE</v>
      </c>
      <c r="C154" s="15">
        <f t="shared" si="35"/>
        <v>10</v>
      </c>
      <c r="D154" s="16" t="str">
        <f t="shared" si="37"/>
        <v>100CONDOMINIO DO EDIFICIO EMPRESARIAL MARIE CURIE</v>
      </c>
      <c r="E154" s="17">
        <f t="shared" si="28"/>
        <v>100</v>
      </c>
      <c r="F154" s="18" t="str">
        <f t="shared" si="38"/>
        <v>65CONDOMINIO DO EDIFICIO EMPRESARIAL MARIE CURIE</v>
      </c>
      <c r="G154" s="18">
        <f t="shared" si="29"/>
        <v>65</v>
      </c>
      <c r="H154" s="19" t="str">
        <f t="shared" si="39"/>
        <v>109CONDOMINIO DO EDIFICIO EMPRESARIAL MARIE CURIE</v>
      </c>
      <c r="I154" s="19">
        <f t="shared" si="30"/>
        <v>109</v>
      </c>
      <c r="J154" s="13" t="s">
        <v>57</v>
      </c>
      <c r="K154" s="13" t="s">
        <v>246</v>
      </c>
      <c r="L154" s="13" t="s">
        <v>66</v>
      </c>
      <c r="M154" s="13" t="s">
        <v>60</v>
      </c>
      <c r="N154" s="20">
        <v>1761.47</v>
      </c>
      <c r="O154" s="20">
        <v>2156</v>
      </c>
      <c r="P154" s="21">
        <v>45820</v>
      </c>
      <c r="Q154" s="22"/>
      <c r="R154" s="23">
        <v>2156</v>
      </c>
      <c r="S154" s="24"/>
      <c r="T154" s="23"/>
      <c r="U154" s="24"/>
      <c r="V154" s="23"/>
      <c r="W154" s="23"/>
      <c r="X154" s="24"/>
      <c r="Y154" s="23"/>
      <c r="Z154" s="23"/>
      <c r="AA154" s="23">
        <v>1.67</v>
      </c>
      <c r="AB154" s="23">
        <v>34.71</v>
      </c>
      <c r="AC154" s="24">
        <v>243.94285714285712</v>
      </c>
      <c r="AD154" s="23">
        <v>23.18</v>
      </c>
      <c r="AE154" s="24">
        <v>122.41857142857143</v>
      </c>
      <c r="AF154" s="23"/>
      <c r="AG154" s="23"/>
      <c r="AH154" s="23">
        <v>8.4600000000000009</v>
      </c>
      <c r="AI154" s="24">
        <v>0</v>
      </c>
      <c r="AJ154" s="25">
        <v>1287.6500000000001</v>
      </c>
      <c r="AK154" s="23">
        <v>274.18</v>
      </c>
      <c r="AL154" s="23">
        <v>-6.16</v>
      </c>
      <c r="AM154" s="24">
        <v>35.19</v>
      </c>
      <c r="AN154" s="23"/>
      <c r="AO154" s="24"/>
      <c r="AP154" s="23"/>
      <c r="AQ154" s="24"/>
      <c r="AR154" s="23">
        <v>11.49</v>
      </c>
      <c r="AS154" s="23">
        <v>-924</v>
      </c>
      <c r="AT154" s="23"/>
      <c r="AU154" s="24"/>
      <c r="AW154" s="27">
        <f t="shared" si="31"/>
        <v>1287.6501540000002</v>
      </c>
      <c r="AX154" s="27">
        <f t="shared" si="32"/>
        <v>23.180153999999998</v>
      </c>
      <c r="AY154" s="27">
        <f t="shared" si="33"/>
        <v>34.710154000000003</v>
      </c>
      <c r="AZ154" s="27">
        <f t="shared" si="34"/>
        <v>1.54E-4</v>
      </c>
    </row>
    <row r="155" spans="1:52" ht="15" customHeight="1" x14ac:dyDescent="0.25">
      <c r="A155" s="13" t="str">
        <f>VLOOKUP(L155,[1]VALIDAÇÃO!$D$13:$E$350,2,0)</f>
        <v>DIRETO</v>
      </c>
      <c r="B155" s="14" t="str">
        <f t="shared" si="36"/>
        <v>14RIO AVE CARNEIROS 01 SPE LTDA.</v>
      </c>
      <c r="C155" s="15">
        <f t="shared" si="35"/>
        <v>14</v>
      </c>
      <c r="D155" s="16" t="str">
        <f t="shared" si="37"/>
        <v>143RIO AVE CARNEIROS 01 SPE LTDA.</v>
      </c>
      <c r="E155" s="17">
        <f t="shared" si="28"/>
        <v>143</v>
      </c>
      <c r="F155" s="18" t="str">
        <f t="shared" si="38"/>
        <v>9RIO AVE CARNEIROS 01 SPE LTDA.</v>
      </c>
      <c r="G155" s="18">
        <f t="shared" si="29"/>
        <v>9</v>
      </c>
      <c r="H155" s="19" t="str">
        <f t="shared" si="39"/>
        <v>9RIO AVE CARNEIROS 01 SPE LTDA.</v>
      </c>
      <c r="I155" s="19">
        <f t="shared" si="30"/>
        <v>9</v>
      </c>
      <c r="J155" s="13" t="s">
        <v>61</v>
      </c>
      <c r="K155" s="13" t="s">
        <v>247</v>
      </c>
      <c r="L155" s="13" t="s">
        <v>63</v>
      </c>
      <c r="M155" s="13" t="s">
        <v>55</v>
      </c>
      <c r="N155" s="20">
        <v>1883.64</v>
      </c>
      <c r="O155" s="20">
        <v>2156</v>
      </c>
      <c r="P155" s="21">
        <v>45890</v>
      </c>
      <c r="Q155" s="22"/>
      <c r="R155" s="23">
        <v>2156</v>
      </c>
      <c r="S155" s="24"/>
      <c r="T155" s="23"/>
      <c r="U155" s="24"/>
      <c r="V155" s="23"/>
      <c r="W155" s="23"/>
      <c r="X155" s="24"/>
      <c r="Y155" s="23"/>
      <c r="Z155" s="23"/>
      <c r="AA155" s="23">
        <v>6.4799999999999995</v>
      </c>
      <c r="AB155" s="23">
        <v>240.54</v>
      </c>
      <c r="AC155" s="24">
        <v>1540</v>
      </c>
      <c r="AD155" s="23">
        <v>0.35000000000000003</v>
      </c>
      <c r="AE155" s="24">
        <v>3.9285714285714288</v>
      </c>
      <c r="AF155" s="23"/>
      <c r="AG155" s="23"/>
      <c r="AH155" s="23">
        <v>29.68</v>
      </c>
      <c r="AI155" s="24">
        <v>0</v>
      </c>
      <c r="AJ155" s="25">
        <v>791.96</v>
      </c>
      <c r="AK155" s="23">
        <v>173.7</v>
      </c>
      <c r="AL155" s="23"/>
      <c r="AM155" s="24"/>
      <c r="AN155" s="23"/>
      <c r="AO155" s="24"/>
      <c r="AP155" s="23">
        <v>92.32</v>
      </c>
      <c r="AQ155" s="24">
        <v>869.64285714285711</v>
      </c>
      <c r="AR155" s="23">
        <v>70.69</v>
      </c>
      <c r="AS155" s="23">
        <v>-924</v>
      </c>
      <c r="AT155" s="23"/>
      <c r="AU155" s="24"/>
      <c r="AW155" s="27">
        <f t="shared" si="31"/>
        <v>791.96015499999999</v>
      </c>
      <c r="AX155" s="27">
        <f t="shared" si="32"/>
        <v>0.35015500000000005</v>
      </c>
      <c r="AY155" s="27">
        <f t="shared" si="33"/>
        <v>240.540155</v>
      </c>
      <c r="AZ155" s="27">
        <f t="shared" si="34"/>
        <v>92.320155</v>
      </c>
    </row>
    <row r="156" spans="1:52" ht="15" customHeight="1" x14ac:dyDescent="0.25">
      <c r="A156" s="13" t="str">
        <f>VLOOKUP(L156,[1]VALIDAÇÃO!$D$13:$E$350,2,0)</f>
        <v>INDIRETO</v>
      </c>
      <c r="B156" s="14" t="str">
        <f t="shared" si="36"/>
        <v>123RIO AVE CARNEIROS 01 SPE LTDA.</v>
      </c>
      <c r="C156" s="15">
        <f t="shared" si="35"/>
        <v>123</v>
      </c>
      <c r="D156" s="16" t="str">
        <f t="shared" si="37"/>
        <v>12RIO AVE CARNEIROS 01 SPE LTDA.</v>
      </c>
      <c r="E156" s="17">
        <f t="shared" si="28"/>
        <v>12</v>
      </c>
      <c r="F156" s="18" t="str">
        <f t="shared" si="38"/>
        <v>26RIO AVE CARNEIROS 01 SPE LTDA.</v>
      </c>
      <c r="G156" s="18">
        <f t="shared" si="29"/>
        <v>26</v>
      </c>
      <c r="H156" s="19" t="str">
        <f t="shared" si="39"/>
        <v>60RIO AVE CARNEIROS 01 SPE LTDA.</v>
      </c>
      <c r="I156" s="19">
        <f t="shared" si="30"/>
        <v>60</v>
      </c>
      <c r="J156" s="13" t="s">
        <v>61</v>
      </c>
      <c r="K156" s="13" t="s">
        <v>248</v>
      </c>
      <c r="L156" s="13" t="s">
        <v>249</v>
      </c>
      <c r="M156" s="13" t="s">
        <v>55</v>
      </c>
      <c r="N156" s="20">
        <v>1464.63</v>
      </c>
      <c r="O156" s="20">
        <v>2156</v>
      </c>
      <c r="P156" s="21">
        <v>45201</v>
      </c>
      <c r="Q156" s="22"/>
      <c r="R156" s="23">
        <v>2156</v>
      </c>
      <c r="S156" s="24"/>
      <c r="T156" s="23"/>
      <c r="U156" s="24"/>
      <c r="V156" s="23"/>
      <c r="W156" s="23">
        <v>10.64</v>
      </c>
      <c r="X156" s="24">
        <v>302.33</v>
      </c>
      <c r="Y156" s="23"/>
      <c r="Z156" s="23"/>
      <c r="AA156" s="23">
        <v>1.2200000000000002</v>
      </c>
      <c r="AB156" s="23">
        <v>173.03</v>
      </c>
      <c r="AC156" s="24">
        <v>628.20428571428567</v>
      </c>
      <c r="AD156" s="23">
        <v>596.04999999999995</v>
      </c>
      <c r="AE156" s="24">
        <v>2210.3657142857141</v>
      </c>
      <c r="AF156" s="23"/>
      <c r="AG156" s="23"/>
      <c r="AH156" s="23">
        <v>5.0999999999999996</v>
      </c>
      <c r="AI156" s="24">
        <v>0</v>
      </c>
      <c r="AJ156" s="25">
        <v>45.84</v>
      </c>
      <c r="AK156" s="23">
        <v>11</v>
      </c>
      <c r="AL156" s="23"/>
      <c r="AM156" s="24"/>
      <c r="AN156" s="23"/>
      <c r="AO156" s="24"/>
      <c r="AP156" s="23">
        <v>23.49</v>
      </c>
      <c r="AQ156" s="24">
        <v>79.204285714285717</v>
      </c>
      <c r="AR156" s="23">
        <v>177.68</v>
      </c>
      <c r="AS156" s="23">
        <v>-1024</v>
      </c>
      <c r="AT156" s="23"/>
      <c r="AU156" s="24"/>
      <c r="AW156" s="27">
        <f t="shared" si="31"/>
        <v>45.840156</v>
      </c>
      <c r="AX156" s="27">
        <f t="shared" si="32"/>
        <v>596.0501559999999</v>
      </c>
      <c r="AY156" s="27">
        <f t="shared" si="33"/>
        <v>173.03015600000001</v>
      </c>
      <c r="AZ156" s="27">
        <f t="shared" si="34"/>
        <v>23.490155999999999</v>
      </c>
    </row>
    <row r="157" spans="1:52" ht="15" customHeight="1" x14ac:dyDescent="0.25">
      <c r="A157" s="13" t="str">
        <f>VLOOKUP(L157,[1]VALIDAÇÃO!$D$13:$E$350,2,0)</f>
        <v>DIRETO</v>
      </c>
      <c r="B157" s="14" t="str">
        <f t="shared" si="36"/>
        <v>32RIO AVE 200 SPE LTDA.</v>
      </c>
      <c r="C157" s="15">
        <f t="shared" si="35"/>
        <v>32</v>
      </c>
      <c r="D157" s="16" t="str">
        <f t="shared" si="37"/>
        <v>19RIO AVE 200 SPE LTDA.</v>
      </c>
      <c r="E157" s="17">
        <f t="shared" si="28"/>
        <v>19</v>
      </c>
      <c r="F157" s="18" t="str">
        <f t="shared" si="38"/>
        <v>35RIO AVE 200 SPE LTDA.</v>
      </c>
      <c r="G157" s="18">
        <f t="shared" si="29"/>
        <v>35</v>
      </c>
      <c r="H157" s="19" t="str">
        <f t="shared" si="39"/>
        <v>68RIO AVE 200 SPE LTDA.</v>
      </c>
      <c r="I157" s="19">
        <f t="shared" si="30"/>
        <v>68</v>
      </c>
      <c r="J157" s="13" t="s">
        <v>48</v>
      </c>
      <c r="K157" s="13" t="s">
        <v>250</v>
      </c>
      <c r="L157" s="13" t="s">
        <v>63</v>
      </c>
      <c r="M157" s="13" t="s">
        <v>55</v>
      </c>
      <c r="N157" s="20">
        <v>1431.37</v>
      </c>
      <c r="O157" s="20">
        <v>2156</v>
      </c>
      <c r="P157" s="21">
        <v>45943</v>
      </c>
      <c r="Q157" s="22"/>
      <c r="R157" s="23">
        <v>2156</v>
      </c>
      <c r="S157" s="24"/>
      <c r="T157" s="23"/>
      <c r="U157" s="24"/>
      <c r="V157" s="23"/>
      <c r="W157" s="23"/>
      <c r="X157" s="24"/>
      <c r="Y157" s="23"/>
      <c r="Z157" s="23"/>
      <c r="AA157" s="23">
        <v>3.8799999999999994</v>
      </c>
      <c r="AB157" s="23">
        <v>19.11</v>
      </c>
      <c r="AC157" s="24">
        <v>262.14285714285711</v>
      </c>
      <c r="AD157" s="23">
        <v>198.10999999999999</v>
      </c>
      <c r="AE157" s="24">
        <v>1371.2857142857142</v>
      </c>
      <c r="AF157" s="23"/>
      <c r="AG157" s="23"/>
      <c r="AH157" s="23">
        <v>15.239999999999998</v>
      </c>
      <c r="AI157" s="24">
        <v>0</v>
      </c>
      <c r="AJ157" s="25">
        <v>451.02</v>
      </c>
      <c r="AK157" s="23">
        <v>104.4</v>
      </c>
      <c r="AL157" s="23"/>
      <c r="AM157" s="24"/>
      <c r="AN157" s="23"/>
      <c r="AO157" s="24"/>
      <c r="AP157" s="23"/>
      <c r="AQ157" s="24"/>
      <c r="AR157" s="23">
        <v>54.8</v>
      </c>
      <c r="AS157" s="23">
        <v>-924</v>
      </c>
      <c r="AT157" s="23"/>
      <c r="AU157" s="24"/>
      <c r="AW157" s="27">
        <f t="shared" si="31"/>
        <v>451.02015699999998</v>
      </c>
      <c r="AX157" s="27">
        <f t="shared" si="32"/>
        <v>198.11015699999999</v>
      </c>
      <c r="AY157" s="27">
        <f t="shared" si="33"/>
        <v>19.110157000000001</v>
      </c>
      <c r="AZ157" s="27">
        <f t="shared" si="34"/>
        <v>1.5699999999999999E-4</v>
      </c>
    </row>
    <row r="158" spans="1:52" ht="15" customHeight="1" x14ac:dyDescent="0.25">
      <c r="A158" s="13" t="str">
        <f>VLOOKUP(L158,[1]VALIDAÇÃO!$D$13:$E$350,2,0)</f>
        <v>DIRETO</v>
      </c>
      <c r="B158" s="14" t="str">
        <f t="shared" si="36"/>
        <v>97RIO AVE CARNEIROS 01 SPE LTDA.</v>
      </c>
      <c r="C158" s="15">
        <f t="shared" si="35"/>
        <v>97</v>
      </c>
      <c r="D158" s="16" t="str">
        <f t="shared" si="37"/>
        <v>57RIO AVE CARNEIROS 01 SPE LTDA.</v>
      </c>
      <c r="E158" s="17">
        <f t="shared" si="28"/>
        <v>57</v>
      </c>
      <c r="F158" s="18" t="str">
        <f t="shared" si="38"/>
        <v>148RIO AVE CARNEIROS 01 SPE LTDA.</v>
      </c>
      <c r="G158" s="18">
        <f t="shared" si="29"/>
        <v>148</v>
      </c>
      <c r="H158" s="19" t="str">
        <f t="shared" si="39"/>
        <v>141RIO AVE CARNEIROS 01 SPE LTDA.</v>
      </c>
      <c r="I158" s="19">
        <f t="shared" si="30"/>
        <v>141</v>
      </c>
      <c r="J158" s="13" t="s">
        <v>61</v>
      </c>
      <c r="K158" s="13" t="s">
        <v>251</v>
      </c>
      <c r="L158" s="13" t="s">
        <v>54</v>
      </c>
      <c r="M158" s="13" t="s">
        <v>55</v>
      </c>
      <c r="N158" s="20">
        <v>1096.21</v>
      </c>
      <c r="O158" s="20">
        <v>1622.13</v>
      </c>
      <c r="P158" s="21">
        <v>45967</v>
      </c>
      <c r="Q158" s="22"/>
      <c r="R158" s="23">
        <v>1622.13</v>
      </c>
      <c r="S158" s="24"/>
      <c r="T158" s="23"/>
      <c r="U158" s="24"/>
      <c r="V158" s="23"/>
      <c r="W158" s="23"/>
      <c r="X158" s="24"/>
      <c r="Y158" s="23"/>
      <c r="Z158" s="23"/>
      <c r="AA158" s="23">
        <v>1.2</v>
      </c>
      <c r="AB158" s="23"/>
      <c r="AC158" s="24"/>
      <c r="AD158" s="23">
        <v>129.6</v>
      </c>
      <c r="AE158" s="24">
        <v>1059</v>
      </c>
      <c r="AF158" s="23"/>
      <c r="AG158" s="23"/>
      <c r="AH158" s="23">
        <v>5.01</v>
      </c>
      <c r="AI158" s="24">
        <v>0</v>
      </c>
      <c r="AJ158" s="25">
        <v>211.32999999999998</v>
      </c>
      <c r="AK158" s="23">
        <v>51.99</v>
      </c>
      <c r="AL158" s="23"/>
      <c r="AM158" s="24"/>
      <c r="AN158" s="23"/>
      <c r="AO158" s="24"/>
      <c r="AP158" s="23"/>
      <c r="AQ158" s="24"/>
      <c r="AR158" s="23">
        <v>30.28</v>
      </c>
      <c r="AS158" s="23">
        <v>-785.2</v>
      </c>
      <c r="AT158" s="23"/>
      <c r="AU158" s="24"/>
      <c r="AW158" s="27">
        <f t="shared" si="31"/>
        <v>211.33015799999998</v>
      </c>
      <c r="AX158" s="27">
        <f t="shared" si="32"/>
        <v>129.60015799999999</v>
      </c>
      <c r="AY158" s="27">
        <f t="shared" si="33"/>
        <v>1.5799999999999999E-4</v>
      </c>
      <c r="AZ158" s="27">
        <f t="shared" si="34"/>
        <v>1.5799999999999999E-4</v>
      </c>
    </row>
    <row r="159" spans="1:52" ht="15" customHeight="1" x14ac:dyDescent="0.25">
      <c r="A159" s="13" t="str">
        <f>VLOOKUP(L159,[1]VALIDAÇÃO!$D$13:$E$350,2,0)</f>
        <v>INDIRETO</v>
      </c>
      <c r="B159" s="14" t="str">
        <f t="shared" si="36"/>
        <v>79RESERVA DO PAIVA SPE 01 LTDA.</v>
      </c>
      <c r="C159" s="15">
        <f t="shared" si="35"/>
        <v>79</v>
      </c>
      <c r="D159" s="16" t="str">
        <f t="shared" si="37"/>
        <v>2RESERVA DO PAIVA SPE 01 LTDA.</v>
      </c>
      <c r="E159" s="17">
        <f t="shared" si="28"/>
        <v>2</v>
      </c>
      <c r="F159" s="18" t="str">
        <f t="shared" si="38"/>
        <v>1RESERVA DO PAIVA SPE 01 LTDA.</v>
      </c>
      <c r="G159" s="18">
        <f t="shared" si="29"/>
        <v>1</v>
      </c>
      <c r="H159" s="19" t="str">
        <f t="shared" si="39"/>
        <v>3RESERVA DO PAIVA SPE 01 LTDA.</v>
      </c>
      <c r="I159" s="19">
        <f t="shared" si="30"/>
        <v>3</v>
      </c>
      <c r="J159" s="13" t="s">
        <v>68</v>
      </c>
      <c r="K159" s="13" t="s">
        <v>252</v>
      </c>
      <c r="L159" s="13" t="s">
        <v>162</v>
      </c>
      <c r="M159" s="13" t="s">
        <v>85</v>
      </c>
      <c r="N159" s="20">
        <v>3715.84</v>
      </c>
      <c r="O159" s="20">
        <v>4415.5200000000004</v>
      </c>
      <c r="P159" s="21">
        <v>44733</v>
      </c>
      <c r="Q159" s="22"/>
      <c r="R159" s="23">
        <v>4415.5200000000004</v>
      </c>
      <c r="S159" s="24"/>
      <c r="T159" s="23"/>
      <c r="U159" s="24"/>
      <c r="V159" s="23"/>
      <c r="W159" s="23">
        <v>1.01</v>
      </c>
      <c r="X159" s="24">
        <v>14.14</v>
      </c>
      <c r="Y159" s="23"/>
      <c r="Z159" s="23"/>
      <c r="AA159" s="23"/>
      <c r="AB159" s="23">
        <v>1090.21</v>
      </c>
      <c r="AC159" s="24">
        <v>1995.2042857142856</v>
      </c>
      <c r="AD159" s="23">
        <v>1837.93</v>
      </c>
      <c r="AE159" s="24">
        <v>3199.7785714285715</v>
      </c>
      <c r="AF159" s="23"/>
      <c r="AG159" s="23"/>
      <c r="AH159" s="23"/>
      <c r="AI159" s="24"/>
      <c r="AJ159" s="25"/>
      <c r="AK159" s="23"/>
      <c r="AL159" s="23">
        <v>-86.78</v>
      </c>
      <c r="AM159" s="24">
        <v>242.14</v>
      </c>
      <c r="AN159" s="23"/>
      <c r="AO159" s="24"/>
      <c r="AP159" s="23">
        <v>1226.8</v>
      </c>
      <c r="AQ159" s="24">
        <v>1711.48</v>
      </c>
      <c r="AR159" s="23">
        <v>888.98</v>
      </c>
      <c r="AS159" s="23">
        <v>-1892.36</v>
      </c>
      <c r="AT159" s="23"/>
      <c r="AU159" s="24"/>
      <c r="AW159" s="27">
        <f t="shared" si="31"/>
        <v>1.5899999999999999E-4</v>
      </c>
      <c r="AX159" s="27">
        <f t="shared" si="32"/>
        <v>1837.930159</v>
      </c>
      <c r="AY159" s="27">
        <f t="shared" si="33"/>
        <v>1090.210159</v>
      </c>
      <c r="AZ159" s="27">
        <f t="shared" si="34"/>
        <v>1226.8001589999999</v>
      </c>
    </row>
    <row r="160" spans="1:52" ht="15" customHeight="1" x14ac:dyDescent="0.25">
      <c r="A160" s="13" t="str">
        <f>VLOOKUP(L160,[1]VALIDAÇÃO!$D$13:$E$350,2,0)</f>
        <v>DIRETO</v>
      </c>
      <c r="B160" s="14" t="str">
        <f t="shared" si="36"/>
        <v>3RIO AVE ALAMEDA CENTER CONSTRUCOES SPE LTDA</v>
      </c>
      <c r="C160" s="15">
        <f t="shared" si="35"/>
        <v>3</v>
      </c>
      <c r="D160" s="16" t="str">
        <f t="shared" si="37"/>
        <v>3RIO AVE ALAMEDA CENTER CONSTRUCOES SPE LTDA</v>
      </c>
      <c r="E160" s="17">
        <f t="shared" si="28"/>
        <v>3</v>
      </c>
      <c r="F160" s="18" t="str">
        <f t="shared" si="38"/>
        <v>3RIO AVE ALAMEDA CENTER CONSTRUCOES SPE LTDA</v>
      </c>
      <c r="G160" s="18">
        <f t="shared" si="29"/>
        <v>3</v>
      </c>
      <c r="H160" s="19" t="str">
        <f t="shared" si="39"/>
        <v>3RIO AVE ALAMEDA CENTER CONSTRUCOES SPE LTDA</v>
      </c>
      <c r="I160" s="19">
        <f t="shared" si="30"/>
        <v>3</v>
      </c>
      <c r="J160" s="13" t="s">
        <v>253</v>
      </c>
      <c r="K160" s="13" t="s">
        <v>254</v>
      </c>
      <c r="L160" s="13" t="s">
        <v>63</v>
      </c>
      <c r="M160" s="13" t="s">
        <v>82</v>
      </c>
      <c r="N160" s="20"/>
      <c r="O160" s="20"/>
      <c r="P160" s="21">
        <v>44447</v>
      </c>
      <c r="Q160" s="22"/>
      <c r="R160" s="23"/>
      <c r="S160" s="24"/>
      <c r="T160" s="23"/>
      <c r="U160" s="24"/>
      <c r="V160" s="23"/>
      <c r="W160" s="23"/>
      <c r="X160" s="24"/>
      <c r="Y160" s="23"/>
      <c r="Z160" s="23"/>
      <c r="AA160" s="23"/>
      <c r="AB160" s="23"/>
      <c r="AC160" s="24"/>
      <c r="AD160" s="23"/>
      <c r="AE160" s="24"/>
      <c r="AF160" s="23"/>
      <c r="AG160" s="23"/>
      <c r="AH160" s="23"/>
      <c r="AI160" s="24"/>
      <c r="AJ160" s="25"/>
      <c r="AK160" s="23"/>
      <c r="AL160" s="23"/>
      <c r="AM160" s="24"/>
      <c r="AN160" s="23"/>
      <c r="AO160" s="24"/>
      <c r="AP160" s="23"/>
      <c r="AQ160" s="24"/>
      <c r="AR160" s="23"/>
      <c r="AS160" s="23"/>
      <c r="AT160" s="23"/>
      <c r="AU160" s="24"/>
      <c r="AW160" s="27">
        <f t="shared" si="31"/>
        <v>1.6000000000000001E-4</v>
      </c>
      <c r="AX160" s="27">
        <f t="shared" si="32"/>
        <v>1.6000000000000001E-4</v>
      </c>
      <c r="AY160" s="27">
        <f t="shared" si="33"/>
        <v>1.6000000000000001E-4</v>
      </c>
      <c r="AZ160" s="27">
        <f t="shared" si="34"/>
        <v>1.6000000000000001E-4</v>
      </c>
    </row>
    <row r="161" spans="1:52" ht="15" customHeight="1" x14ac:dyDescent="0.25">
      <c r="A161" s="13" t="str">
        <f>VLOOKUP(L161,[1]VALIDAÇÃO!$D$13:$E$350,2,0)</f>
        <v>DIRETO</v>
      </c>
      <c r="B161" s="14" t="str">
        <f t="shared" si="36"/>
        <v>10RESERVA DO PAIVA SPE 03 LTDA</v>
      </c>
      <c r="C161" s="15">
        <f t="shared" si="35"/>
        <v>10</v>
      </c>
      <c r="D161" s="16" t="str">
        <f t="shared" si="37"/>
        <v>85RESERVA DO PAIVA SPE 03 LTDA</v>
      </c>
      <c r="E161" s="17">
        <f t="shared" si="28"/>
        <v>85</v>
      </c>
      <c r="F161" s="18" t="str">
        <f t="shared" si="38"/>
        <v>122RESERVA DO PAIVA SPE 03 LTDA</v>
      </c>
      <c r="G161" s="18">
        <f t="shared" si="29"/>
        <v>122</v>
      </c>
      <c r="H161" s="19" t="str">
        <f t="shared" si="39"/>
        <v>148RESERVA DO PAIVA SPE 03 LTDA</v>
      </c>
      <c r="I161" s="19">
        <f t="shared" si="30"/>
        <v>148</v>
      </c>
      <c r="J161" s="13" t="s">
        <v>52</v>
      </c>
      <c r="K161" s="13" t="s">
        <v>255</v>
      </c>
      <c r="L161" s="13" t="s">
        <v>66</v>
      </c>
      <c r="M161" s="13" t="s">
        <v>55</v>
      </c>
      <c r="N161" s="20">
        <v>1591.82</v>
      </c>
      <c r="O161" s="20">
        <v>924</v>
      </c>
      <c r="P161" s="21">
        <v>45615</v>
      </c>
      <c r="Q161" s="22"/>
      <c r="R161" s="23">
        <v>924</v>
      </c>
      <c r="S161" s="24"/>
      <c r="T161" s="23">
        <v>1155</v>
      </c>
      <c r="U161" s="24">
        <v>15</v>
      </c>
      <c r="V161" s="23"/>
      <c r="W161" s="23"/>
      <c r="X161" s="24"/>
      <c r="Y161" s="23"/>
      <c r="Z161" s="23"/>
      <c r="AA161" s="23">
        <v>2.7</v>
      </c>
      <c r="AB161" s="23">
        <v>8.31</v>
      </c>
      <c r="AC161" s="24">
        <v>27.92</v>
      </c>
      <c r="AD161" s="23">
        <v>165.64</v>
      </c>
      <c r="AE161" s="24">
        <v>556.78</v>
      </c>
      <c r="AF161" s="23"/>
      <c r="AG161" s="23"/>
      <c r="AH161" s="23">
        <v>13.66</v>
      </c>
      <c r="AI161" s="24">
        <v>0</v>
      </c>
      <c r="AJ161" s="25">
        <v>1235.03</v>
      </c>
      <c r="AK161" s="23">
        <v>241.38</v>
      </c>
      <c r="AL161" s="23"/>
      <c r="AM161" s="24"/>
      <c r="AN161" s="23">
        <v>-77</v>
      </c>
      <c r="AO161" s="24">
        <v>1</v>
      </c>
      <c r="AP161" s="23"/>
      <c r="AQ161" s="24"/>
      <c r="AR161" s="23">
        <v>32.739999999999995</v>
      </c>
      <c r="AS161" s="23">
        <v>-924</v>
      </c>
      <c r="AT161" s="23">
        <v>-77</v>
      </c>
      <c r="AU161" s="24">
        <v>1</v>
      </c>
      <c r="AW161" s="27">
        <f t="shared" si="31"/>
        <v>1235.0301609999999</v>
      </c>
      <c r="AX161" s="27">
        <f t="shared" si="32"/>
        <v>165.64016099999998</v>
      </c>
      <c r="AY161" s="27">
        <f t="shared" si="33"/>
        <v>8.3101610000000008</v>
      </c>
      <c r="AZ161" s="27">
        <f t="shared" si="34"/>
        <v>1.6100000000000001E-4</v>
      </c>
    </row>
    <row r="162" spans="1:52" ht="15" customHeight="1" x14ac:dyDescent="0.25">
      <c r="A162" s="13" t="str">
        <f>VLOOKUP(L162,[1]VALIDAÇÃO!$D$13:$E$350,2,0)</f>
        <v>DIRETO</v>
      </c>
      <c r="B162" s="14" t="str">
        <f t="shared" si="36"/>
        <v>67CONDOMINIO DO EDIFICIO EMPRESARIAL MARIE CURIE</v>
      </c>
      <c r="C162" s="15">
        <f t="shared" si="35"/>
        <v>67</v>
      </c>
      <c r="D162" s="16" t="str">
        <f t="shared" si="37"/>
        <v>18CONDOMINIO DO EDIFICIO EMPRESARIAL MARIE CURIE</v>
      </c>
      <c r="E162" s="17">
        <f t="shared" si="28"/>
        <v>18</v>
      </c>
      <c r="F162" s="18" t="str">
        <f t="shared" si="38"/>
        <v>11CONDOMINIO DO EDIFICIO EMPRESARIAL MARIE CURIE</v>
      </c>
      <c r="G162" s="18">
        <f t="shared" si="29"/>
        <v>11</v>
      </c>
      <c r="H162" s="19" t="str">
        <f t="shared" si="39"/>
        <v>3CONDOMINIO DO EDIFICIO EMPRESARIAL MARIE CURIE</v>
      </c>
      <c r="I162" s="19">
        <f t="shared" si="30"/>
        <v>3</v>
      </c>
      <c r="J162" s="13" t="s">
        <v>57</v>
      </c>
      <c r="K162" s="13" t="s">
        <v>256</v>
      </c>
      <c r="L162" s="13" t="s">
        <v>54</v>
      </c>
      <c r="M162" s="13" t="s">
        <v>60</v>
      </c>
      <c r="N162" s="20">
        <v>1506.19</v>
      </c>
      <c r="O162" s="20">
        <v>1622.13</v>
      </c>
      <c r="P162" s="21">
        <v>45600</v>
      </c>
      <c r="Q162" s="22"/>
      <c r="R162" s="23">
        <v>1622.13</v>
      </c>
      <c r="S162" s="24"/>
      <c r="T162" s="23"/>
      <c r="U162" s="24"/>
      <c r="V162" s="23"/>
      <c r="W162" s="23">
        <v>0.11</v>
      </c>
      <c r="X162" s="24">
        <v>3.69</v>
      </c>
      <c r="Y162" s="23"/>
      <c r="Z162" s="23"/>
      <c r="AA162" s="23">
        <v>7.92</v>
      </c>
      <c r="AB162" s="23">
        <v>290.79999999999995</v>
      </c>
      <c r="AC162" s="24">
        <v>1450.0542857142857</v>
      </c>
      <c r="AD162" s="23">
        <v>313.44</v>
      </c>
      <c r="AE162" s="24">
        <v>1722.5885714285714</v>
      </c>
      <c r="AF162" s="23"/>
      <c r="AG162" s="23"/>
      <c r="AH162" s="23">
        <v>37.019999999999996</v>
      </c>
      <c r="AI162" s="24">
        <v>0</v>
      </c>
      <c r="AJ162" s="25">
        <v>325.76</v>
      </c>
      <c r="AK162" s="23">
        <v>69.31</v>
      </c>
      <c r="AL162" s="23">
        <v>-35.97</v>
      </c>
      <c r="AM162" s="24">
        <v>273.19</v>
      </c>
      <c r="AN162" s="23"/>
      <c r="AO162" s="24"/>
      <c r="AP162" s="23">
        <v>382.84999999999997</v>
      </c>
      <c r="AQ162" s="24">
        <v>1488.0157142857142</v>
      </c>
      <c r="AR162" s="23">
        <v>209.68</v>
      </c>
      <c r="AS162" s="23">
        <v>-695.2</v>
      </c>
      <c r="AT162" s="23"/>
      <c r="AU162" s="24"/>
      <c r="AW162" s="27">
        <f t="shared" si="31"/>
        <v>325.76016199999998</v>
      </c>
      <c r="AX162" s="27">
        <f t="shared" si="32"/>
        <v>313.44016199999999</v>
      </c>
      <c r="AY162" s="27">
        <f t="shared" si="33"/>
        <v>290.80016199999994</v>
      </c>
      <c r="AZ162" s="27">
        <f t="shared" si="34"/>
        <v>382.85016199999995</v>
      </c>
    </row>
    <row r="163" spans="1:52" ht="15" customHeight="1" x14ac:dyDescent="0.25">
      <c r="A163" s="13" t="str">
        <f>VLOOKUP(L163,[1]VALIDAÇÃO!$D$13:$E$350,2,0)</f>
        <v>DIRETO</v>
      </c>
      <c r="B163" s="14" t="str">
        <f t="shared" si="36"/>
        <v>4RIO AVE EQUIPAMENTOS LTDA.</v>
      </c>
      <c r="C163" s="15">
        <f t="shared" si="35"/>
        <v>4</v>
      </c>
      <c r="D163" s="16" t="str">
        <f t="shared" si="37"/>
        <v>5RIO AVE EQUIPAMENTOS LTDA.</v>
      </c>
      <c r="E163" s="17">
        <f t="shared" si="28"/>
        <v>5</v>
      </c>
      <c r="F163" s="18" t="str">
        <f t="shared" si="38"/>
        <v>6RIO AVE EQUIPAMENTOS LTDA.</v>
      </c>
      <c r="G163" s="18">
        <f t="shared" si="29"/>
        <v>6</v>
      </c>
      <c r="H163" s="19" t="str">
        <f t="shared" si="39"/>
        <v>5RIO AVE EQUIPAMENTOS LTDA.</v>
      </c>
      <c r="I163" s="19">
        <f t="shared" si="30"/>
        <v>5</v>
      </c>
      <c r="J163" s="13" t="s">
        <v>190</v>
      </c>
      <c r="K163" s="13" t="s">
        <v>257</v>
      </c>
      <c r="L163" s="13" t="s">
        <v>258</v>
      </c>
      <c r="M163" s="13" t="s">
        <v>85</v>
      </c>
      <c r="N163" s="20">
        <v>907.32</v>
      </c>
      <c r="O163" s="20">
        <v>2079</v>
      </c>
      <c r="P163" s="21">
        <v>45712</v>
      </c>
      <c r="Q163" s="22"/>
      <c r="R163" s="23">
        <v>2079</v>
      </c>
      <c r="S163" s="24"/>
      <c r="T163" s="23"/>
      <c r="U163" s="24"/>
      <c r="V163" s="23"/>
      <c r="W163" s="23"/>
      <c r="X163" s="24"/>
      <c r="Y163" s="23"/>
      <c r="Z163" s="23"/>
      <c r="AA163" s="23">
        <v>0.02</v>
      </c>
      <c r="AB163" s="23"/>
      <c r="AC163" s="24"/>
      <c r="AD163" s="23">
        <v>5.0699999999999994</v>
      </c>
      <c r="AE163" s="24">
        <v>21.857142857142854</v>
      </c>
      <c r="AF163" s="23"/>
      <c r="AG163" s="23"/>
      <c r="AH163" s="23">
        <v>0.08</v>
      </c>
      <c r="AI163" s="24">
        <v>0</v>
      </c>
      <c r="AJ163" s="25">
        <v>164.95</v>
      </c>
      <c r="AK163" s="23">
        <v>35.909999999999997</v>
      </c>
      <c r="AL163" s="23">
        <v>-15.75</v>
      </c>
      <c r="AM163" s="24">
        <v>90</v>
      </c>
      <c r="AN163" s="23"/>
      <c r="AO163" s="24"/>
      <c r="AP163" s="23"/>
      <c r="AQ163" s="24"/>
      <c r="AR163" s="23">
        <v>1.1200000000000001</v>
      </c>
      <c r="AS163" s="23">
        <v>-924</v>
      </c>
      <c r="AT163" s="23"/>
      <c r="AU163" s="24"/>
      <c r="AW163" s="27">
        <f t="shared" si="31"/>
        <v>164.95016299999997</v>
      </c>
      <c r="AX163" s="27">
        <f t="shared" si="32"/>
        <v>5.0701629999999991</v>
      </c>
      <c r="AY163" s="27">
        <f t="shared" si="33"/>
        <v>1.63E-4</v>
      </c>
      <c r="AZ163" s="27">
        <f t="shared" si="34"/>
        <v>1.63E-4</v>
      </c>
    </row>
    <row r="164" spans="1:52" ht="15" customHeight="1" x14ac:dyDescent="0.25">
      <c r="A164" s="13" t="str">
        <f>VLOOKUP(L164,[1]VALIDAÇÃO!$D$13:$E$350,2,0)</f>
        <v>DIRETO</v>
      </c>
      <c r="B164" s="14" t="str">
        <f t="shared" si="36"/>
        <v>18RESERVA DO PAIVA SPE 03 LTDA</v>
      </c>
      <c r="C164" s="15">
        <f t="shared" si="35"/>
        <v>18</v>
      </c>
      <c r="D164" s="16" t="str">
        <f t="shared" si="37"/>
        <v>90RESERVA DO PAIVA SPE 03 LTDA</v>
      </c>
      <c r="E164" s="17">
        <f t="shared" si="28"/>
        <v>90</v>
      </c>
      <c r="F164" s="18" t="str">
        <f t="shared" si="38"/>
        <v>124RESERVA DO PAIVA SPE 03 LTDA</v>
      </c>
      <c r="G164" s="18">
        <f t="shared" si="29"/>
        <v>124</v>
      </c>
      <c r="H164" s="19" t="str">
        <f t="shared" si="39"/>
        <v>147RESERVA DO PAIVA SPE 03 LTDA</v>
      </c>
      <c r="I164" s="19">
        <f t="shared" si="30"/>
        <v>147</v>
      </c>
      <c r="J164" s="13" t="s">
        <v>52</v>
      </c>
      <c r="K164" s="13" t="s">
        <v>259</v>
      </c>
      <c r="L164" s="13" t="s">
        <v>54</v>
      </c>
      <c r="M164" s="13" t="s">
        <v>55</v>
      </c>
      <c r="N164" s="20">
        <v>1235.1600000000001</v>
      </c>
      <c r="O164" s="20">
        <v>1622.13</v>
      </c>
      <c r="P164" s="21">
        <v>45581</v>
      </c>
      <c r="Q164" s="22"/>
      <c r="R164" s="23">
        <v>1622.13</v>
      </c>
      <c r="S164" s="24"/>
      <c r="T164" s="23"/>
      <c r="U164" s="24"/>
      <c r="V164" s="23"/>
      <c r="W164" s="23"/>
      <c r="X164" s="24"/>
      <c r="Y164" s="23"/>
      <c r="Z164" s="23"/>
      <c r="AA164" s="23">
        <v>2.94</v>
      </c>
      <c r="AB164" s="23">
        <v>0.92</v>
      </c>
      <c r="AC164" s="24">
        <v>17.541428571428572</v>
      </c>
      <c r="AD164" s="23">
        <v>155.62</v>
      </c>
      <c r="AE164" s="24">
        <v>748.16571428571422</v>
      </c>
      <c r="AF164" s="23"/>
      <c r="AG164" s="23"/>
      <c r="AH164" s="23">
        <v>13.45</v>
      </c>
      <c r="AI164" s="24">
        <v>0</v>
      </c>
      <c r="AJ164" s="25">
        <v>760.09</v>
      </c>
      <c r="AK164" s="23">
        <v>166.69</v>
      </c>
      <c r="AL164" s="23">
        <v>-19.64</v>
      </c>
      <c r="AM164" s="24">
        <v>149.16999999999999</v>
      </c>
      <c r="AN164" s="23"/>
      <c r="AO164" s="24"/>
      <c r="AP164" s="23"/>
      <c r="AQ164" s="24"/>
      <c r="AR164" s="23">
        <v>34</v>
      </c>
      <c r="AS164" s="23">
        <v>-695.2</v>
      </c>
      <c r="AT164" s="23"/>
      <c r="AU164" s="24"/>
      <c r="AW164" s="27">
        <f t="shared" si="31"/>
        <v>760.09016400000007</v>
      </c>
      <c r="AX164" s="27">
        <f t="shared" si="32"/>
        <v>155.62016400000002</v>
      </c>
      <c r="AY164" s="27">
        <f t="shared" si="33"/>
        <v>0.92016400000000009</v>
      </c>
      <c r="AZ164" s="27">
        <f t="shared" si="34"/>
        <v>1.64E-4</v>
      </c>
    </row>
    <row r="165" spans="1:52" ht="15" customHeight="1" x14ac:dyDescent="0.25">
      <c r="A165" s="13" t="str">
        <f>VLOOKUP(L165,[1]VALIDAÇÃO!$D$13:$E$350,2,0)</f>
        <v>INDIRETO</v>
      </c>
      <c r="B165" s="14" t="str">
        <f t="shared" si="36"/>
        <v>51RIO AVE 200 SPE LTDA.</v>
      </c>
      <c r="C165" s="15">
        <f t="shared" si="35"/>
        <v>51</v>
      </c>
      <c r="D165" s="16" t="str">
        <f t="shared" si="37"/>
        <v>12RIO AVE 200 SPE LTDA.</v>
      </c>
      <c r="E165" s="17">
        <f t="shared" si="28"/>
        <v>12</v>
      </c>
      <c r="F165" s="18" t="str">
        <f t="shared" si="38"/>
        <v>10RIO AVE 200 SPE LTDA.</v>
      </c>
      <c r="G165" s="18">
        <f t="shared" si="29"/>
        <v>10</v>
      </c>
      <c r="H165" s="19" t="str">
        <f t="shared" si="39"/>
        <v>12RIO AVE 200 SPE LTDA.</v>
      </c>
      <c r="I165" s="19">
        <f t="shared" si="30"/>
        <v>12</v>
      </c>
      <c r="J165" s="13" t="s">
        <v>48</v>
      </c>
      <c r="K165" s="13" t="s">
        <v>260</v>
      </c>
      <c r="L165" s="13" t="s">
        <v>84</v>
      </c>
      <c r="M165" s="13" t="s">
        <v>51</v>
      </c>
      <c r="N165" s="20">
        <v>1302.47</v>
      </c>
      <c r="O165" s="20">
        <v>2747.44</v>
      </c>
      <c r="P165" s="21">
        <v>45811</v>
      </c>
      <c r="Q165" s="22"/>
      <c r="R165" s="23">
        <v>2747.44</v>
      </c>
      <c r="S165" s="24"/>
      <c r="T165" s="23"/>
      <c r="U165" s="24"/>
      <c r="V165" s="23"/>
      <c r="W165" s="23">
        <v>0.03</v>
      </c>
      <c r="X165" s="24">
        <v>1.33</v>
      </c>
      <c r="Y165" s="23"/>
      <c r="Z165" s="23"/>
      <c r="AA165" s="23">
        <v>2.0499999999999998</v>
      </c>
      <c r="AB165" s="23">
        <v>155.51999999999998</v>
      </c>
      <c r="AC165" s="24">
        <v>857.61428571428576</v>
      </c>
      <c r="AD165" s="23">
        <v>272.36</v>
      </c>
      <c r="AE165" s="24">
        <v>1441.8999999999999</v>
      </c>
      <c r="AF165" s="23"/>
      <c r="AG165" s="23"/>
      <c r="AH165" s="23">
        <v>10.42</v>
      </c>
      <c r="AI165" s="24">
        <v>0</v>
      </c>
      <c r="AJ165" s="25">
        <v>174.72</v>
      </c>
      <c r="AK165" s="23">
        <v>35.909999999999997</v>
      </c>
      <c r="AL165" s="23"/>
      <c r="AM165" s="24"/>
      <c r="AN165" s="23"/>
      <c r="AO165" s="24"/>
      <c r="AP165" s="23">
        <v>24.38</v>
      </c>
      <c r="AQ165" s="24">
        <v>114.28571428571428</v>
      </c>
      <c r="AR165" s="23">
        <v>82.17</v>
      </c>
      <c r="AS165" s="23">
        <v>-1177.48</v>
      </c>
      <c r="AT165" s="23"/>
      <c r="AU165" s="24"/>
      <c r="AW165" s="27">
        <f t="shared" si="31"/>
        <v>174.72016500000001</v>
      </c>
      <c r="AX165" s="27">
        <f t="shared" si="32"/>
        <v>272.36016499999999</v>
      </c>
      <c r="AY165" s="27">
        <f t="shared" si="33"/>
        <v>155.52016499999999</v>
      </c>
      <c r="AZ165" s="27">
        <f t="shared" si="34"/>
        <v>24.380164999999998</v>
      </c>
    </row>
    <row r="166" spans="1:52" ht="15" customHeight="1" x14ac:dyDescent="0.25">
      <c r="A166" s="13" t="str">
        <f>VLOOKUP(L166,[1]VALIDAÇÃO!$D$13:$E$350,2,0)</f>
        <v>DIRETO</v>
      </c>
      <c r="B166" s="14" t="str">
        <f t="shared" si="36"/>
        <v>12CONDOMINIO DO EDIFICIO EMPRESARIAL MARIE CURIE</v>
      </c>
      <c r="C166" s="15">
        <f t="shared" si="35"/>
        <v>12</v>
      </c>
      <c r="D166" s="16" t="str">
        <f t="shared" si="37"/>
        <v>103CONDOMINIO DO EDIFICIO EMPRESARIAL MARIE CURIE</v>
      </c>
      <c r="E166" s="17">
        <f t="shared" si="28"/>
        <v>103</v>
      </c>
      <c r="F166" s="18" t="str">
        <f t="shared" si="38"/>
        <v>119CONDOMINIO DO EDIFICIO EMPRESARIAL MARIE CURIE</v>
      </c>
      <c r="G166" s="18">
        <f t="shared" si="29"/>
        <v>119</v>
      </c>
      <c r="H166" s="19" t="str">
        <f t="shared" si="39"/>
        <v>108CONDOMINIO DO EDIFICIO EMPRESARIAL MARIE CURIE</v>
      </c>
      <c r="I166" s="19">
        <f t="shared" si="30"/>
        <v>108</v>
      </c>
      <c r="J166" s="13" t="s">
        <v>57</v>
      </c>
      <c r="K166" s="13" t="s">
        <v>261</v>
      </c>
      <c r="L166" s="13" t="s">
        <v>66</v>
      </c>
      <c r="M166" s="13" t="s">
        <v>60</v>
      </c>
      <c r="N166" s="20">
        <v>1760.94</v>
      </c>
      <c r="O166" s="20">
        <v>2156</v>
      </c>
      <c r="P166" s="21">
        <v>45839</v>
      </c>
      <c r="Q166" s="22"/>
      <c r="R166" s="23">
        <v>2156</v>
      </c>
      <c r="S166" s="24"/>
      <c r="T166" s="23"/>
      <c r="U166" s="24"/>
      <c r="V166" s="23"/>
      <c r="W166" s="23"/>
      <c r="X166" s="24"/>
      <c r="Y166" s="23"/>
      <c r="Z166" s="23"/>
      <c r="AA166" s="23">
        <v>0.61</v>
      </c>
      <c r="AB166" s="23"/>
      <c r="AC166" s="24"/>
      <c r="AD166" s="23">
        <v>19.5</v>
      </c>
      <c r="AE166" s="24">
        <v>105.12857142857142</v>
      </c>
      <c r="AF166" s="23"/>
      <c r="AG166" s="23"/>
      <c r="AH166" s="23">
        <v>2.8200000000000003</v>
      </c>
      <c r="AI166" s="24">
        <v>0</v>
      </c>
      <c r="AJ166" s="25">
        <v>1273.02</v>
      </c>
      <c r="AK166" s="23">
        <v>271.53999999999996</v>
      </c>
      <c r="AL166" s="23">
        <v>-6.98</v>
      </c>
      <c r="AM166" s="24">
        <v>39.9</v>
      </c>
      <c r="AN166" s="23"/>
      <c r="AO166" s="24"/>
      <c r="AP166" s="23"/>
      <c r="AQ166" s="24"/>
      <c r="AR166" s="23">
        <v>4.3</v>
      </c>
      <c r="AS166" s="23">
        <v>-924</v>
      </c>
      <c r="AT166" s="23"/>
      <c r="AU166" s="24"/>
      <c r="AW166" s="27">
        <f t="shared" si="31"/>
        <v>1273.020166</v>
      </c>
      <c r="AX166" s="27">
        <f t="shared" si="32"/>
        <v>19.500166</v>
      </c>
      <c r="AY166" s="27">
        <f t="shared" si="33"/>
        <v>1.66E-4</v>
      </c>
      <c r="AZ166" s="27">
        <f t="shared" si="34"/>
        <v>1.66E-4</v>
      </c>
    </row>
    <row r="167" spans="1:52" ht="15" customHeight="1" x14ac:dyDescent="0.25">
      <c r="A167" s="13" t="str">
        <f>VLOOKUP(L167,[1]VALIDAÇÃO!$D$13:$E$350,2,0)</f>
        <v>DIRETO</v>
      </c>
      <c r="B167" s="14" t="str">
        <f t="shared" si="36"/>
        <v>66RESERVA DO PAIVA SPE 01 LTDA.</v>
      </c>
      <c r="C167" s="15">
        <f t="shared" si="35"/>
        <v>66</v>
      </c>
      <c r="D167" s="16" t="str">
        <f t="shared" si="37"/>
        <v>53RESERVA DO PAIVA SPE 01 LTDA.</v>
      </c>
      <c r="E167" s="17">
        <f t="shared" si="28"/>
        <v>53</v>
      </c>
      <c r="F167" s="18" t="str">
        <f t="shared" si="38"/>
        <v>73RESERVA DO PAIVA SPE 01 LTDA.</v>
      </c>
      <c r="G167" s="18">
        <f t="shared" si="29"/>
        <v>73</v>
      </c>
      <c r="H167" s="19" t="str">
        <f t="shared" si="39"/>
        <v>40RESERVA DO PAIVA SPE 01 LTDA.</v>
      </c>
      <c r="I167" s="19">
        <f t="shared" si="30"/>
        <v>40</v>
      </c>
      <c r="J167" s="13" t="s">
        <v>68</v>
      </c>
      <c r="K167" s="13" t="s">
        <v>262</v>
      </c>
      <c r="L167" s="13" t="s">
        <v>54</v>
      </c>
      <c r="M167" s="13" t="s">
        <v>55</v>
      </c>
      <c r="N167" s="20">
        <v>1155.95</v>
      </c>
      <c r="O167" s="20">
        <v>1622.13</v>
      </c>
      <c r="P167" s="21">
        <v>45887</v>
      </c>
      <c r="Q167" s="22"/>
      <c r="R167" s="23">
        <v>1622.13</v>
      </c>
      <c r="S167" s="24"/>
      <c r="T167" s="23"/>
      <c r="U167" s="24"/>
      <c r="V167" s="23"/>
      <c r="W167" s="23"/>
      <c r="X167" s="24"/>
      <c r="Y167" s="23"/>
      <c r="Z167" s="23"/>
      <c r="AA167" s="23">
        <v>6.3699999999999992</v>
      </c>
      <c r="AB167" s="23">
        <v>35.090000000000003</v>
      </c>
      <c r="AC167" s="24">
        <v>516.78571428571422</v>
      </c>
      <c r="AD167" s="23">
        <v>125.50999999999999</v>
      </c>
      <c r="AE167" s="24">
        <v>1572.8571428571429</v>
      </c>
      <c r="AF167" s="23"/>
      <c r="AG167" s="23"/>
      <c r="AH167" s="23">
        <v>27.25</v>
      </c>
      <c r="AI167" s="24">
        <v>0</v>
      </c>
      <c r="AJ167" s="25">
        <v>373.67</v>
      </c>
      <c r="AK167" s="23">
        <v>83.46</v>
      </c>
      <c r="AL167" s="23">
        <v>-37.659999999999997</v>
      </c>
      <c r="AM167" s="24">
        <v>286</v>
      </c>
      <c r="AN167" s="23">
        <v>-57.93</v>
      </c>
      <c r="AO167" s="24">
        <v>1</v>
      </c>
      <c r="AP167" s="23">
        <v>304.66000000000003</v>
      </c>
      <c r="AQ167" s="24">
        <v>1581.6428571428571</v>
      </c>
      <c r="AR167" s="23">
        <v>107.22</v>
      </c>
      <c r="AS167" s="23">
        <v>-695.2</v>
      </c>
      <c r="AT167" s="23">
        <v>-57.93</v>
      </c>
      <c r="AU167" s="24">
        <v>1</v>
      </c>
      <c r="AW167" s="27">
        <f t="shared" si="31"/>
        <v>373.67016699999999</v>
      </c>
      <c r="AX167" s="27">
        <f t="shared" si="32"/>
        <v>125.510167</v>
      </c>
      <c r="AY167" s="27">
        <f t="shared" si="33"/>
        <v>35.090167000000001</v>
      </c>
      <c r="AZ167" s="27">
        <f t="shared" si="34"/>
        <v>304.660167</v>
      </c>
    </row>
    <row r="168" spans="1:52" ht="15" customHeight="1" x14ac:dyDescent="0.25">
      <c r="A168" s="13" t="str">
        <f>VLOOKUP(L168,[1]VALIDAÇÃO!$D$13:$E$350,2,0)</f>
        <v>DIRETO</v>
      </c>
      <c r="B168" s="14" t="str">
        <f t="shared" si="36"/>
        <v>88RIO AVE CARNEIROS 01 SPE LTDA.</v>
      </c>
      <c r="C168" s="15">
        <f t="shared" si="35"/>
        <v>88</v>
      </c>
      <c r="D168" s="16" t="str">
        <f t="shared" si="37"/>
        <v>32RIO AVE CARNEIROS 01 SPE LTDA.</v>
      </c>
      <c r="E168" s="17">
        <f t="shared" si="28"/>
        <v>32</v>
      </c>
      <c r="F168" s="18" t="str">
        <f t="shared" si="38"/>
        <v>21RIO AVE CARNEIROS 01 SPE LTDA.</v>
      </c>
      <c r="G168" s="18">
        <f t="shared" si="29"/>
        <v>21</v>
      </c>
      <c r="H168" s="19" t="str">
        <f t="shared" si="39"/>
        <v>15RIO AVE CARNEIROS 01 SPE LTDA.</v>
      </c>
      <c r="I168" s="19">
        <f t="shared" si="30"/>
        <v>15</v>
      </c>
      <c r="J168" s="13" t="s">
        <v>61</v>
      </c>
      <c r="K168" s="13" t="s">
        <v>263</v>
      </c>
      <c r="L168" s="13" t="s">
        <v>54</v>
      </c>
      <c r="M168" s="13" t="s">
        <v>55</v>
      </c>
      <c r="N168" s="20">
        <v>1226.51</v>
      </c>
      <c r="O168" s="20">
        <v>1622.13</v>
      </c>
      <c r="P168" s="21">
        <v>45875</v>
      </c>
      <c r="Q168" s="22"/>
      <c r="R168" s="23">
        <v>1622.13</v>
      </c>
      <c r="S168" s="24"/>
      <c r="T168" s="23"/>
      <c r="U168" s="24"/>
      <c r="V168" s="23"/>
      <c r="W168" s="23"/>
      <c r="X168" s="24"/>
      <c r="Y168" s="23"/>
      <c r="Z168" s="23"/>
      <c r="AA168" s="23">
        <v>5.27</v>
      </c>
      <c r="AB168" s="23">
        <v>184.45999999999998</v>
      </c>
      <c r="AC168" s="24">
        <v>1491.3571428571429</v>
      </c>
      <c r="AD168" s="23">
        <v>275.08</v>
      </c>
      <c r="AE168" s="24">
        <v>2326.6428571428569</v>
      </c>
      <c r="AF168" s="23"/>
      <c r="AG168" s="23"/>
      <c r="AH168" s="23">
        <v>23.450000000000003</v>
      </c>
      <c r="AI168" s="24">
        <v>0</v>
      </c>
      <c r="AJ168" s="25">
        <v>281.59000000000003</v>
      </c>
      <c r="AK168" s="23">
        <v>62.43</v>
      </c>
      <c r="AL168" s="23"/>
      <c r="AM168" s="24"/>
      <c r="AN168" s="23"/>
      <c r="AO168" s="24"/>
      <c r="AP168" s="23">
        <v>66.19</v>
      </c>
      <c r="AQ168" s="24">
        <v>695</v>
      </c>
      <c r="AR168" s="23">
        <v>113.71000000000001</v>
      </c>
      <c r="AS168" s="23">
        <v>-695.2</v>
      </c>
      <c r="AT168" s="23"/>
      <c r="AU168" s="24"/>
      <c r="AW168" s="27">
        <f t="shared" si="31"/>
        <v>281.59016800000001</v>
      </c>
      <c r="AX168" s="27">
        <f t="shared" si="32"/>
        <v>275.08016799999996</v>
      </c>
      <c r="AY168" s="27">
        <f t="shared" si="33"/>
        <v>184.46016799999998</v>
      </c>
      <c r="AZ168" s="27">
        <f t="shared" si="34"/>
        <v>66.190168</v>
      </c>
    </row>
    <row r="169" spans="1:52" ht="15" customHeight="1" x14ac:dyDescent="0.25">
      <c r="A169" s="13" t="str">
        <f>VLOOKUP(L169,[1]VALIDAÇÃO!$D$13:$E$350,2,0)</f>
        <v>DIRETO</v>
      </c>
      <c r="B169" s="14" t="str">
        <f t="shared" si="36"/>
        <v>19CONDOMINIO DO EDIFICIO EMPRESARIAL MARIE CURIE</v>
      </c>
      <c r="C169" s="15">
        <f t="shared" si="35"/>
        <v>19</v>
      </c>
      <c r="D169" s="16" t="str">
        <f t="shared" si="37"/>
        <v>57CONDOMINIO DO EDIFICIO EMPRESARIAL MARIE CURIE</v>
      </c>
      <c r="E169" s="17">
        <f t="shared" si="28"/>
        <v>57</v>
      </c>
      <c r="F169" s="18" t="str">
        <f t="shared" si="38"/>
        <v>63CONDOMINIO DO EDIFICIO EMPRESARIAL MARIE CURIE</v>
      </c>
      <c r="G169" s="18">
        <f t="shared" si="29"/>
        <v>63</v>
      </c>
      <c r="H169" s="19" t="str">
        <f t="shared" si="39"/>
        <v>107CONDOMINIO DO EDIFICIO EMPRESARIAL MARIE CURIE</v>
      </c>
      <c r="I169" s="19">
        <f t="shared" si="30"/>
        <v>107</v>
      </c>
      <c r="J169" s="13" t="s">
        <v>57</v>
      </c>
      <c r="K169" s="13" t="s">
        <v>264</v>
      </c>
      <c r="L169" s="13" t="s">
        <v>59</v>
      </c>
      <c r="M169" s="13" t="s">
        <v>60</v>
      </c>
      <c r="N169" s="20">
        <v>1412.68</v>
      </c>
      <c r="O169" s="20">
        <v>2156</v>
      </c>
      <c r="P169" s="21">
        <v>45489</v>
      </c>
      <c r="Q169" s="22"/>
      <c r="R169" s="23">
        <v>2156</v>
      </c>
      <c r="S169" s="24"/>
      <c r="T169" s="23"/>
      <c r="U169" s="24"/>
      <c r="V169" s="23"/>
      <c r="W169" s="23"/>
      <c r="X169" s="24"/>
      <c r="Y169" s="23"/>
      <c r="Z169" s="23"/>
      <c r="AA169" s="23">
        <v>2.27</v>
      </c>
      <c r="AB169" s="23">
        <v>43.620000000000005</v>
      </c>
      <c r="AC169" s="24">
        <v>215.93857142857144</v>
      </c>
      <c r="AD169" s="23">
        <v>127.5</v>
      </c>
      <c r="AE169" s="24">
        <v>530.02428571428572</v>
      </c>
      <c r="AF169" s="23"/>
      <c r="AG169" s="23"/>
      <c r="AH169" s="23">
        <v>11.600000000000001</v>
      </c>
      <c r="AI169" s="24">
        <v>0</v>
      </c>
      <c r="AJ169" s="25">
        <v>956.74</v>
      </c>
      <c r="AK169" s="23">
        <v>203.69</v>
      </c>
      <c r="AL169" s="23"/>
      <c r="AM169" s="24"/>
      <c r="AN169" s="23"/>
      <c r="AO169" s="24"/>
      <c r="AP169" s="23"/>
      <c r="AQ169" s="24"/>
      <c r="AR169" s="23">
        <v>31.99</v>
      </c>
      <c r="AS169" s="23">
        <v>-924</v>
      </c>
      <c r="AT169" s="23"/>
      <c r="AU169" s="24"/>
      <c r="AW169" s="27">
        <f t="shared" si="31"/>
        <v>956.74016900000004</v>
      </c>
      <c r="AX169" s="27">
        <f t="shared" si="32"/>
        <v>127.500169</v>
      </c>
      <c r="AY169" s="27">
        <f t="shared" si="33"/>
        <v>43.620169000000004</v>
      </c>
      <c r="AZ169" s="27">
        <f t="shared" si="34"/>
        <v>1.6899999999999999E-4</v>
      </c>
    </row>
    <row r="170" spans="1:52" ht="15" customHeight="1" x14ac:dyDescent="0.25">
      <c r="A170" s="13" t="str">
        <f>VLOOKUP(L170,[1]VALIDAÇÃO!$D$13:$E$350,2,0)</f>
        <v>DIRETO</v>
      </c>
      <c r="B170" s="14" t="str">
        <f t="shared" si="36"/>
        <v>159RESERVA DO PAIVA SPE 03 LTDA</v>
      </c>
      <c r="C170" s="15">
        <f t="shared" si="35"/>
        <v>159</v>
      </c>
      <c r="D170" s="16" t="str">
        <f t="shared" si="37"/>
        <v>162RESERVA DO PAIVA SPE 03 LTDA</v>
      </c>
      <c r="E170" s="17">
        <f t="shared" si="28"/>
        <v>162</v>
      </c>
      <c r="F170" s="18" t="str">
        <f t="shared" si="38"/>
        <v>158RESERVA DO PAIVA SPE 03 LTDA</v>
      </c>
      <c r="G170" s="18">
        <f t="shared" si="29"/>
        <v>158</v>
      </c>
      <c r="H170" s="19" t="str">
        <f t="shared" si="39"/>
        <v>146RESERVA DO PAIVA SPE 03 LTDA</v>
      </c>
      <c r="I170" s="19">
        <f t="shared" si="30"/>
        <v>146</v>
      </c>
      <c r="J170" s="13" t="s">
        <v>52</v>
      </c>
      <c r="K170" s="13" t="s">
        <v>265</v>
      </c>
      <c r="L170" s="13" t="s">
        <v>54</v>
      </c>
      <c r="M170" s="13" t="s">
        <v>55</v>
      </c>
      <c r="N170" s="20"/>
      <c r="O170" s="20"/>
      <c r="P170" s="21">
        <v>45509</v>
      </c>
      <c r="Q170" s="22"/>
      <c r="R170" s="23"/>
      <c r="S170" s="24"/>
      <c r="T170" s="23"/>
      <c r="U170" s="24"/>
      <c r="V170" s="23"/>
      <c r="W170" s="23"/>
      <c r="X170" s="24"/>
      <c r="Y170" s="23"/>
      <c r="Z170" s="23"/>
      <c r="AA170" s="23"/>
      <c r="AB170" s="23"/>
      <c r="AC170" s="24"/>
      <c r="AD170" s="23"/>
      <c r="AE170" s="24"/>
      <c r="AF170" s="23"/>
      <c r="AG170" s="23"/>
      <c r="AH170" s="23"/>
      <c r="AI170" s="24"/>
      <c r="AJ170" s="25"/>
      <c r="AK170" s="23"/>
      <c r="AL170" s="23"/>
      <c r="AM170" s="24"/>
      <c r="AN170" s="23"/>
      <c r="AO170" s="24"/>
      <c r="AP170" s="23"/>
      <c r="AQ170" s="24"/>
      <c r="AR170" s="23"/>
      <c r="AS170" s="23"/>
      <c r="AT170" s="23"/>
      <c r="AU170" s="24"/>
      <c r="AW170" s="27">
        <f t="shared" si="31"/>
        <v>1.7000000000000001E-4</v>
      </c>
      <c r="AX170" s="27">
        <f t="shared" si="32"/>
        <v>1.7000000000000001E-4</v>
      </c>
      <c r="AY170" s="27">
        <f t="shared" si="33"/>
        <v>1.7000000000000001E-4</v>
      </c>
      <c r="AZ170" s="27">
        <f t="shared" si="34"/>
        <v>1.7000000000000001E-4</v>
      </c>
    </row>
    <row r="171" spans="1:52" ht="15" customHeight="1" x14ac:dyDescent="0.25">
      <c r="A171" s="13" t="str">
        <f>VLOOKUP(L171,[1]VALIDAÇÃO!$D$13:$E$350,2,0)</f>
        <v>DIRETO</v>
      </c>
      <c r="B171" s="14" t="str">
        <f t="shared" si="36"/>
        <v>62CONDOMINIO DO EDIFICIO EMPRESARIAL MARIE CURIE</v>
      </c>
      <c r="C171" s="15">
        <f t="shared" si="35"/>
        <v>62</v>
      </c>
      <c r="D171" s="16" t="str">
        <f t="shared" si="37"/>
        <v>47CONDOMINIO DO EDIFICIO EMPRESARIAL MARIE CURIE</v>
      </c>
      <c r="E171" s="17">
        <f t="shared" si="28"/>
        <v>47</v>
      </c>
      <c r="F171" s="18" t="str">
        <f t="shared" si="38"/>
        <v>30CONDOMINIO DO EDIFICIO EMPRESARIAL MARIE CURIE</v>
      </c>
      <c r="G171" s="18">
        <f t="shared" si="29"/>
        <v>30</v>
      </c>
      <c r="H171" s="19" t="str">
        <f t="shared" si="39"/>
        <v>34CONDOMINIO DO EDIFICIO EMPRESARIAL MARIE CURIE</v>
      </c>
      <c r="I171" s="19">
        <f t="shared" si="30"/>
        <v>34</v>
      </c>
      <c r="J171" s="13" t="s">
        <v>57</v>
      </c>
      <c r="K171" s="13" t="s">
        <v>266</v>
      </c>
      <c r="L171" s="13" t="s">
        <v>54</v>
      </c>
      <c r="M171" s="13" t="s">
        <v>60</v>
      </c>
      <c r="N171" s="20">
        <v>1132.81</v>
      </c>
      <c r="O171" s="20">
        <v>1622.13</v>
      </c>
      <c r="P171" s="21">
        <v>45705</v>
      </c>
      <c r="Q171" s="22"/>
      <c r="R171" s="23">
        <v>1622.13</v>
      </c>
      <c r="S171" s="24"/>
      <c r="T171" s="23"/>
      <c r="U171" s="24"/>
      <c r="V171" s="23"/>
      <c r="W171" s="23"/>
      <c r="X171" s="24"/>
      <c r="Y171" s="23"/>
      <c r="Z171" s="23"/>
      <c r="AA171" s="23">
        <v>3.55</v>
      </c>
      <c r="AB171" s="23">
        <v>140.62</v>
      </c>
      <c r="AC171" s="24">
        <v>770.47571428571428</v>
      </c>
      <c r="AD171" s="23">
        <v>180.34</v>
      </c>
      <c r="AE171" s="24">
        <v>1106.232857142857</v>
      </c>
      <c r="AF171" s="23"/>
      <c r="AG171" s="23"/>
      <c r="AH171" s="23">
        <v>15.729999999999999</v>
      </c>
      <c r="AI171" s="24">
        <v>0</v>
      </c>
      <c r="AJ171" s="25">
        <v>415.47</v>
      </c>
      <c r="AK171" s="23">
        <v>92.679999999999993</v>
      </c>
      <c r="AL171" s="23"/>
      <c r="AM171" s="24"/>
      <c r="AN171" s="23"/>
      <c r="AO171" s="24"/>
      <c r="AP171" s="23">
        <v>8.879999999999999</v>
      </c>
      <c r="AQ171" s="24">
        <v>51.599999999999994</v>
      </c>
      <c r="AR171" s="23">
        <v>70.03</v>
      </c>
      <c r="AS171" s="23">
        <v>-695.2</v>
      </c>
      <c r="AT171" s="23"/>
      <c r="AU171" s="24"/>
      <c r="AW171" s="27">
        <f t="shared" si="31"/>
        <v>415.47017100000005</v>
      </c>
      <c r="AX171" s="27">
        <f t="shared" si="32"/>
        <v>180.340171</v>
      </c>
      <c r="AY171" s="27">
        <f t="shared" si="33"/>
        <v>140.620171</v>
      </c>
      <c r="AZ171" s="27">
        <f t="shared" si="34"/>
        <v>8.8801709999999989</v>
      </c>
    </row>
    <row r="172" spans="1:52" ht="15" customHeight="1" x14ac:dyDescent="0.25">
      <c r="A172" s="13" t="str">
        <f>VLOOKUP(L172,[1]VALIDAÇÃO!$D$13:$E$350,2,0)</f>
        <v>DIRETO</v>
      </c>
      <c r="B172" s="14" t="str">
        <f t="shared" si="36"/>
        <v>72CONDOMINIO DO EDIFICIO EMPRESARIAL MARIE CURIE</v>
      </c>
      <c r="C172" s="15">
        <f t="shared" si="35"/>
        <v>72</v>
      </c>
      <c r="D172" s="16" t="str">
        <f t="shared" si="37"/>
        <v>26CONDOMINIO DO EDIFICIO EMPRESARIAL MARIE CURIE</v>
      </c>
      <c r="E172" s="17">
        <f t="shared" si="28"/>
        <v>26</v>
      </c>
      <c r="F172" s="18" t="str">
        <f t="shared" si="38"/>
        <v>79CONDOMINIO DO EDIFICIO EMPRESARIAL MARIE CURIE</v>
      </c>
      <c r="G172" s="18">
        <f t="shared" si="29"/>
        <v>79</v>
      </c>
      <c r="H172" s="19" t="str">
        <f t="shared" si="39"/>
        <v>106CONDOMINIO DO EDIFICIO EMPRESARIAL MARIE CURIE</v>
      </c>
      <c r="I172" s="19">
        <f t="shared" si="30"/>
        <v>106</v>
      </c>
      <c r="J172" s="13" t="s">
        <v>57</v>
      </c>
      <c r="K172" s="13" t="s">
        <v>267</v>
      </c>
      <c r="L172" s="13" t="s">
        <v>54</v>
      </c>
      <c r="M172" s="13" t="s">
        <v>60</v>
      </c>
      <c r="N172" s="20">
        <v>957.68</v>
      </c>
      <c r="O172" s="20">
        <v>1622.13</v>
      </c>
      <c r="P172" s="21">
        <v>45727</v>
      </c>
      <c r="Q172" s="22"/>
      <c r="R172" s="23">
        <v>1622.13</v>
      </c>
      <c r="S172" s="24"/>
      <c r="T172" s="23"/>
      <c r="U172" s="24"/>
      <c r="V172" s="23"/>
      <c r="W172" s="23"/>
      <c r="X172" s="24"/>
      <c r="Y172" s="23"/>
      <c r="Z172" s="23"/>
      <c r="AA172" s="23">
        <v>2.2199999999999998</v>
      </c>
      <c r="AB172" s="23">
        <v>16.59</v>
      </c>
      <c r="AC172" s="24">
        <v>113.39999999999999</v>
      </c>
      <c r="AD172" s="23">
        <v>274.84000000000003</v>
      </c>
      <c r="AE172" s="24">
        <v>1567.9042857142858</v>
      </c>
      <c r="AF172" s="23"/>
      <c r="AG172" s="23"/>
      <c r="AH172" s="23">
        <v>10.43</v>
      </c>
      <c r="AI172" s="24">
        <v>0</v>
      </c>
      <c r="AJ172" s="25">
        <v>288.77</v>
      </c>
      <c r="AK172" s="23">
        <v>62.94</v>
      </c>
      <c r="AL172" s="23"/>
      <c r="AM172" s="24"/>
      <c r="AN172" s="23"/>
      <c r="AO172" s="24"/>
      <c r="AP172" s="23"/>
      <c r="AQ172" s="24"/>
      <c r="AR172" s="23">
        <v>61.260000000000005</v>
      </c>
      <c r="AS172" s="23">
        <v>-695.2</v>
      </c>
      <c r="AT172" s="23"/>
      <c r="AU172" s="24"/>
      <c r="AW172" s="27">
        <f t="shared" si="31"/>
        <v>288.770172</v>
      </c>
      <c r="AX172" s="27">
        <f t="shared" si="32"/>
        <v>274.84017200000005</v>
      </c>
      <c r="AY172" s="27">
        <f t="shared" si="33"/>
        <v>16.590171999999999</v>
      </c>
      <c r="AZ172" s="27">
        <f t="shared" si="34"/>
        <v>1.7200000000000001E-4</v>
      </c>
    </row>
    <row r="173" spans="1:52" ht="15" customHeight="1" x14ac:dyDescent="0.25">
      <c r="A173" s="13" t="str">
        <f>VLOOKUP(L173,[1]VALIDAÇÃO!$D$13:$E$350,2,0)</f>
        <v>DIRETO</v>
      </c>
      <c r="B173" s="14" t="str">
        <f t="shared" si="36"/>
        <v>126RIO AVE CARNEIROS 01 SPE LTDA.</v>
      </c>
      <c r="C173" s="15">
        <f t="shared" si="35"/>
        <v>126</v>
      </c>
      <c r="D173" s="16" t="str">
        <f t="shared" si="37"/>
        <v>61RIO AVE CARNEIROS 01 SPE LTDA.</v>
      </c>
      <c r="E173" s="17">
        <f t="shared" si="28"/>
        <v>61</v>
      </c>
      <c r="F173" s="18" t="str">
        <f t="shared" si="38"/>
        <v>109RIO AVE CARNEIROS 01 SPE LTDA.</v>
      </c>
      <c r="G173" s="18">
        <f t="shared" si="29"/>
        <v>109</v>
      </c>
      <c r="H173" s="19" t="str">
        <f t="shared" si="39"/>
        <v>140RIO AVE CARNEIROS 01 SPE LTDA.</v>
      </c>
      <c r="I173" s="19">
        <f t="shared" si="30"/>
        <v>140</v>
      </c>
      <c r="J173" s="13" t="s">
        <v>61</v>
      </c>
      <c r="K173" s="13" t="s">
        <v>268</v>
      </c>
      <c r="L173" s="13" t="s">
        <v>54</v>
      </c>
      <c r="M173" s="13" t="s">
        <v>55</v>
      </c>
      <c r="N173" s="20">
        <v>848.39</v>
      </c>
      <c r="O173" s="20">
        <v>1622.13</v>
      </c>
      <c r="P173" s="21">
        <v>45797</v>
      </c>
      <c r="Q173" s="22"/>
      <c r="R173" s="23">
        <v>1622.13</v>
      </c>
      <c r="S173" s="24"/>
      <c r="T173" s="23"/>
      <c r="U173" s="24"/>
      <c r="V173" s="23"/>
      <c r="W173" s="23"/>
      <c r="X173" s="24"/>
      <c r="Y173" s="23"/>
      <c r="Z173" s="23"/>
      <c r="AA173" s="23">
        <v>0.65</v>
      </c>
      <c r="AB173" s="23">
        <v>25.44</v>
      </c>
      <c r="AC173" s="24">
        <v>374.70000000000005</v>
      </c>
      <c r="AD173" s="23">
        <v>104.16000000000001</v>
      </c>
      <c r="AE173" s="24">
        <v>884.2285714285714</v>
      </c>
      <c r="AF173" s="23"/>
      <c r="AG173" s="23"/>
      <c r="AH173" s="23">
        <v>2.92</v>
      </c>
      <c r="AI173" s="24">
        <v>0</v>
      </c>
      <c r="AJ173" s="25">
        <v>34.659999999999997</v>
      </c>
      <c r="AK173" s="23">
        <v>7.63</v>
      </c>
      <c r="AL173" s="23">
        <v>-13.82</v>
      </c>
      <c r="AM173" s="24">
        <v>105</v>
      </c>
      <c r="AN173" s="23">
        <v>-57.93</v>
      </c>
      <c r="AO173" s="24">
        <v>1</v>
      </c>
      <c r="AP173" s="23"/>
      <c r="AQ173" s="24"/>
      <c r="AR173" s="23">
        <v>28.68</v>
      </c>
      <c r="AS173" s="23">
        <v>-695.2</v>
      </c>
      <c r="AT173" s="23">
        <v>-57.93</v>
      </c>
      <c r="AU173" s="24">
        <v>1</v>
      </c>
      <c r="AW173" s="27">
        <f t="shared" si="31"/>
        <v>34.660172999999993</v>
      </c>
      <c r="AX173" s="27">
        <f t="shared" si="32"/>
        <v>104.16017300000001</v>
      </c>
      <c r="AY173" s="27">
        <f t="shared" si="33"/>
        <v>25.440173000000001</v>
      </c>
      <c r="AZ173" s="27">
        <f t="shared" si="34"/>
        <v>1.73E-4</v>
      </c>
    </row>
    <row r="174" spans="1:52" ht="15" customHeight="1" x14ac:dyDescent="0.25">
      <c r="A174" s="13" t="str">
        <f>VLOOKUP(L174,[1]VALIDAÇÃO!$D$13:$E$350,2,0)</f>
        <v>DIRETO</v>
      </c>
      <c r="B174" s="14" t="str">
        <f t="shared" si="36"/>
        <v>34RIO AVE CARNEIROS 01 SPE LTDA.</v>
      </c>
      <c r="C174" s="15">
        <f t="shared" si="35"/>
        <v>34</v>
      </c>
      <c r="D174" s="16" t="str">
        <f t="shared" si="37"/>
        <v>41RIO AVE CARNEIROS 01 SPE LTDA.</v>
      </c>
      <c r="E174" s="17">
        <f t="shared" si="28"/>
        <v>41</v>
      </c>
      <c r="F174" s="18" t="str">
        <f t="shared" si="38"/>
        <v>13RIO AVE CARNEIROS 01 SPE LTDA.</v>
      </c>
      <c r="G174" s="18">
        <f t="shared" si="29"/>
        <v>13</v>
      </c>
      <c r="H174" s="19" t="str">
        <f t="shared" si="39"/>
        <v>51RIO AVE CARNEIROS 01 SPE LTDA.</v>
      </c>
      <c r="I174" s="19">
        <f t="shared" si="30"/>
        <v>51</v>
      </c>
      <c r="J174" s="13" t="s">
        <v>61</v>
      </c>
      <c r="K174" s="13" t="s">
        <v>269</v>
      </c>
      <c r="L174" s="13" t="s">
        <v>131</v>
      </c>
      <c r="M174" s="13" t="s">
        <v>55</v>
      </c>
      <c r="N174" s="20">
        <v>1592.51</v>
      </c>
      <c r="O174" s="20">
        <v>2156</v>
      </c>
      <c r="P174" s="21">
        <v>45581</v>
      </c>
      <c r="Q174" s="22"/>
      <c r="R174" s="23">
        <v>2156</v>
      </c>
      <c r="S174" s="24"/>
      <c r="T174" s="23"/>
      <c r="U174" s="24"/>
      <c r="V174" s="23"/>
      <c r="W174" s="23"/>
      <c r="X174" s="24"/>
      <c r="Y174" s="23"/>
      <c r="Z174" s="23"/>
      <c r="AA174" s="23">
        <v>5.7200000000000006</v>
      </c>
      <c r="AB174" s="23">
        <v>218.15</v>
      </c>
      <c r="AC174" s="24">
        <v>773.1</v>
      </c>
      <c r="AD174" s="23">
        <v>246.60999999999999</v>
      </c>
      <c r="AE174" s="24">
        <v>958.67142857142858</v>
      </c>
      <c r="AF174" s="23"/>
      <c r="AG174" s="23"/>
      <c r="AH174" s="23">
        <v>26.17</v>
      </c>
      <c r="AI174" s="24">
        <v>0</v>
      </c>
      <c r="AJ174" s="25">
        <v>557.63</v>
      </c>
      <c r="AK174" s="23">
        <v>123.02</v>
      </c>
      <c r="AL174" s="23"/>
      <c r="AM174" s="24"/>
      <c r="AN174" s="23"/>
      <c r="AO174" s="24"/>
      <c r="AP174" s="23">
        <v>30.1</v>
      </c>
      <c r="AQ174" s="24">
        <v>86</v>
      </c>
      <c r="AR174" s="23">
        <v>95.84</v>
      </c>
      <c r="AS174" s="23">
        <v>-924</v>
      </c>
      <c r="AT174" s="23"/>
      <c r="AU174" s="24"/>
      <c r="AW174" s="27">
        <f t="shared" si="31"/>
        <v>557.63017400000001</v>
      </c>
      <c r="AX174" s="27">
        <f t="shared" si="32"/>
        <v>246.61017399999997</v>
      </c>
      <c r="AY174" s="27">
        <f t="shared" si="33"/>
        <v>218.15017399999999</v>
      </c>
      <c r="AZ174" s="27">
        <f t="shared" si="34"/>
        <v>30.100174000000003</v>
      </c>
    </row>
    <row r="175" spans="1:52" ht="15" customHeight="1" x14ac:dyDescent="0.25">
      <c r="A175" s="13" t="str">
        <f>VLOOKUP(L175,[1]VALIDAÇÃO!$D$13:$E$350,2,0)</f>
        <v>DIRETO</v>
      </c>
      <c r="B175" s="14" t="str">
        <f t="shared" si="36"/>
        <v>44CONDOMINIO DO EDIFICIO EMPRESARIAL MARIE CURIE</v>
      </c>
      <c r="C175" s="15">
        <f t="shared" si="35"/>
        <v>44</v>
      </c>
      <c r="D175" s="16" t="str">
        <f t="shared" si="37"/>
        <v>76CONDOMINIO DO EDIFICIO EMPRESARIAL MARIE CURIE</v>
      </c>
      <c r="E175" s="17">
        <f t="shared" si="28"/>
        <v>76</v>
      </c>
      <c r="F175" s="18" t="str">
        <f t="shared" si="38"/>
        <v>20CONDOMINIO DO EDIFICIO EMPRESARIAL MARIE CURIE</v>
      </c>
      <c r="G175" s="18">
        <f t="shared" si="29"/>
        <v>20</v>
      </c>
      <c r="H175" s="19" t="str">
        <f t="shared" si="39"/>
        <v>38CONDOMINIO DO EDIFICIO EMPRESARIAL MARIE CURIE</v>
      </c>
      <c r="I175" s="19">
        <f t="shared" si="30"/>
        <v>38</v>
      </c>
      <c r="J175" s="13" t="s">
        <v>57</v>
      </c>
      <c r="K175" s="13" t="s">
        <v>270</v>
      </c>
      <c r="L175" s="13" t="s">
        <v>54</v>
      </c>
      <c r="M175" s="13" t="s">
        <v>60</v>
      </c>
      <c r="N175" s="20">
        <v>1266.6600000000001</v>
      </c>
      <c r="O175" s="20">
        <v>1622.13</v>
      </c>
      <c r="P175" s="21">
        <v>45426</v>
      </c>
      <c r="Q175" s="22"/>
      <c r="R175" s="23">
        <v>1622.13</v>
      </c>
      <c r="S175" s="24"/>
      <c r="T175" s="23"/>
      <c r="U175" s="24"/>
      <c r="V175" s="23"/>
      <c r="W175" s="23"/>
      <c r="X175" s="24"/>
      <c r="Y175" s="23"/>
      <c r="Z175" s="23"/>
      <c r="AA175" s="23">
        <v>4.29</v>
      </c>
      <c r="AB175" s="23">
        <v>234.8</v>
      </c>
      <c r="AC175" s="24">
        <v>1155.6142857142856</v>
      </c>
      <c r="AD175" s="23">
        <v>75.75</v>
      </c>
      <c r="AE175" s="24">
        <v>491.43857142857144</v>
      </c>
      <c r="AF175" s="23"/>
      <c r="AG175" s="23"/>
      <c r="AH175" s="23">
        <v>20</v>
      </c>
      <c r="AI175" s="24">
        <v>0</v>
      </c>
      <c r="AJ175" s="25">
        <v>583.57999999999993</v>
      </c>
      <c r="AK175" s="23">
        <v>124.48</v>
      </c>
      <c r="AL175" s="23"/>
      <c r="AM175" s="24"/>
      <c r="AN175" s="23"/>
      <c r="AO175" s="24"/>
      <c r="AP175" s="23">
        <v>2.4700000000000002</v>
      </c>
      <c r="AQ175" s="24">
        <v>29.254285714285714</v>
      </c>
      <c r="AR175" s="23">
        <v>64.62</v>
      </c>
      <c r="AS175" s="23">
        <v>-695.2</v>
      </c>
      <c r="AT175" s="23"/>
      <c r="AU175" s="24"/>
      <c r="AW175" s="27">
        <f t="shared" si="31"/>
        <v>583.58017499999994</v>
      </c>
      <c r="AX175" s="27">
        <f t="shared" si="32"/>
        <v>75.750174999999999</v>
      </c>
      <c r="AY175" s="27">
        <f t="shared" si="33"/>
        <v>234.80017500000002</v>
      </c>
      <c r="AZ175" s="27">
        <f t="shared" si="34"/>
        <v>2.4701750000000002</v>
      </c>
    </row>
    <row r="176" spans="1:52" ht="15" customHeight="1" x14ac:dyDescent="0.25">
      <c r="A176" s="13" t="str">
        <f>VLOOKUP(L176,[1]VALIDAÇÃO!$D$13:$E$350,2,0)</f>
        <v>INDIRETO</v>
      </c>
      <c r="B176" s="14" t="str">
        <f t="shared" si="36"/>
        <v>122CONDOMINIO DO EDIFICIO EMPRESARIAL MARIE CURIE</v>
      </c>
      <c r="C176" s="15">
        <f t="shared" si="35"/>
        <v>122</v>
      </c>
      <c r="D176" s="16" t="str">
        <f t="shared" si="37"/>
        <v>13CONDOMINIO DO EDIFICIO EMPRESARIAL MARIE CURIE</v>
      </c>
      <c r="E176" s="17">
        <f t="shared" si="28"/>
        <v>13</v>
      </c>
      <c r="F176" s="18" t="str">
        <f t="shared" si="38"/>
        <v>118CONDOMINIO DO EDIFICIO EMPRESARIAL MARIE CURIE</v>
      </c>
      <c r="G176" s="18">
        <f t="shared" si="29"/>
        <v>118</v>
      </c>
      <c r="H176" s="19" t="str">
        <f t="shared" si="39"/>
        <v>105CONDOMINIO DO EDIFICIO EMPRESARIAL MARIE CURIE</v>
      </c>
      <c r="I176" s="19">
        <f t="shared" si="30"/>
        <v>105</v>
      </c>
      <c r="J176" s="13" t="s">
        <v>57</v>
      </c>
      <c r="K176" s="13" t="s">
        <v>271</v>
      </c>
      <c r="L176" s="13" t="s">
        <v>201</v>
      </c>
      <c r="M176" s="13" t="s">
        <v>60</v>
      </c>
      <c r="N176" s="20">
        <v>322.61</v>
      </c>
      <c r="O176" s="20">
        <v>3777.73</v>
      </c>
      <c r="P176" s="21">
        <v>45992</v>
      </c>
      <c r="Q176" s="22"/>
      <c r="R176" s="23">
        <v>3777.73</v>
      </c>
      <c r="S176" s="24"/>
      <c r="T176" s="23"/>
      <c r="U176" s="24"/>
      <c r="V176" s="23"/>
      <c r="W176" s="23"/>
      <c r="X176" s="24"/>
      <c r="Y176" s="23"/>
      <c r="Z176" s="23"/>
      <c r="AA176" s="23"/>
      <c r="AB176" s="23"/>
      <c r="AC176" s="24"/>
      <c r="AD176" s="23">
        <v>373.24</v>
      </c>
      <c r="AE176" s="24">
        <v>716</v>
      </c>
      <c r="AF176" s="23"/>
      <c r="AG176" s="23"/>
      <c r="AH176" s="23"/>
      <c r="AI176" s="24"/>
      <c r="AJ176" s="25"/>
      <c r="AK176" s="23"/>
      <c r="AL176" s="23"/>
      <c r="AM176" s="24"/>
      <c r="AN176" s="23"/>
      <c r="AO176" s="24"/>
      <c r="AP176" s="23"/>
      <c r="AQ176" s="24"/>
      <c r="AR176" s="23">
        <v>81.14</v>
      </c>
      <c r="AS176" s="23">
        <v>-1619.03</v>
      </c>
      <c r="AT176" s="23"/>
      <c r="AU176" s="24"/>
      <c r="AW176" s="27">
        <f t="shared" si="31"/>
        <v>1.76E-4</v>
      </c>
      <c r="AX176" s="27">
        <f t="shared" si="32"/>
        <v>373.24017600000002</v>
      </c>
      <c r="AY176" s="27">
        <f t="shared" si="33"/>
        <v>1.76E-4</v>
      </c>
      <c r="AZ176" s="27">
        <f t="shared" si="34"/>
        <v>1.76E-4</v>
      </c>
    </row>
    <row r="177" spans="1:52" ht="15" customHeight="1" x14ac:dyDescent="0.25">
      <c r="A177" s="13" t="str">
        <f>VLOOKUP(L177,[1]VALIDAÇÃO!$D$13:$E$350,2,0)</f>
        <v>DIRETO</v>
      </c>
      <c r="B177" s="14" t="str">
        <f t="shared" si="36"/>
        <v>9RIO AVE CARNEIROS 01 SPE LTDA.</v>
      </c>
      <c r="C177" s="15">
        <f t="shared" si="35"/>
        <v>9</v>
      </c>
      <c r="D177" s="16" t="str">
        <f t="shared" si="37"/>
        <v>54RIO AVE CARNEIROS 01 SPE LTDA.</v>
      </c>
      <c r="E177" s="17">
        <f t="shared" si="28"/>
        <v>54</v>
      </c>
      <c r="F177" s="18" t="str">
        <f t="shared" si="38"/>
        <v>37RIO AVE CARNEIROS 01 SPE LTDA.</v>
      </c>
      <c r="G177" s="18">
        <f t="shared" si="29"/>
        <v>37</v>
      </c>
      <c r="H177" s="19" t="str">
        <f t="shared" si="39"/>
        <v>17RIO AVE CARNEIROS 01 SPE LTDA.</v>
      </c>
      <c r="I177" s="19">
        <f t="shared" si="30"/>
        <v>17</v>
      </c>
      <c r="J177" s="13" t="s">
        <v>61</v>
      </c>
      <c r="K177" s="13" t="s">
        <v>272</v>
      </c>
      <c r="L177" s="13" t="s">
        <v>66</v>
      </c>
      <c r="M177" s="13" t="s">
        <v>55</v>
      </c>
      <c r="N177" s="20">
        <v>1557.66</v>
      </c>
      <c r="O177" s="20">
        <v>2156</v>
      </c>
      <c r="P177" s="21">
        <v>45391</v>
      </c>
      <c r="Q177" s="22"/>
      <c r="R177" s="23">
        <v>2156</v>
      </c>
      <c r="S177" s="24"/>
      <c r="T177" s="23"/>
      <c r="U177" s="24"/>
      <c r="V177" s="23"/>
      <c r="W177" s="23"/>
      <c r="X177" s="24"/>
      <c r="Y177" s="23"/>
      <c r="Z177" s="23"/>
      <c r="AA177" s="23">
        <v>7.5</v>
      </c>
      <c r="AB177" s="23">
        <v>145.03</v>
      </c>
      <c r="AC177" s="24">
        <v>487.5</v>
      </c>
      <c r="AD177" s="23">
        <v>140.87</v>
      </c>
      <c r="AE177" s="24">
        <v>503.82</v>
      </c>
      <c r="AF177" s="23"/>
      <c r="AG177" s="23"/>
      <c r="AH177" s="23">
        <v>35.010000000000005</v>
      </c>
      <c r="AI177" s="24">
        <v>0</v>
      </c>
      <c r="AJ177" s="25">
        <v>897.70999999999992</v>
      </c>
      <c r="AK177" s="23">
        <v>194.72</v>
      </c>
      <c r="AL177" s="23">
        <v>-43.23</v>
      </c>
      <c r="AM177" s="24">
        <v>247</v>
      </c>
      <c r="AN177" s="23"/>
      <c r="AO177" s="24"/>
      <c r="AP177" s="23">
        <v>64.75</v>
      </c>
      <c r="AQ177" s="24">
        <v>185</v>
      </c>
      <c r="AR177" s="23">
        <v>66.83</v>
      </c>
      <c r="AS177" s="23">
        <v>-924</v>
      </c>
      <c r="AT177" s="23"/>
      <c r="AU177" s="24"/>
      <c r="AW177" s="27">
        <f t="shared" si="31"/>
        <v>897.71017699999993</v>
      </c>
      <c r="AX177" s="27">
        <f t="shared" si="32"/>
        <v>140.87017700000001</v>
      </c>
      <c r="AY177" s="27">
        <f t="shared" si="33"/>
        <v>145.03017700000001</v>
      </c>
      <c r="AZ177" s="27">
        <f t="shared" si="34"/>
        <v>64.750176999999994</v>
      </c>
    </row>
    <row r="178" spans="1:52" ht="15" customHeight="1" x14ac:dyDescent="0.25">
      <c r="A178" s="13" t="str">
        <f>VLOOKUP(L178,[1]VALIDAÇÃO!$D$13:$E$350,2,0)</f>
        <v>DIRETO</v>
      </c>
      <c r="B178" s="14" t="str">
        <f t="shared" si="36"/>
        <v>78RIO AVE CARNEIROS 01 SPE LTDA.</v>
      </c>
      <c r="C178" s="15">
        <f t="shared" si="35"/>
        <v>78</v>
      </c>
      <c r="D178" s="16" t="str">
        <f t="shared" si="37"/>
        <v>95RIO AVE CARNEIROS 01 SPE LTDA.</v>
      </c>
      <c r="E178" s="17">
        <f t="shared" si="28"/>
        <v>95</v>
      </c>
      <c r="F178" s="18" t="str">
        <f t="shared" si="38"/>
        <v>117RIO AVE CARNEIROS 01 SPE LTDA.</v>
      </c>
      <c r="G178" s="18">
        <f t="shared" si="29"/>
        <v>117</v>
      </c>
      <c r="H178" s="19" t="str">
        <f t="shared" si="39"/>
        <v>139RIO AVE CARNEIROS 01 SPE LTDA.</v>
      </c>
      <c r="I178" s="19">
        <f t="shared" si="30"/>
        <v>139</v>
      </c>
      <c r="J178" s="13" t="s">
        <v>61</v>
      </c>
      <c r="K178" s="13" t="s">
        <v>273</v>
      </c>
      <c r="L178" s="13" t="s">
        <v>54</v>
      </c>
      <c r="M178" s="13" t="s">
        <v>55</v>
      </c>
      <c r="N178" s="20">
        <v>907.79</v>
      </c>
      <c r="O178" s="20">
        <v>1622.13</v>
      </c>
      <c r="P178" s="21">
        <v>45453</v>
      </c>
      <c r="Q178" s="22"/>
      <c r="R178" s="23">
        <v>1622.13</v>
      </c>
      <c r="S178" s="24"/>
      <c r="T178" s="23"/>
      <c r="U178" s="24"/>
      <c r="V178" s="23"/>
      <c r="W178" s="23"/>
      <c r="X178" s="24"/>
      <c r="Y178" s="23"/>
      <c r="Z178" s="23"/>
      <c r="AA178" s="23">
        <v>0.49000000000000005</v>
      </c>
      <c r="AB178" s="23">
        <v>17.61</v>
      </c>
      <c r="AC178" s="24">
        <v>78.67</v>
      </c>
      <c r="AD178" s="23">
        <v>29.189999999999998</v>
      </c>
      <c r="AE178" s="24">
        <v>145.03714285714284</v>
      </c>
      <c r="AF178" s="23"/>
      <c r="AG178" s="23"/>
      <c r="AH178" s="23">
        <v>2.11</v>
      </c>
      <c r="AI178" s="24">
        <v>0</v>
      </c>
      <c r="AJ178" s="25">
        <v>324.73</v>
      </c>
      <c r="AK178" s="23">
        <v>71.55</v>
      </c>
      <c r="AL178" s="23">
        <v>-1.84</v>
      </c>
      <c r="AM178" s="24">
        <v>14</v>
      </c>
      <c r="AN178" s="23"/>
      <c r="AO178" s="24"/>
      <c r="AP178" s="23"/>
      <c r="AQ178" s="24"/>
      <c r="AR178" s="23">
        <v>10.83</v>
      </c>
      <c r="AS178" s="23">
        <v>-695.2</v>
      </c>
      <c r="AT178" s="23"/>
      <c r="AU178" s="24"/>
      <c r="AW178" s="27">
        <f t="shared" si="31"/>
        <v>324.73017800000002</v>
      </c>
      <c r="AX178" s="27">
        <f t="shared" si="32"/>
        <v>29.190177999999996</v>
      </c>
      <c r="AY178" s="27">
        <f t="shared" si="33"/>
        <v>17.610177999999998</v>
      </c>
      <c r="AZ178" s="27">
        <f t="shared" si="34"/>
        <v>1.7799999999999999E-4</v>
      </c>
    </row>
    <row r="179" spans="1:52" ht="15" customHeight="1" x14ac:dyDescent="0.25">
      <c r="A179" s="13" t="str">
        <f>VLOOKUP(L179,[1]VALIDAÇÃO!$D$13:$E$350,2,0)</f>
        <v>DIRETO</v>
      </c>
      <c r="B179" s="14" t="str">
        <f t="shared" si="36"/>
        <v>8RESERVA DO PAIVA SPE 03 LTDA</v>
      </c>
      <c r="C179" s="15">
        <f t="shared" si="35"/>
        <v>8</v>
      </c>
      <c r="D179" s="16" t="str">
        <f t="shared" si="37"/>
        <v>98RESERVA DO PAIVA SPE 03 LTDA</v>
      </c>
      <c r="E179" s="17">
        <f t="shared" si="28"/>
        <v>98</v>
      </c>
      <c r="F179" s="18" t="str">
        <f t="shared" si="38"/>
        <v>78RESERVA DO PAIVA SPE 03 LTDA</v>
      </c>
      <c r="G179" s="18">
        <f t="shared" si="29"/>
        <v>78</v>
      </c>
      <c r="H179" s="19" t="str">
        <f t="shared" si="39"/>
        <v>145RESERVA DO PAIVA SPE 03 LTDA</v>
      </c>
      <c r="I179" s="19">
        <f t="shared" si="30"/>
        <v>145</v>
      </c>
      <c r="J179" s="13" t="s">
        <v>52</v>
      </c>
      <c r="K179" s="13" t="s">
        <v>274</v>
      </c>
      <c r="L179" s="13" t="s">
        <v>59</v>
      </c>
      <c r="M179" s="13" t="s">
        <v>55</v>
      </c>
      <c r="N179" s="20">
        <v>2078.5500000000002</v>
      </c>
      <c r="O179" s="20">
        <v>2156</v>
      </c>
      <c r="P179" s="21">
        <v>45735</v>
      </c>
      <c r="Q179" s="22"/>
      <c r="R179" s="23">
        <v>2156</v>
      </c>
      <c r="S179" s="24"/>
      <c r="T179" s="23"/>
      <c r="U179" s="24"/>
      <c r="V179" s="23"/>
      <c r="W179" s="23"/>
      <c r="X179" s="24"/>
      <c r="Y179" s="23"/>
      <c r="Z179" s="23"/>
      <c r="AA179" s="23">
        <v>5.0200000000000005</v>
      </c>
      <c r="AB179" s="23">
        <v>94.84</v>
      </c>
      <c r="AC179" s="24">
        <v>535.74285714285713</v>
      </c>
      <c r="AD179" s="23">
        <v>146.94000000000003</v>
      </c>
      <c r="AE179" s="24">
        <v>765.96999999999991</v>
      </c>
      <c r="AF179" s="23"/>
      <c r="AG179" s="23"/>
      <c r="AH179" s="23">
        <v>21.49</v>
      </c>
      <c r="AI179" s="24">
        <v>0</v>
      </c>
      <c r="AJ179" s="25">
        <v>1238.03</v>
      </c>
      <c r="AK179" s="23">
        <v>277.56</v>
      </c>
      <c r="AL179" s="23">
        <v>-30.98</v>
      </c>
      <c r="AM179" s="24">
        <v>177</v>
      </c>
      <c r="AN179" s="23"/>
      <c r="AO179" s="24"/>
      <c r="AP179" s="23"/>
      <c r="AQ179" s="24"/>
      <c r="AR179" s="23">
        <v>56.230000000000004</v>
      </c>
      <c r="AS179" s="23">
        <v>-1014</v>
      </c>
      <c r="AT179" s="23"/>
      <c r="AU179" s="24"/>
      <c r="AW179" s="27">
        <f t="shared" si="31"/>
        <v>1238.0301789999999</v>
      </c>
      <c r="AX179" s="27">
        <f t="shared" si="32"/>
        <v>146.94017900000003</v>
      </c>
      <c r="AY179" s="27">
        <f t="shared" si="33"/>
        <v>94.840179000000006</v>
      </c>
      <c r="AZ179" s="27">
        <f t="shared" si="34"/>
        <v>1.7899999999999999E-4</v>
      </c>
    </row>
    <row r="180" spans="1:52" ht="15" customHeight="1" x14ac:dyDescent="0.25">
      <c r="A180" s="13" t="str">
        <f>VLOOKUP(L180,[1]VALIDAÇÃO!$D$13:$E$350,2,0)</f>
        <v>DIRETO</v>
      </c>
      <c r="B180" s="14" t="str">
        <f t="shared" si="36"/>
        <v>23RESERVA DO PAIVA SPE 01 LTDA.</v>
      </c>
      <c r="C180" s="15">
        <f t="shared" si="35"/>
        <v>23</v>
      </c>
      <c r="D180" s="16" t="str">
        <f t="shared" si="37"/>
        <v>34RESERVA DO PAIVA SPE 01 LTDA.</v>
      </c>
      <c r="E180" s="17">
        <f t="shared" si="28"/>
        <v>34</v>
      </c>
      <c r="F180" s="18" t="str">
        <f t="shared" si="38"/>
        <v>29RESERVA DO PAIVA SPE 01 LTDA.</v>
      </c>
      <c r="G180" s="18">
        <f t="shared" si="29"/>
        <v>29</v>
      </c>
      <c r="H180" s="19" t="str">
        <f t="shared" si="39"/>
        <v>21RESERVA DO PAIVA SPE 01 LTDA.</v>
      </c>
      <c r="I180" s="19">
        <f t="shared" si="30"/>
        <v>21</v>
      </c>
      <c r="J180" s="13" t="s">
        <v>68</v>
      </c>
      <c r="K180" s="13" t="s">
        <v>275</v>
      </c>
      <c r="L180" s="13" t="s">
        <v>54</v>
      </c>
      <c r="M180" s="13" t="s">
        <v>55</v>
      </c>
      <c r="N180" s="20">
        <v>2345.85</v>
      </c>
      <c r="O180" s="20">
        <v>1622.13</v>
      </c>
      <c r="P180" s="21">
        <v>45579</v>
      </c>
      <c r="Q180" s="22"/>
      <c r="R180" s="23">
        <v>1622.13</v>
      </c>
      <c r="S180" s="24"/>
      <c r="T180" s="23"/>
      <c r="U180" s="24"/>
      <c r="V180" s="23"/>
      <c r="W180" s="23"/>
      <c r="X180" s="24"/>
      <c r="Y180" s="23"/>
      <c r="Z180" s="23"/>
      <c r="AA180" s="23">
        <v>30.200000000000003</v>
      </c>
      <c r="AB180" s="23">
        <v>363.02</v>
      </c>
      <c r="AC180" s="24">
        <v>1801.8457142857142</v>
      </c>
      <c r="AD180" s="23">
        <v>286.54000000000002</v>
      </c>
      <c r="AE180" s="24">
        <v>1340.5742857142859</v>
      </c>
      <c r="AF180" s="23"/>
      <c r="AG180" s="23"/>
      <c r="AH180" s="23">
        <v>136.39999999999998</v>
      </c>
      <c r="AI180" s="24">
        <v>0</v>
      </c>
      <c r="AJ180" s="25">
        <v>865.31</v>
      </c>
      <c r="AK180" s="23">
        <v>188.26999999999998</v>
      </c>
      <c r="AL180" s="23"/>
      <c r="AM180" s="24"/>
      <c r="AN180" s="23"/>
      <c r="AO180" s="24"/>
      <c r="AP180" s="23">
        <v>504.53000000000003</v>
      </c>
      <c r="AQ180" s="24">
        <v>2019.3357142857144</v>
      </c>
      <c r="AR180" s="23">
        <v>258.34000000000003</v>
      </c>
      <c r="AS180" s="23">
        <v>-695.2</v>
      </c>
      <c r="AT180" s="23"/>
      <c r="AU180" s="24"/>
      <c r="AW180" s="27">
        <f t="shared" si="31"/>
        <v>865.31017999999995</v>
      </c>
      <c r="AX180" s="27">
        <f t="shared" si="32"/>
        <v>286.54018000000002</v>
      </c>
      <c r="AY180" s="27">
        <f t="shared" si="33"/>
        <v>363.02017999999998</v>
      </c>
      <c r="AZ180" s="27">
        <f t="shared" si="34"/>
        <v>504.53018000000003</v>
      </c>
    </row>
    <row r="181" spans="1:52" ht="15" customHeight="1" x14ac:dyDescent="0.25">
      <c r="A181" s="13" t="str">
        <f>VLOOKUP(L181,[1]VALIDAÇÃO!$D$13:$E$350,2,0)</f>
        <v>DIRETO</v>
      </c>
      <c r="B181" s="14" t="str">
        <f t="shared" si="36"/>
        <v>20RIO AVE 130 SPE LTDA</v>
      </c>
      <c r="C181" s="15">
        <f t="shared" si="35"/>
        <v>20</v>
      </c>
      <c r="D181" s="16" t="str">
        <f t="shared" si="37"/>
        <v>49RIO AVE 130 SPE LTDA</v>
      </c>
      <c r="E181" s="17">
        <f t="shared" si="28"/>
        <v>49</v>
      </c>
      <c r="F181" s="18" t="str">
        <f t="shared" si="38"/>
        <v>27RIO AVE 130 SPE LTDA</v>
      </c>
      <c r="G181" s="18">
        <f t="shared" si="29"/>
        <v>27</v>
      </c>
      <c r="H181" s="19" t="str">
        <f t="shared" si="39"/>
        <v>9RIO AVE 130 SPE LTDA</v>
      </c>
      <c r="I181" s="19">
        <f t="shared" si="30"/>
        <v>9</v>
      </c>
      <c r="J181" s="13" t="s">
        <v>102</v>
      </c>
      <c r="K181" s="13" t="s">
        <v>276</v>
      </c>
      <c r="L181" s="13" t="s">
        <v>92</v>
      </c>
      <c r="M181" s="13" t="s">
        <v>55</v>
      </c>
      <c r="N181" s="20">
        <v>1934.82</v>
      </c>
      <c r="O181" s="20">
        <v>2156</v>
      </c>
      <c r="P181" s="21">
        <v>45887</v>
      </c>
      <c r="Q181" s="22"/>
      <c r="R181" s="23">
        <v>2156</v>
      </c>
      <c r="S181" s="24"/>
      <c r="T181" s="23"/>
      <c r="U181" s="24"/>
      <c r="V181" s="23"/>
      <c r="W181" s="23"/>
      <c r="X181" s="24"/>
      <c r="Y181" s="23"/>
      <c r="Z181" s="23"/>
      <c r="AA181" s="23">
        <v>8.25</v>
      </c>
      <c r="AB181" s="23">
        <v>204.22000000000003</v>
      </c>
      <c r="AC181" s="24">
        <v>1300.7857142857142</v>
      </c>
      <c r="AD181" s="23">
        <v>6.98</v>
      </c>
      <c r="AE181" s="24">
        <v>52.071428571428569</v>
      </c>
      <c r="AF181" s="23"/>
      <c r="AG181" s="23"/>
      <c r="AH181" s="23">
        <v>37.31</v>
      </c>
      <c r="AI181" s="24">
        <v>0</v>
      </c>
      <c r="AJ181" s="25">
        <v>751.67</v>
      </c>
      <c r="AK181" s="23">
        <v>164</v>
      </c>
      <c r="AL181" s="23">
        <v>-12.08</v>
      </c>
      <c r="AM181" s="24">
        <v>69</v>
      </c>
      <c r="AN181" s="23"/>
      <c r="AO181" s="24"/>
      <c r="AP181" s="23">
        <v>193.98000000000002</v>
      </c>
      <c r="AQ181" s="24">
        <v>952.07142857142856</v>
      </c>
      <c r="AR181" s="23">
        <v>89.539999999999992</v>
      </c>
      <c r="AS181" s="23">
        <v>-924</v>
      </c>
      <c r="AT181" s="23"/>
      <c r="AU181" s="24"/>
      <c r="AW181" s="27">
        <f t="shared" si="31"/>
        <v>751.67018099999996</v>
      </c>
      <c r="AX181" s="27">
        <f t="shared" si="32"/>
        <v>6.9801810000000009</v>
      </c>
      <c r="AY181" s="27">
        <f t="shared" si="33"/>
        <v>204.22018100000003</v>
      </c>
      <c r="AZ181" s="27">
        <f t="shared" si="34"/>
        <v>193.98018100000002</v>
      </c>
    </row>
    <row r="182" spans="1:52" ht="15" customHeight="1" x14ac:dyDescent="0.25">
      <c r="A182" s="13" t="str">
        <f>VLOOKUP(L182,[1]VALIDAÇÃO!$D$13:$E$350,2,0)</f>
        <v>DIRETO</v>
      </c>
      <c r="B182" s="14" t="str">
        <f t="shared" si="36"/>
        <v>68RESERVA DO PAIVA SPE 01 LTDA.</v>
      </c>
      <c r="C182" s="15">
        <f t="shared" si="35"/>
        <v>68</v>
      </c>
      <c r="D182" s="16" t="str">
        <f t="shared" si="37"/>
        <v>71RESERVA DO PAIVA SPE 01 LTDA.</v>
      </c>
      <c r="E182" s="17">
        <f t="shared" si="28"/>
        <v>71</v>
      </c>
      <c r="F182" s="18" t="str">
        <f t="shared" si="38"/>
        <v>65RESERVA DO PAIVA SPE 01 LTDA.</v>
      </c>
      <c r="G182" s="18">
        <f t="shared" si="29"/>
        <v>65</v>
      </c>
      <c r="H182" s="19" t="str">
        <f t="shared" si="39"/>
        <v>65RESERVA DO PAIVA SPE 01 LTDA.</v>
      </c>
      <c r="I182" s="19">
        <f t="shared" si="30"/>
        <v>65</v>
      </c>
      <c r="J182" s="13" t="s">
        <v>68</v>
      </c>
      <c r="K182" s="13" t="s">
        <v>277</v>
      </c>
      <c r="L182" s="13" t="s">
        <v>54</v>
      </c>
      <c r="M182" s="13" t="s">
        <v>55</v>
      </c>
      <c r="N182" s="20">
        <v>1103.23</v>
      </c>
      <c r="O182" s="20">
        <v>1622.13</v>
      </c>
      <c r="P182" s="21">
        <v>45931</v>
      </c>
      <c r="Q182" s="22"/>
      <c r="R182" s="23">
        <v>1622.13</v>
      </c>
      <c r="S182" s="24"/>
      <c r="T182" s="23"/>
      <c r="U182" s="24"/>
      <c r="V182" s="23"/>
      <c r="W182" s="23"/>
      <c r="X182" s="24"/>
      <c r="Y182" s="23"/>
      <c r="Z182" s="23"/>
      <c r="AA182" s="23">
        <v>2.54</v>
      </c>
      <c r="AB182" s="23">
        <v>75.599999999999994</v>
      </c>
      <c r="AC182" s="24">
        <v>1378.5714285714284</v>
      </c>
      <c r="AD182" s="23">
        <v>45.44</v>
      </c>
      <c r="AE182" s="24">
        <v>461.85714285714283</v>
      </c>
      <c r="AF182" s="23"/>
      <c r="AG182" s="23"/>
      <c r="AH182" s="23">
        <v>10.86</v>
      </c>
      <c r="AI182" s="24">
        <v>0</v>
      </c>
      <c r="AJ182" s="25">
        <v>276.25</v>
      </c>
      <c r="AK182" s="23">
        <v>62.34</v>
      </c>
      <c r="AL182" s="23"/>
      <c r="AM182" s="24"/>
      <c r="AN182" s="23"/>
      <c r="AO182" s="24"/>
      <c r="AP182" s="23">
        <v>166.34</v>
      </c>
      <c r="AQ182" s="24">
        <v>892.71428571428578</v>
      </c>
      <c r="AR182" s="23">
        <v>68.990000000000009</v>
      </c>
      <c r="AS182" s="23">
        <v>-695.2</v>
      </c>
      <c r="AT182" s="23"/>
      <c r="AU182" s="24"/>
      <c r="AW182" s="27">
        <f t="shared" si="31"/>
        <v>276.250182</v>
      </c>
      <c r="AX182" s="27">
        <f t="shared" si="32"/>
        <v>45.440182</v>
      </c>
      <c r="AY182" s="27">
        <f t="shared" si="33"/>
        <v>75.60018199999999</v>
      </c>
      <c r="AZ182" s="27">
        <f t="shared" si="34"/>
        <v>166.340182</v>
      </c>
    </row>
    <row r="183" spans="1:52" ht="15" customHeight="1" x14ac:dyDescent="0.25">
      <c r="A183" s="13" t="str">
        <f>VLOOKUP(L183,[1]VALIDAÇÃO!$D$13:$E$350,2,0)</f>
        <v>DIRETO</v>
      </c>
      <c r="B183" s="14" t="str">
        <f t="shared" si="36"/>
        <v>51RESERVA DO PAIVA SPE 03 LTDA</v>
      </c>
      <c r="C183" s="15">
        <f t="shared" si="35"/>
        <v>51</v>
      </c>
      <c r="D183" s="16" t="str">
        <f t="shared" si="37"/>
        <v>67RESERVA DO PAIVA SPE 03 LTDA</v>
      </c>
      <c r="E183" s="17">
        <f t="shared" si="28"/>
        <v>67</v>
      </c>
      <c r="F183" s="18" t="str">
        <f t="shared" si="38"/>
        <v>59RESERVA DO PAIVA SPE 03 LTDA</v>
      </c>
      <c r="G183" s="18">
        <f t="shared" si="29"/>
        <v>59</v>
      </c>
      <c r="H183" s="19" t="str">
        <f t="shared" si="39"/>
        <v>144RESERVA DO PAIVA SPE 03 LTDA</v>
      </c>
      <c r="I183" s="19">
        <f t="shared" si="30"/>
        <v>144</v>
      </c>
      <c r="J183" s="13" t="s">
        <v>52</v>
      </c>
      <c r="K183" s="13" t="s">
        <v>278</v>
      </c>
      <c r="L183" s="13" t="s">
        <v>63</v>
      </c>
      <c r="M183" s="13" t="s">
        <v>55</v>
      </c>
      <c r="N183" s="20">
        <v>1868.55</v>
      </c>
      <c r="O183" s="20">
        <v>2156</v>
      </c>
      <c r="P183" s="21">
        <v>45980</v>
      </c>
      <c r="Q183" s="22"/>
      <c r="R183" s="23">
        <v>2156</v>
      </c>
      <c r="S183" s="24"/>
      <c r="T183" s="23"/>
      <c r="U183" s="24"/>
      <c r="V183" s="23"/>
      <c r="W183" s="23"/>
      <c r="X183" s="24"/>
      <c r="Y183" s="23"/>
      <c r="Z183" s="23"/>
      <c r="AA183" s="23">
        <v>4.53</v>
      </c>
      <c r="AB183" s="23">
        <v>147.56</v>
      </c>
      <c r="AC183" s="24">
        <v>496</v>
      </c>
      <c r="AD183" s="23">
        <v>227.89</v>
      </c>
      <c r="AE183" s="24">
        <v>766</v>
      </c>
      <c r="AF183" s="23"/>
      <c r="AG183" s="23"/>
      <c r="AH183" s="23">
        <v>20.82</v>
      </c>
      <c r="AI183" s="24">
        <v>0</v>
      </c>
      <c r="AJ183" s="25">
        <v>311.08</v>
      </c>
      <c r="AK183" s="23">
        <v>67.63</v>
      </c>
      <c r="AL183" s="23"/>
      <c r="AM183" s="24"/>
      <c r="AN183" s="23"/>
      <c r="AO183" s="24"/>
      <c r="AP183" s="23"/>
      <c r="AQ183" s="24"/>
      <c r="AR183" s="23">
        <v>81.62</v>
      </c>
      <c r="AS183" s="23">
        <v>-924</v>
      </c>
      <c r="AT183" s="23"/>
      <c r="AU183" s="24"/>
      <c r="AW183" s="27">
        <f t="shared" si="31"/>
        <v>311.08018299999998</v>
      </c>
      <c r="AX183" s="27">
        <f t="shared" si="32"/>
        <v>227.89018299999998</v>
      </c>
      <c r="AY183" s="27">
        <f t="shared" si="33"/>
        <v>147.56018299999999</v>
      </c>
      <c r="AZ183" s="27">
        <f t="shared" si="34"/>
        <v>1.83E-4</v>
      </c>
    </row>
    <row r="184" spans="1:52" ht="15" customHeight="1" x14ac:dyDescent="0.25">
      <c r="A184" s="13" t="str">
        <f>VLOOKUP(L184,[1]VALIDAÇÃO!$D$13:$E$350,2,0)</f>
        <v>DIRETO</v>
      </c>
      <c r="B184" s="14" t="str">
        <f t="shared" si="36"/>
        <v>4RIO AVE PRAIA HOTEL SPE LTDA.</v>
      </c>
      <c r="C184" s="15">
        <f t="shared" si="35"/>
        <v>4</v>
      </c>
      <c r="D184" s="16" t="str">
        <f t="shared" si="37"/>
        <v>19RIO AVE PRAIA HOTEL SPE LTDA.</v>
      </c>
      <c r="E184" s="17">
        <f t="shared" si="28"/>
        <v>19</v>
      </c>
      <c r="F184" s="18" t="str">
        <f t="shared" si="38"/>
        <v>16RIO AVE PRAIA HOTEL SPE LTDA.</v>
      </c>
      <c r="G184" s="18">
        <f t="shared" si="29"/>
        <v>16</v>
      </c>
      <c r="H184" s="19" t="str">
        <f t="shared" si="39"/>
        <v>1RIO AVE PRAIA HOTEL SPE LTDA.</v>
      </c>
      <c r="I184" s="19">
        <f t="shared" si="30"/>
        <v>1</v>
      </c>
      <c r="J184" s="13" t="s">
        <v>80</v>
      </c>
      <c r="K184" s="13" t="s">
        <v>279</v>
      </c>
      <c r="L184" s="13" t="s">
        <v>92</v>
      </c>
      <c r="M184" s="13" t="s">
        <v>82</v>
      </c>
      <c r="N184" s="20">
        <v>2028.1</v>
      </c>
      <c r="O184" s="20">
        <v>2079</v>
      </c>
      <c r="P184" s="21">
        <v>45617</v>
      </c>
      <c r="Q184" s="22"/>
      <c r="R184" s="23">
        <v>2079</v>
      </c>
      <c r="S184" s="24"/>
      <c r="T184" s="23"/>
      <c r="U184" s="24"/>
      <c r="V184" s="23"/>
      <c r="W184" s="23"/>
      <c r="X184" s="24"/>
      <c r="Y184" s="23"/>
      <c r="Z184" s="23"/>
      <c r="AA184" s="23">
        <v>15.09</v>
      </c>
      <c r="AB184" s="23">
        <v>302.92</v>
      </c>
      <c r="AC184" s="24">
        <v>1165.6085714285714</v>
      </c>
      <c r="AD184" s="23">
        <v>9.2999999999999989</v>
      </c>
      <c r="AE184" s="24">
        <v>39.89</v>
      </c>
      <c r="AF184" s="23"/>
      <c r="AG184" s="23"/>
      <c r="AH184" s="23">
        <v>69.92</v>
      </c>
      <c r="AI184" s="24">
        <v>0</v>
      </c>
      <c r="AJ184" s="25">
        <v>874.15</v>
      </c>
      <c r="AK184" s="23">
        <v>184.28</v>
      </c>
      <c r="AL184" s="23">
        <v>-9.1</v>
      </c>
      <c r="AM184" s="24">
        <v>52</v>
      </c>
      <c r="AN184" s="23"/>
      <c r="AO184" s="24"/>
      <c r="AP184" s="23">
        <v>763.81</v>
      </c>
      <c r="AQ184" s="24">
        <v>2293.86</v>
      </c>
      <c r="AR184" s="23">
        <v>234.04</v>
      </c>
      <c r="AS184" s="23">
        <v>-924</v>
      </c>
      <c r="AT184" s="23"/>
      <c r="AU184" s="24"/>
      <c r="AW184" s="27">
        <f t="shared" si="31"/>
        <v>874.15018399999997</v>
      </c>
      <c r="AX184" s="27">
        <f t="shared" si="32"/>
        <v>9.3001839999999998</v>
      </c>
      <c r="AY184" s="27">
        <f t="shared" si="33"/>
        <v>302.92018400000001</v>
      </c>
      <c r="AZ184" s="27">
        <f t="shared" si="34"/>
        <v>763.81018399999994</v>
      </c>
    </row>
    <row r="185" spans="1:52" ht="15" customHeight="1" x14ac:dyDescent="0.25">
      <c r="A185" s="13" t="str">
        <f>VLOOKUP(L185,[1]VALIDAÇÃO!$D$13:$E$350,2,0)</f>
        <v>DIRETO</v>
      </c>
      <c r="B185" s="14" t="str">
        <f t="shared" si="36"/>
        <v>6RIO AVE CARNEIROS 01 SPE LTDA.</v>
      </c>
      <c r="C185" s="15">
        <f t="shared" si="35"/>
        <v>6</v>
      </c>
      <c r="D185" s="16" t="str">
        <f t="shared" si="37"/>
        <v>88RIO AVE CARNEIROS 01 SPE LTDA.</v>
      </c>
      <c r="E185" s="17">
        <f t="shared" si="28"/>
        <v>88</v>
      </c>
      <c r="F185" s="18" t="str">
        <f t="shared" si="38"/>
        <v>127RIO AVE CARNEIROS 01 SPE LTDA.</v>
      </c>
      <c r="G185" s="18">
        <f t="shared" si="29"/>
        <v>127</v>
      </c>
      <c r="H185" s="19" t="str">
        <f t="shared" si="39"/>
        <v>138RIO AVE CARNEIROS 01 SPE LTDA.</v>
      </c>
      <c r="I185" s="19">
        <f t="shared" si="30"/>
        <v>138</v>
      </c>
      <c r="J185" s="13" t="s">
        <v>61</v>
      </c>
      <c r="K185" s="13" t="s">
        <v>280</v>
      </c>
      <c r="L185" s="13" t="s">
        <v>59</v>
      </c>
      <c r="M185" s="13" t="s">
        <v>55</v>
      </c>
      <c r="N185" s="20">
        <v>1731.44</v>
      </c>
      <c r="O185" s="20">
        <v>2156</v>
      </c>
      <c r="P185" s="21">
        <v>45238</v>
      </c>
      <c r="Q185" s="22"/>
      <c r="R185" s="23">
        <v>2156</v>
      </c>
      <c r="S185" s="24"/>
      <c r="T185" s="23"/>
      <c r="U185" s="24"/>
      <c r="V185" s="23"/>
      <c r="W185" s="23"/>
      <c r="X185" s="24"/>
      <c r="Y185" s="23"/>
      <c r="Z185" s="23"/>
      <c r="AA185" s="23">
        <v>0.75</v>
      </c>
      <c r="AB185" s="23">
        <v>3.57</v>
      </c>
      <c r="AC185" s="24">
        <v>12</v>
      </c>
      <c r="AD185" s="23">
        <v>32.71</v>
      </c>
      <c r="AE185" s="24">
        <v>126.93571428571428</v>
      </c>
      <c r="AF185" s="23"/>
      <c r="AG185" s="23"/>
      <c r="AH185" s="23">
        <v>3.46</v>
      </c>
      <c r="AI185" s="24">
        <v>0</v>
      </c>
      <c r="AJ185" s="25">
        <v>977.33</v>
      </c>
      <c r="AK185" s="23">
        <v>216.13</v>
      </c>
      <c r="AL185" s="23"/>
      <c r="AM185" s="24"/>
      <c r="AN185" s="23"/>
      <c r="AO185" s="24"/>
      <c r="AP185" s="23"/>
      <c r="AQ185" s="24"/>
      <c r="AR185" s="23">
        <v>7.74</v>
      </c>
      <c r="AS185" s="23">
        <v>-1099</v>
      </c>
      <c r="AT185" s="23"/>
      <c r="AU185" s="24"/>
      <c r="AW185" s="27">
        <f t="shared" si="31"/>
        <v>977.33018500000003</v>
      </c>
      <c r="AX185" s="27">
        <f t="shared" si="32"/>
        <v>32.710185000000003</v>
      </c>
      <c r="AY185" s="27">
        <f t="shared" si="33"/>
        <v>3.5701849999999999</v>
      </c>
      <c r="AZ185" s="27">
        <f t="shared" si="34"/>
        <v>1.85E-4</v>
      </c>
    </row>
    <row r="186" spans="1:52" ht="15" customHeight="1" x14ac:dyDescent="0.25">
      <c r="A186" s="13" t="str">
        <f>VLOOKUP(L186,[1]VALIDAÇÃO!$D$13:$E$350,2,0)</f>
        <v>DIRETO</v>
      </c>
      <c r="B186" s="14" t="str">
        <f t="shared" si="36"/>
        <v>3RIO AVE 200 SPE LTDA.</v>
      </c>
      <c r="C186" s="15">
        <f t="shared" si="35"/>
        <v>3</v>
      </c>
      <c r="D186" s="16" t="str">
        <f t="shared" si="37"/>
        <v>66RIO AVE 200 SPE LTDA.</v>
      </c>
      <c r="E186" s="17">
        <f t="shared" si="28"/>
        <v>66</v>
      </c>
      <c r="F186" s="18" t="str">
        <f t="shared" si="38"/>
        <v>42RIO AVE 200 SPE LTDA.</v>
      </c>
      <c r="G186" s="18">
        <f t="shared" si="29"/>
        <v>42</v>
      </c>
      <c r="H186" s="19" t="str">
        <f t="shared" si="39"/>
        <v>67RIO AVE 200 SPE LTDA.</v>
      </c>
      <c r="I186" s="19">
        <f t="shared" si="30"/>
        <v>67</v>
      </c>
      <c r="J186" s="13" t="s">
        <v>48</v>
      </c>
      <c r="K186" s="13" t="s">
        <v>281</v>
      </c>
      <c r="L186" s="13" t="s">
        <v>66</v>
      </c>
      <c r="M186" s="13" t="s">
        <v>55</v>
      </c>
      <c r="N186" s="20">
        <v>1732.77</v>
      </c>
      <c r="O186" s="20">
        <v>2156</v>
      </c>
      <c r="P186" s="21">
        <v>45938</v>
      </c>
      <c r="Q186" s="22"/>
      <c r="R186" s="23">
        <v>2156</v>
      </c>
      <c r="S186" s="24"/>
      <c r="T186" s="23"/>
      <c r="U186" s="24"/>
      <c r="V186" s="23"/>
      <c r="W186" s="23"/>
      <c r="X186" s="24"/>
      <c r="Y186" s="23"/>
      <c r="Z186" s="23"/>
      <c r="AA186" s="23">
        <v>0.53</v>
      </c>
      <c r="AB186" s="23">
        <v>8.6</v>
      </c>
      <c r="AC186" s="24">
        <v>117.85714285714286</v>
      </c>
      <c r="AD186" s="23">
        <v>3.84</v>
      </c>
      <c r="AE186" s="24">
        <v>18.857142857142858</v>
      </c>
      <c r="AF186" s="23"/>
      <c r="AG186" s="23"/>
      <c r="AH186" s="23">
        <v>1.87</v>
      </c>
      <c r="AI186" s="24">
        <v>0</v>
      </c>
      <c r="AJ186" s="25">
        <v>1157.49</v>
      </c>
      <c r="AK186" s="23">
        <v>260.99</v>
      </c>
      <c r="AL186" s="23"/>
      <c r="AM186" s="24"/>
      <c r="AN186" s="23"/>
      <c r="AO186" s="24"/>
      <c r="AP186" s="23"/>
      <c r="AQ186" s="24"/>
      <c r="AR186" s="23">
        <v>3.5</v>
      </c>
      <c r="AS186" s="23">
        <v>-924</v>
      </c>
      <c r="AT186" s="23"/>
      <c r="AU186" s="24"/>
      <c r="AW186" s="27">
        <f t="shared" si="31"/>
        <v>1157.490186</v>
      </c>
      <c r="AX186" s="27">
        <f t="shared" si="32"/>
        <v>3.8401859999999997</v>
      </c>
      <c r="AY186" s="27">
        <f t="shared" si="33"/>
        <v>8.600185999999999</v>
      </c>
      <c r="AZ186" s="27">
        <f t="shared" si="34"/>
        <v>1.8599999999999999E-4</v>
      </c>
    </row>
    <row r="187" spans="1:52" ht="15" customHeight="1" x14ac:dyDescent="0.25">
      <c r="A187" s="13" t="str">
        <f>VLOOKUP(L187,[1]VALIDAÇÃO!$D$13:$E$350,2,0)</f>
        <v>DIRETO</v>
      </c>
      <c r="B187" s="14" t="str">
        <f t="shared" si="36"/>
        <v>9RESERVA DO PAIVA SPE 03 LTDA</v>
      </c>
      <c r="C187" s="15">
        <f t="shared" si="35"/>
        <v>9</v>
      </c>
      <c r="D187" s="16" t="str">
        <f t="shared" si="37"/>
        <v>71RESERVA DO PAIVA SPE 03 LTDA</v>
      </c>
      <c r="E187" s="17">
        <f t="shared" si="28"/>
        <v>71</v>
      </c>
      <c r="F187" s="18" t="str">
        <f t="shared" si="38"/>
        <v>63RESERVA DO PAIVA SPE 03 LTDA</v>
      </c>
      <c r="G187" s="18">
        <f t="shared" si="29"/>
        <v>63</v>
      </c>
      <c r="H187" s="19" t="str">
        <f t="shared" si="39"/>
        <v>143RESERVA DO PAIVA SPE 03 LTDA</v>
      </c>
      <c r="I187" s="19">
        <f t="shared" si="30"/>
        <v>143</v>
      </c>
      <c r="J187" s="13" t="s">
        <v>52</v>
      </c>
      <c r="K187" s="13" t="s">
        <v>282</v>
      </c>
      <c r="L187" s="13" t="s">
        <v>59</v>
      </c>
      <c r="M187" s="13" t="s">
        <v>55</v>
      </c>
      <c r="N187" s="20">
        <v>1884.93</v>
      </c>
      <c r="O187" s="20">
        <v>2156</v>
      </c>
      <c r="P187" s="21">
        <v>45699</v>
      </c>
      <c r="Q187" s="22"/>
      <c r="R187" s="23">
        <v>2156</v>
      </c>
      <c r="S187" s="24"/>
      <c r="T187" s="23"/>
      <c r="U187" s="24"/>
      <c r="V187" s="23"/>
      <c r="W187" s="23"/>
      <c r="X187" s="24"/>
      <c r="Y187" s="23"/>
      <c r="Z187" s="23"/>
      <c r="AA187" s="23">
        <v>6.72</v>
      </c>
      <c r="AB187" s="23">
        <v>136.47999999999999</v>
      </c>
      <c r="AC187" s="24">
        <v>644.64285714285711</v>
      </c>
      <c r="AD187" s="23">
        <v>212.69</v>
      </c>
      <c r="AE187" s="24">
        <v>894.69857142857154</v>
      </c>
      <c r="AF187" s="23"/>
      <c r="AG187" s="23"/>
      <c r="AH187" s="23">
        <v>29.67</v>
      </c>
      <c r="AI187" s="24">
        <v>0</v>
      </c>
      <c r="AJ187" s="25">
        <v>1235.6999999999998</v>
      </c>
      <c r="AK187" s="23">
        <v>277.27999999999997</v>
      </c>
      <c r="AL187" s="23">
        <v>-75.95</v>
      </c>
      <c r="AM187" s="24">
        <v>434</v>
      </c>
      <c r="AN187" s="23"/>
      <c r="AO187" s="24"/>
      <c r="AP187" s="23"/>
      <c r="AQ187" s="24"/>
      <c r="AR187" s="23">
        <v>75.739999999999995</v>
      </c>
      <c r="AS187" s="23">
        <v>-971.5</v>
      </c>
      <c r="AT187" s="23"/>
      <c r="AU187" s="24"/>
      <c r="AW187" s="27">
        <f t="shared" si="31"/>
        <v>1235.7001869999999</v>
      </c>
      <c r="AX187" s="27">
        <f t="shared" si="32"/>
        <v>212.69018700000001</v>
      </c>
      <c r="AY187" s="27">
        <f t="shared" si="33"/>
        <v>136.480187</v>
      </c>
      <c r="AZ187" s="27">
        <f t="shared" si="34"/>
        <v>1.8699999999999999E-4</v>
      </c>
    </row>
    <row r="188" spans="1:52" ht="15" customHeight="1" x14ac:dyDescent="0.25">
      <c r="A188" s="13" t="str">
        <f>VLOOKUP(L188,[1]VALIDAÇÃO!$D$13:$E$350,2,0)</f>
        <v>DIRETO</v>
      </c>
      <c r="B188" s="14" t="str">
        <f t="shared" si="36"/>
        <v>158RESERVA DO PAIVA SPE 03 LTDA</v>
      </c>
      <c r="C188" s="15">
        <f t="shared" si="35"/>
        <v>158</v>
      </c>
      <c r="D188" s="16" t="str">
        <f t="shared" si="37"/>
        <v>104RESERVA DO PAIVA SPE 03 LTDA</v>
      </c>
      <c r="E188" s="17">
        <f t="shared" si="28"/>
        <v>104</v>
      </c>
      <c r="F188" s="18" t="str">
        <f t="shared" si="38"/>
        <v>82RESERVA DO PAIVA SPE 03 LTDA</v>
      </c>
      <c r="G188" s="18">
        <f t="shared" si="29"/>
        <v>82</v>
      </c>
      <c r="H188" s="19" t="str">
        <f t="shared" si="39"/>
        <v>69RESERVA DO PAIVA SPE 03 LTDA</v>
      </c>
      <c r="I188" s="19">
        <f t="shared" si="30"/>
        <v>69</v>
      </c>
      <c r="J188" s="13" t="s">
        <v>52</v>
      </c>
      <c r="K188" s="13" t="s">
        <v>283</v>
      </c>
      <c r="L188" s="13" t="s">
        <v>54</v>
      </c>
      <c r="M188" s="13" t="s">
        <v>55</v>
      </c>
      <c r="N188" s="20">
        <v>917.73</v>
      </c>
      <c r="O188" s="20">
        <v>1216.5999999999999</v>
      </c>
      <c r="P188" s="21">
        <v>45964</v>
      </c>
      <c r="Q188" s="22"/>
      <c r="R188" s="23">
        <v>1216.5999999999999</v>
      </c>
      <c r="S188" s="24"/>
      <c r="T188" s="23">
        <v>521.4</v>
      </c>
      <c r="U188" s="24">
        <v>9</v>
      </c>
      <c r="V188" s="23"/>
      <c r="W188" s="23"/>
      <c r="X188" s="24"/>
      <c r="Y188" s="23"/>
      <c r="Z188" s="23"/>
      <c r="AA188" s="23"/>
      <c r="AB188" s="23">
        <v>86.77</v>
      </c>
      <c r="AC188" s="24">
        <v>801</v>
      </c>
      <c r="AD188" s="23">
        <v>118.19</v>
      </c>
      <c r="AE188" s="24">
        <v>628</v>
      </c>
      <c r="AF188" s="31"/>
      <c r="AG188" s="31"/>
      <c r="AH188" s="23"/>
      <c r="AI188" s="24"/>
      <c r="AJ188" s="25"/>
      <c r="AK188" s="23"/>
      <c r="AL188" s="23"/>
      <c r="AM188" s="24"/>
      <c r="AN188" s="23"/>
      <c r="AO188" s="24"/>
      <c r="AP188" s="23">
        <v>21.64</v>
      </c>
      <c r="AQ188" s="24">
        <v>493</v>
      </c>
      <c r="AR188" s="23">
        <v>47.17</v>
      </c>
      <c r="AS188" s="23">
        <v>-695.2</v>
      </c>
      <c r="AT188" s="23"/>
      <c r="AU188" s="24"/>
      <c r="AW188" s="27">
        <f t="shared" si="31"/>
        <v>1.8799999999999999E-4</v>
      </c>
      <c r="AX188" s="27">
        <f t="shared" si="32"/>
        <v>118.19018799999999</v>
      </c>
      <c r="AY188" s="27">
        <f t="shared" si="33"/>
        <v>86.77018799999999</v>
      </c>
      <c r="AZ188" s="27">
        <f t="shared" si="34"/>
        <v>21.640188000000002</v>
      </c>
    </row>
    <row r="189" spans="1:52" ht="15" customHeight="1" x14ac:dyDescent="0.25">
      <c r="A189" s="13" t="str">
        <f>VLOOKUP(L189,[1]VALIDAÇÃO!$D$13:$E$350,2,0)</f>
        <v>INDIRETO</v>
      </c>
      <c r="B189" s="14" t="str">
        <f t="shared" si="36"/>
        <v>3RIO AVE EQUIPAMENTOS LTDA.</v>
      </c>
      <c r="C189" s="15">
        <f t="shared" si="35"/>
        <v>3</v>
      </c>
      <c r="D189" s="16" t="str">
        <f t="shared" si="37"/>
        <v>2RIO AVE EQUIPAMENTOS LTDA.</v>
      </c>
      <c r="E189" s="17">
        <f t="shared" si="28"/>
        <v>2</v>
      </c>
      <c r="F189" s="18" t="str">
        <f t="shared" si="38"/>
        <v>2RIO AVE EQUIPAMENTOS LTDA.</v>
      </c>
      <c r="G189" s="18">
        <f t="shared" si="29"/>
        <v>2</v>
      </c>
      <c r="H189" s="19" t="str">
        <f t="shared" si="39"/>
        <v>4RIO AVE EQUIPAMENTOS LTDA.</v>
      </c>
      <c r="I189" s="19">
        <f t="shared" si="30"/>
        <v>4</v>
      </c>
      <c r="J189" s="13" t="s">
        <v>190</v>
      </c>
      <c r="K189" s="13" t="s">
        <v>284</v>
      </c>
      <c r="L189" s="13" t="s">
        <v>285</v>
      </c>
      <c r="M189" s="13" t="s">
        <v>85</v>
      </c>
      <c r="N189" s="20">
        <v>903.5</v>
      </c>
      <c r="O189" s="20">
        <v>2079</v>
      </c>
      <c r="P189" s="21">
        <v>45602</v>
      </c>
      <c r="Q189" s="22"/>
      <c r="R189" s="23">
        <v>2079</v>
      </c>
      <c r="S189" s="24"/>
      <c r="T189" s="23"/>
      <c r="U189" s="24"/>
      <c r="V189" s="23"/>
      <c r="W189" s="23"/>
      <c r="X189" s="24"/>
      <c r="Y189" s="23"/>
      <c r="Z189" s="23"/>
      <c r="AA189" s="23">
        <v>0.32000000000000006</v>
      </c>
      <c r="AB189" s="23">
        <v>18.48</v>
      </c>
      <c r="AC189" s="24">
        <v>79.26857142857142</v>
      </c>
      <c r="AD189" s="23">
        <v>45.75</v>
      </c>
      <c r="AE189" s="24">
        <v>199.67857142857142</v>
      </c>
      <c r="AF189" s="23"/>
      <c r="AG189" s="23"/>
      <c r="AH189" s="23">
        <v>1.42</v>
      </c>
      <c r="AI189" s="24">
        <v>0</v>
      </c>
      <c r="AJ189" s="25">
        <v>219.64</v>
      </c>
      <c r="AK189" s="23">
        <v>45.74</v>
      </c>
      <c r="AL189" s="23">
        <v>-14.88</v>
      </c>
      <c r="AM189" s="24">
        <v>85</v>
      </c>
      <c r="AN189" s="23"/>
      <c r="AO189" s="24"/>
      <c r="AP189" s="23"/>
      <c r="AQ189" s="24"/>
      <c r="AR189" s="23">
        <v>11.219999999999999</v>
      </c>
      <c r="AS189" s="23">
        <v>-924</v>
      </c>
      <c r="AT189" s="23"/>
      <c r="AU189" s="24"/>
      <c r="AW189" s="27">
        <f t="shared" si="31"/>
        <v>219.64018899999999</v>
      </c>
      <c r="AX189" s="27">
        <f t="shared" si="32"/>
        <v>45.750188999999999</v>
      </c>
      <c r="AY189" s="27">
        <f t="shared" si="33"/>
        <v>18.480188999999999</v>
      </c>
      <c r="AZ189" s="27">
        <f t="shared" si="34"/>
        <v>1.8900000000000001E-4</v>
      </c>
    </row>
    <row r="190" spans="1:52" ht="15" customHeight="1" x14ac:dyDescent="0.25">
      <c r="A190" s="13" t="str">
        <f>VLOOKUP(L190,[1]VALIDAÇÃO!$D$13:$E$350,2,0)</f>
        <v>DIRETO</v>
      </c>
      <c r="B190" s="14" t="str">
        <f t="shared" si="36"/>
        <v>76RESERVA DO PAIVA SPE 03 LTDA</v>
      </c>
      <c r="C190" s="15">
        <f t="shared" si="35"/>
        <v>76</v>
      </c>
      <c r="D190" s="16" t="str">
        <f t="shared" si="37"/>
        <v>68RESERVA DO PAIVA SPE 03 LTDA</v>
      </c>
      <c r="E190" s="17">
        <f t="shared" si="28"/>
        <v>68</v>
      </c>
      <c r="F190" s="18" t="str">
        <f t="shared" si="38"/>
        <v>117RESERVA DO PAIVA SPE 03 LTDA</v>
      </c>
      <c r="G190" s="18">
        <f t="shared" si="29"/>
        <v>117</v>
      </c>
      <c r="H190" s="19" t="str">
        <f t="shared" si="39"/>
        <v>142RESERVA DO PAIVA SPE 03 LTDA</v>
      </c>
      <c r="I190" s="19">
        <f t="shared" si="30"/>
        <v>142</v>
      </c>
      <c r="J190" s="13" t="s">
        <v>52</v>
      </c>
      <c r="K190" s="13" t="s">
        <v>286</v>
      </c>
      <c r="L190" s="13" t="s">
        <v>54</v>
      </c>
      <c r="M190" s="13" t="s">
        <v>55</v>
      </c>
      <c r="N190" s="20">
        <v>1146.3</v>
      </c>
      <c r="O190" s="20">
        <v>1622.13</v>
      </c>
      <c r="P190" s="21">
        <v>45908</v>
      </c>
      <c r="Q190" s="22"/>
      <c r="R190" s="23">
        <v>1622.13</v>
      </c>
      <c r="S190" s="24"/>
      <c r="T190" s="23"/>
      <c r="U190" s="24"/>
      <c r="V190" s="23"/>
      <c r="W190" s="23">
        <v>1.29</v>
      </c>
      <c r="X190" s="24">
        <v>49</v>
      </c>
      <c r="Y190" s="23"/>
      <c r="Z190" s="23"/>
      <c r="AA190" s="23">
        <v>1.9700000000000002</v>
      </c>
      <c r="AB190" s="23">
        <v>13.77</v>
      </c>
      <c r="AC190" s="24">
        <v>202.85714285714286</v>
      </c>
      <c r="AD190" s="23">
        <v>225.78</v>
      </c>
      <c r="AE190" s="24">
        <v>1129.8142857142857</v>
      </c>
      <c r="AF190" s="23"/>
      <c r="AG190" s="23"/>
      <c r="AH190" s="23">
        <v>8.85</v>
      </c>
      <c r="AI190" s="24">
        <v>0</v>
      </c>
      <c r="AJ190" s="25">
        <v>176.77999999999997</v>
      </c>
      <c r="AK190" s="23">
        <v>39.530000000000008</v>
      </c>
      <c r="AL190" s="23"/>
      <c r="AM190" s="24"/>
      <c r="AN190" s="23"/>
      <c r="AO190" s="24"/>
      <c r="AP190" s="23"/>
      <c r="AQ190" s="24"/>
      <c r="AR190" s="23">
        <v>54.589999999999996</v>
      </c>
      <c r="AS190" s="23">
        <v>-695.2</v>
      </c>
      <c r="AT190" s="23"/>
      <c r="AU190" s="24"/>
      <c r="AW190" s="27">
        <f t="shared" si="31"/>
        <v>176.78018999999998</v>
      </c>
      <c r="AX190" s="27">
        <f t="shared" si="32"/>
        <v>225.78019</v>
      </c>
      <c r="AY190" s="27">
        <f t="shared" si="33"/>
        <v>13.770189999999999</v>
      </c>
      <c r="AZ190" s="27">
        <f t="shared" si="34"/>
        <v>1.9000000000000001E-4</v>
      </c>
    </row>
    <row r="191" spans="1:52" ht="15" customHeight="1" x14ac:dyDescent="0.25">
      <c r="A191" s="13" t="str">
        <f>VLOOKUP(L191,[1]VALIDAÇÃO!$D$13:$E$350,2,0)</f>
        <v>DIRETO</v>
      </c>
      <c r="B191" s="14" t="str">
        <f t="shared" si="36"/>
        <v>51CONDOMINIO DO EDIFICIO EMPRESARIAL MARIE CURIE</v>
      </c>
      <c r="C191" s="15">
        <f t="shared" si="35"/>
        <v>51</v>
      </c>
      <c r="D191" s="16" t="str">
        <f t="shared" si="37"/>
        <v>70CONDOMINIO DO EDIFICIO EMPRESARIAL MARIE CURIE</v>
      </c>
      <c r="E191" s="17">
        <f t="shared" si="28"/>
        <v>70</v>
      </c>
      <c r="F191" s="18" t="str">
        <f t="shared" si="38"/>
        <v>83CONDOMINIO DO EDIFICIO EMPRESARIAL MARIE CURIE</v>
      </c>
      <c r="G191" s="18">
        <f t="shared" si="29"/>
        <v>83</v>
      </c>
      <c r="H191" s="19" t="str">
        <f t="shared" si="39"/>
        <v>104CONDOMINIO DO EDIFICIO EMPRESARIAL MARIE CURIE</v>
      </c>
      <c r="I191" s="19">
        <f t="shared" si="30"/>
        <v>104</v>
      </c>
      <c r="J191" s="13" t="s">
        <v>57</v>
      </c>
      <c r="K191" s="13" t="s">
        <v>287</v>
      </c>
      <c r="L191" s="13" t="s">
        <v>87</v>
      </c>
      <c r="M191" s="13" t="s">
        <v>60</v>
      </c>
      <c r="N191" s="20">
        <v>1086.1600000000001</v>
      </c>
      <c r="O191" s="20">
        <v>2156</v>
      </c>
      <c r="P191" s="21">
        <v>45708</v>
      </c>
      <c r="Q191" s="22"/>
      <c r="R191" s="23">
        <v>2156</v>
      </c>
      <c r="S191" s="24"/>
      <c r="T191" s="23"/>
      <c r="U191" s="24"/>
      <c r="V191" s="23"/>
      <c r="W191" s="23"/>
      <c r="X191" s="24"/>
      <c r="Y191" s="23"/>
      <c r="Z191" s="23"/>
      <c r="AA191" s="23">
        <v>1.17</v>
      </c>
      <c r="AB191" s="23">
        <v>10.36</v>
      </c>
      <c r="AC191" s="24">
        <v>53.314285714285717</v>
      </c>
      <c r="AD191" s="23">
        <v>93.27</v>
      </c>
      <c r="AE191" s="24">
        <v>349.77571428571429</v>
      </c>
      <c r="AF191" s="23"/>
      <c r="AG191" s="23"/>
      <c r="AH191" s="23">
        <v>5.6400000000000006</v>
      </c>
      <c r="AI191" s="24">
        <v>0</v>
      </c>
      <c r="AJ191" s="25">
        <v>521.53</v>
      </c>
      <c r="AK191" s="23">
        <v>109.72999999999999</v>
      </c>
      <c r="AL191" s="23">
        <v>-38.71</v>
      </c>
      <c r="AM191" s="24">
        <v>221.19</v>
      </c>
      <c r="AN191" s="23">
        <v>-154</v>
      </c>
      <c r="AO191" s="24">
        <v>2</v>
      </c>
      <c r="AP191" s="23"/>
      <c r="AQ191" s="24"/>
      <c r="AR191" s="23">
        <v>22.189999999999998</v>
      </c>
      <c r="AS191" s="23">
        <v>-924</v>
      </c>
      <c r="AT191" s="23">
        <v>-77</v>
      </c>
      <c r="AU191" s="24">
        <v>1</v>
      </c>
      <c r="AW191" s="27">
        <f t="shared" si="31"/>
        <v>521.53019099999995</v>
      </c>
      <c r="AX191" s="27">
        <f t="shared" si="32"/>
        <v>93.270190999999997</v>
      </c>
      <c r="AY191" s="27">
        <f t="shared" si="33"/>
        <v>10.360190999999999</v>
      </c>
      <c r="AZ191" s="27">
        <f t="shared" si="34"/>
        <v>1.9100000000000001E-4</v>
      </c>
    </row>
    <row r="192" spans="1:52" ht="15" customHeight="1" x14ac:dyDescent="0.25">
      <c r="A192" s="13" t="str">
        <f>VLOOKUP(L192,[1]VALIDAÇÃO!$D$13:$E$350,2,0)</f>
        <v>INDIRETO</v>
      </c>
      <c r="B192" s="14" t="str">
        <f t="shared" si="36"/>
        <v>46RIO AVE 130 SPE LTDA</v>
      </c>
      <c r="C192" s="15">
        <f t="shared" si="35"/>
        <v>46</v>
      </c>
      <c r="D192" s="16" t="str">
        <f t="shared" si="37"/>
        <v>3RIO AVE 130 SPE LTDA</v>
      </c>
      <c r="E192" s="17">
        <f t="shared" si="28"/>
        <v>3</v>
      </c>
      <c r="F192" s="18" t="str">
        <f t="shared" si="38"/>
        <v>22RIO AVE 130 SPE LTDA</v>
      </c>
      <c r="G192" s="18">
        <f t="shared" si="29"/>
        <v>22</v>
      </c>
      <c r="H192" s="19" t="str">
        <f t="shared" si="39"/>
        <v>35RIO AVE 130 SPE LTDA</v>
      </c>
      <c r="I192" s="19">
        <f t="shared" si="30"/>
        <v>35</v>
      </c>
      <c r="J192" s="13" t="s">
        <v>102</v>
      </c>
      <c r="K192" s="13" t="s">
        <v>288</v>
      </c>
      <c r="L192" s="13" t="s">
        <v>289</v>
      </c>
      <c r="M192" s="13" t="s">
        <v>85</v>
      </c>
      <c r="N192" s="20">
        <v>2042.29</v>
      </c>
      <c r="O192" s="20">
        <v>3090.86</v>
      </c>
      <c r="P192" s="21">
        <v>45414</v>
      </c>
      <c r="Q192" s="22"/>
      <c r="R192" s="23">
        <v>3090.86</v>
      </c>
      <c r="S192" s="24"/>
      <c r="T192" s="23"/>
      <c r="U192" s="24"/>
      <c r="V192" s="23"/>
      <c r="W192" s="23"/>
      <c r="X192" s="24"/>
      <c r="Y192" s="23"/>
      <c r="Z192" s="23"/>
      <c r="AA192" s="23">
        <v>6.18</v>
      </c>
      <c r="AB192" s="23">
        <v>224.69</v>
      </c>
      <c r="AC192" s="24">
        <v>551.85428571428565</v>
      </c>
      <c r="AD192" s="23">
        <v>848.3</v>
      </c>
      <c r="AE192" s="24">
        <v>2196.8857142857141</v>
      </c>
      <c r="AF192" s="23"/>
      <c r="AG192" s="23"/>
      <c r="AH192" s="23">
        <v>27.82</v>
      </c>
      <c r="AI192" s="24">
        <v>0</v>
      </c>
      <c r="AJ192" s="25">
        <v>350</v>
      </c>
      <c r="AK192" s="23">
        <v>77.64</v>
      </c>
      <c r="AL192" s="23"/>
      <c r="AM192" s="24"/>
      <c r="AN192" s="23"/>
      <c r="AO192" s="24"/>
      <c r="AP192" s="23">
        <v>2.5</v>
      </c>
      <c r="AQ192" s="24">
        <v>11.715714285714284</v>
      </c>
      <c r="AR192" s="23">
        <v>231.68</v>
      </c>
      <c r="AS192" s="23">
        <v>-1524.66</v>
      </c>
      <c r="AT192" s="23"/>
      <c r="AU192" s="24"/>
      <c r="AW192" s="27">
        <f t="shared" si="31"/>
        <v>350.00019200000003</v>
      </c>
      <c r="AX192" s="27">
        <f t="shared" si="32"/>
        <v>848.30019199999992</v>
      </c>
      <c r="AY192" s="27">
        <f t="shared" si="33"/>
        <v>224.690192</v>
      </c>
      <c r="AZ192" s="27">
        <f t="shared" si="34"/>
        <v>2.5001920000000002</v>
      </c>
    </row>
    <row r="193" spans="1:52" ht="15" customHeight="1" x14ac:dyDescent="0.25">
      <c r="A193" s="13" t="str">
        <f>VLOOKUP(L193,[1]VALIDAÇÃO!$D$13:$E$350,2,0)</f>
        <v>INDIRETO</v>
      </c>
      <c r="B193" s="14" t="str">
        <f t="shared" si="36"/>
        <v>75RIO AVE 200 SPE LTDA.</v>
      </c>
      <c r="C193" s="15">
        <f t="shared" si="35"/>
        <v>75</v>
      </c>
      <c r="D193" s="16" t="str">
        <f t="shared" si="37"/>
        <v>77RIO AVE 200 SPE LTDA.</v>
      </c>
      <c r="E193" s="17">
        <f t="shared" si="28"/>
        <v>77</v>
      </c>
      <c r="F193" s="18" t="str">
        <f t="shared" si="38"/>
        <v>74RIO AVE 200 SPE LTDA.</v>
      </c>
      <c r="G193" s="18">
        <f t="shared" si="29"/>
        <v>74</v>
      </c>
      <c r="H193" s="19" t="str">
        <f t="shared" si="39"/>
        <v>66RIO AVE 200 SPE LTDA.</v>
      </c>
      <c r="I193" s="19">
        <f t="shared" si="30"/>
        <v>66</v>
      </c>
      <c r="J193" s="13" t="s">
        <v>48</v>
      </c>
      <c r="K193" s="13" t="s">
        <v>290</v>
      </c>
      <c r="L193" s="13" t="s">
        <v>291</v>
      </c>
      <c r="M193" s="13" t="s">
        <v>51</v>
      </c>
      <c r="N193" s="20">
        <v>2839.65</v>
      </c>
      <c r="O193" s="20">
        <v>9066.7900000000009</v>
      </c>
      <c r="P193" s="21">
        <v>45797</v>
      </c>
      <c r="Q193" s="22"/>
      <c r="R193" s="23">
        <v>9066.7900000000009</v>
      </c>
      <c r="S193" s="24"/>
      <c r="T193" s="23"/>
      <c r="U193" s="24"/>
      <c r="V193" s="23"/>
      <c r="W193" s="23"/>
      <c r="X193" s="24"/>
      <c r="Y193" s="23"/>
      <c r="Z193" s="23"/>
      <c r="AA193" s="23"/>
      <c r="AB193" s="23"/>
      <c r="AC193" s="24"/>
      <c r="AD193" s="23"/>
      <c r="AE193" s="24"/>
      <c r="AF193" s="23"/>
      <c r="AG193" s="23"/>
      <c r="AH193" s="23"/>
      <c r="AI193" s="24"/>
      <c r="AJ193" s="25"/>
      <c r="AK193" s="23"/>
      <c r="AL193" s="23"/>
      <c r="AM193" s="24"/>
      <c r="AN193" s="23"/>
      <c r="AO193" s="24"/>
      <c r="AP193" s="23"/>
      <c r="AQ193" s="24"/>
      <c r="AR193" s="23"/>
      <c r="AS193" s="23">
        <v>-3885.77</v>
      </c>
      <c r="AT193" s="23"/>
      <c r="AU193" s="24"/>
      <c r="AW193" s="27">
        <f t="shared" si="31"/>
        <v>1.93E-4</v>
      </c>
      <c r="AX193" s="27">
        <f t="shared" si="32"/>
        <v>1.93E-4</v>
      </c>
      <c r="AY193" s="27">
        <f t="shared" si="33"/>
        <v>1.93E-4</v>
      </c>
      <c r="AZ193" s="27">
        <f t="shared" si="34"/>
        <v>1.93E-4</v>
      </c>
    </row>
    <row r="194" spans="1:52" ht="15" customHeight="1" x14ac:dyDescent="0.25">
      <c r="A194" s="13" t="str">
        <f>VLOOKUP(L194,[1]VALIDAÇÃO!$D$13:$E$350,2,0)</f>
        <v>DIRETO</v>
      </c>
      <c r="B194" s="14" t="str">
        <f t="shared" si="36"/>
        <v>157RESERVA DO PAIVA SPE 03 LTDA</v>
      </c>
      <c r="C194" s="15">
        <f t="shared" si="35"/>
        <v>157</v>
      </c>
      <c r="D194" s="16" t="str">
        <f t="shared" si="37"/>
        <v>126RESERVA DO PAIVA SPE 03 LTDA</v>
      </c>
      <c r="E194" s="17">
        <f t="shared" ref="E194:E257" si="40">1+SUMPRODUCT(($J$2:$J$1437=$J194)*(AX$2:AX$1437&gt;AX194))</f>
        <v>126</v>
      </c>
      <c r="F194" s="18" t="str">
        <f t="shared" si="38"/>
        <v>157RESERVA DO PAIVA SPE 03 LTDA</v>
      </c>
      <c r="G194" s="18">
        <f t="shared" ref="G194:G257" si="41">1+SUMPRODUCT(($J$2:$J$1437=$J194)*(AY$2:AY$1437&gt;AY194))</f>
        <v>157</v>
      </c>
      <c r="H194" s="19" t="str">
        <f t="shared" si="39"/>
        <v>141RESERVA DO PAIVA SPE 03 LTDA</v>
      </c>
      <c r="I194" s="19">
        <f t="shared" ref="I194:I257" si="42">1+SUMPRODUCT(($J$2:$J$1437=$J194)*(AZ$2:AZ$1437&gt;AZ194))</f>
        <v>141</v>
      </c>
      <c r="J194" s="13" t="s">
        <v>52</v>
      </c>
      <c r="K194" s="13" t="s">
        <v>292</v>
      </c>
      <c r="L194" s="13" t="s">
        <v>54</v>
      </c>
      <c r="M194" s="13" t="s">
        <v>55</v>
      </c>
      <c r="N194" s="20">
        <v>665.92</v>
      </c>
      <c r="O194" s="20">
        <v>1622.13</v>
      </c>
      <c r="P194" s="21">
        <v>45980</v>
      </c>
      <c r="Q194" s="22"/>
      <c r="R194" s="23">
        <v>1622.13</v>
      </c>
      <c r="S194" s="24"/>
      <c r="T194" s="23"/>
      <c r="U194" s="24"/>
      <c r="V194" s="23"/>
      <c r="W194" s="23"/>
      <c r="X194" s="24"/>
      <c r="Y194" s="23"/>
      <c r="Z194" s="23"/>
      <c r="AA194" s="23"/>
      <c r="AB194" s="23"/>
      <c r="AC194" s="24"/>
      <c r="AD194" s="23">
        <v>49.24</v>
      </c>
      <c r="AE194" s="24">
        <v>220</v>
      </c>
      <c r="AF194" s="23"/>
      <c r="AG194" s="23"/>
      <c r="AH194" s="23"/>
      <c r="AI194" s="24"/>
      <c r="AJ194" s="25"/>
      <c r="AK194" s="23"/>
      <c r="AL194" s="23"/>
      <c r="AM194" s="24"/>
      <c r="AN194" s="23">
        <v>-57.93</v>
      </c>
      <c r="AO194" s="24">
        <v>1</v>
      </c>
      <c r="AP194" s="23"/>
      <c r="AQ194" s="24"/>
      <c r="AR194" s="23">
        <v>10.7</v>
      </c>
      <c r="AS194" s="23">
        <v>-695.2</v>
      </c>
      <c r="AT194" s="23">
        <v>-57.93</v>
      </c>
      <c r="AU194" s="24">
        <v>1</v>
      </c>
      <c r="AW194" s="27">
        <f t="shared" ref="AW194:AW257" si="43">AJ194+ROW(C194)/1000000</f>
        <v>1.94E-4</v>
      </c>
      <c r="AX194" s="27">
        <f t="shared" ref="AX194:AX257" si="44">AD194+ROW(C194)/1000000</f>
        <v>49.240194000000002</v>
      </c>
      <c r="AY194" s="27">
        <f t="shared" ref="AY194:AY257" si="45">AB194+ROW(A194)/1000000</f>
        <v>1.94E-4</v>
      </c>
      <c r="AZ194" s="27">
        <f t="shared" ref="AZ194:AZ257" si="46">AP194+ROW(A194)/1000000</f>
        <v>1.94E-4</v>
      </c>
    </row>
    <row r="195" spans="1:52" ht="15" customHeight="1" x14ac:dyDescent="0.25">
      <c r="A195" s="13" t="str">
        <f>VLOOKUP(L195,[1]VALIDAÇÃO!$D$13:$E$350,2,0)</f>
        <v>DIRETO</v>
      </c>
      <c r="B195" s="14" t="str">
        <f t="shared" si="36"/>
        <v>13RIO AVE CARNEIROS 01 SPE LTDA.</v>
      </c>
      <c r="C195" s="15">
        <f t="shared" ref="C195:C258" si="47">1+SUMPRODUCT(($J$2:$J$1437=J195)*($AW$2:$AW$1437&gt;AW195))</f>
        <v>13</v>
      </c>
      <c r="D195" s="16" t="str">
        <f t="shared" si="37"/>
        <v>33RIO AVE CARNEIROS 01 SPE LTDA.</v>
      </c>
      <c r="E195" s="17">
        <f t="shared" si="40"/>
        <v>33</v>
      </c>
      <c r="F195" s="18" t="str">
        <f t="shared" si="38"/>
        <v>147RIO AVE CARNEIROS 01 SPE LTDA.</v>
      </c>
      <c r="G195" s="18">
        <f t="shared" si="41"/>
        <v>147</v>
      </c>
      <c r="H195" s="19" t="str">
        <f t="shared" si="39"/>
        <v>137RIO AVE CARNEIROS 01 SPE LTDA.</v>
      </c>
      <c r="I195" s="19">
        <f t="shared" si="42"/>
        <v>137</v>
      </c>
      <c r="J195" s="13" t="s">
        <v>61</v>
      </c>
      <c r="K195" s="13" t="s">
        <v>293</v>
      </c>
      <c r="L195" s="13" t="s">
        <v>54</v>
      </c>
      <c r="M195" s="13" t="s">
        <v>55</v>
      </c>
      <c r="N195" s="20">
        <v>1813.86</v>
      </c>
      <c r="O195" s="20">
        <v>1622.13</v>
      </c>
      <c r="P195" s="21">
        <v>45922</v>
      </c>
      <c r="Q195" s="22"/>
      <c r="R195" s="23">
        <v>1622.13</v>
      </c>
      <c r="S195" s="24"/>
      <c r="T195" s="23"/>
      <c r="U195" s="24"/>
      <c r="V195" s="23"/>
      <c r="W195" s="23"/>
      <c r="X195" s="24"/>
      <c r="Y195" s="23"/>
      <c r="Z195" s="23"/>
      <c r="AA195" s="23">
        <v>9.1199999999999992</v>
      </c>
      <c r="AB195" s="23"/>
      <c r="AC195" s="24"/>
      <c r="AD195" s="23">
        <v>268.5</v>
      </c>
      <c r="AE195" s="24">
        <v>2131.7571428571428</v>
      </c>
      <c r="AF195" s="23"/>
      <c r="AG195" s="23"/>
      <c r="AH195" s="23">
        <v>39.989999999999995</v>
      </c>
      <c r="AI195" s="24">
        <v>0</v>
      </c>
      <c r="AJ195" s="25">
        <v>799.91</v>
      </c>
      <c r="AK195" s="23">
        <v>180.16</v>
      </c>
      <c r="AL195" s="23">
        <v>-62.54</v>
      </c>
      <c r="AM195" s="24">
        <v>475</v>
      </c>
      <c r="AN195" s="23"/>
      <c r="AO195" s="24"/>
      <c r="AP195" s="23"/>
      <c r="AQ195" s="24"/>
      <c r="AR195" s="23">
        <v>60.42</v>
      </c>
      <c r="AS195" s="23">
        <v>-815.2</v>
      </c>
      <c r="AT195" s="23"/>
      <c r="AU195" s="24"/>
      <c r="AW195" s="27">
        <f t="shared" si="43"/>
        <v>799.91019499999993</v>
      </c>
      <c r="AX195" s="27">
        <f t="shared" si="44"/>
        <v>268.50019500000002</v>
      </c>
      <c r="AY195" s="27">
        <f t="shared" si="45"/>
        <v>1.95E-4</v>
      </c>
      <c r="AZ195" s="27">
        <f t="shared" si="46"/>
        <v>1.95E-4</v>
      </c>
    </row>
    <row r="196" spans="1:52" ht="15" customHeight="1" x14ac:dyDescent="0.25">
      <c r="A196" s="13" t="str">
        <f>VLOOKUP(L196,[1]VALIDAÇÃO!$D$13:$E$350,2,0)</f>
        <v>DIRETO</v>
      </c>
      <c r="B196" s="14" t="str">
        <f t="shared" si="36"/>
        <v>57RESERVA DO PAIVA SPE 03 LTDA</v>
      </c>
      <c r="C196" s="15">
        <f t="shared" si="47"/>
        <v>57</v>
      </c>
      <c r="D196" s="16" t="str">
        <f t="shared" si="37"/>
        <v>13RESERVA DO PAIVA SPE 03 LTDA</v>
      </c>
      <c r="E196" s="17">
        <f t="shared" si="40"/>
        <v>13</v>
      </c>
      <c r="F196" s="18" t="str">
        <f t="shared" si="38"/>
        <v>52RESERVA DO PAIVA SPE 03 LTDA</v>
      </c>
      <c r="G196" s="18">
        <f t="shared" si="41"/>
        <v>52</v>
      </c>
      <c r="H196" s="19" t="str">
        <f t="shared" si="39"/>
        <v>51RESERVA DO PAIVA SPE 03 LTDA</v>
      </c>
      <c r="I196" s="19">
        <f t="shared" si="42"/>
        <v>51</v>
      </c>
      <c r="J196" s="13" t="s">
        <v>52</v>
      </c>
      <c r="K196" s="13" t="s">
        <v>294</v>
      </c>
      <c r="L196" s="13" t="s">
        <v>189</v>
      </c>
      <c r="M196" s="13" t="s">
        <v>55</v>
      </c>
      <c r="N196" s="20">
        <v>1138.67</v>
      </c>
      <c r="O196" s="20">
        <v>2156</v>
      </c>
      <c r="P196" s="21">
        <v>45771</v>
      </c>
      <c r="Q196" s="22"/>
      <c r="R196" s="23">
        <v>2156</v>
      </c>
      <c r="S196" s="24"/>
      <c r="T196" s="23"/>
      <c r="U196" s="24"/>
      <c r="V196" s="23"/>
      <c r="W196" s="23">
        <v>0.13</v>
      </c>
      <c r="X196" s="24">
        <v>4.5599999999999996</v>
      </c>
      <c r="Y196" s="23"/>
      <c r="Z196" s="23"/>
      <c r="AA196" s="23">
        <v>5.41</v>
      </c>
      <c r="AB196" s="23">
        <v>171.12</v>
      </c>
      <c r="AC196" s="24">
        <v>1071.8142857142857</v>
      </c>
      <c r="AD196" s="23">
        <v>739.95</v>
      </c>
      <c r="AE196" s="24">
        <v>3431.77</v>
      </c>
      <c r="AF196" s="23"/>
      <c r="AG196" s="23"/>
      <c r="AH196" s="23">
        <v>24.54</v>
      </c>
      <c r="AI196" s="24">
        <v>0</v>
      </c>
      <c r="AJ196" s="25">
        <v>243.46999999999997</v>
      </c>
      <c r="AK196" s="23">
        <v>53.430000000000007</v>
      </c>
      <c r="AL196" s="23"/>
      <c r="AM196" s="24"/>
      <c r="AN196" s="23"/>
      <c r="AO196" s="24"/>
      <c r="AP196" s="23">
        <v>66.02</v>
      </c>
      <c r="AQ196" s="24">
        <v>351.51428571428573</v>
      </c>
      <c r="AR196" s="23">
        <v>218.5</v>
      </c>
      <c r="AS196" s="23">
        <v>-924</v>
      </c>
      <c r="AT196" s="23"/>
      <c r="AU196" s="24"/>
      <c r="AW196" s="27">
        <f t="shared" si="43"/>
        <v>243.47019599999996</v>
      </c>
      <c r="AX196" s="27">
        <f t="shared" si="44"/>
        <v>739.95019600000001</v>
      </c>
      <c r="AY196" s="27">
        <f t="shared" si="45"/>
        <v>171.12019599999999</v>
      </c>
      <c r="AZ196" s="27">
        <f t="shared" si="46"/>
        <v>66.020195999999999</v>
      </c>
    </row>
    <row r="197" spans="1:52" ht="15" customHeight="1" x14ac:dyDescent="0.25">
      <c r="A197" s="13" t="str">
        <f>VLOOKUP(L197,[1]VALIDAÇÃO!$D$13:$E$350,2,0)</f>
        <v>DIRETO</v>
      </c>
      <c r="B197" s="14" t="str">
        <f t="shared" si="36"/>
        <v>65RESERVA DO PAIVA SPE 03 LTDA</v>
      </c>
      <c r="C197" s="15">
        <f t="shared" si="47"/>
        <v>65</v>
      </c>
      <c r="D197" s="16" t="str">
        <f t="shared" si="37"/>
        <v>14RESERVA DO PAIVA SPE 03 LTDA</v>
      </c>
      <c r="E197" s="17">
        <f t="shared" si="40"/>
        <v>14</v>
      </c>
      <c r="F197" s="18" t="str">
        <f t="shared" si="38"/>
        <v>61RESERVA DO PAIVA SPE 03 LTDA</v>
      </c>
      <c r="G197" s="18">
        <f t="shared" si="41"/>
        <v>61</v>
      </c>
      <c r="H197" s="19" t="str">
        <f t="shared" si="39"/>
        <v>34RESERVA DO PAIVA SPE 03 LTDA</v>
      </c>
      <c r="I197" s="19">
        <f t="shared" si="42"/>
        <v>34</v>
      </c>
      <c r="J197" s="13" t="s">
        <v>52</v>
      </c>
      <c r="K197" s="13" t="s">
        <v>295</v>
      </c>
      <c r="L197" s="13" t="s">
        <v>71</v>
      </c>
      <c r="M197" s="13" t="s">
        <v>55</v>
      </c>
      <c r="N197" s="20">
        <v>1246.19</v>
      </c>
      <c r="O197" s="20">
        <v>1622.13</v>
      </c>
      <c r="P197" s="21">
        <v>45567</v>
      </c>
      <c r="Q197" s="22"/>
      <c r="R197" s="23">
        <v>1622.13</v>
      </c>
      <c r="S197" s="24"/>
      <c r="T197" s="23"/>
      <c r="U197" s="24"/>
      <c r="V197" s="23"/>
      <c r="W197" s="23">
        <v>0.84000000000000008</v>
      </c>
      <c r="X197" s="24">
        <v>29.21</v>
      </c>
      <c r="Y197" s="23"/>
      <c r="Z197" s="23"/>
      <c r="AA197" s="23">
        <v>5.13</v>
      </c>
      <c r="AB197" s="23">
        <v>141.83000000000001</v>
      </c>
      <c r="AC197" s="24">
        <v>820.74285714285702</v>
      </c>
      <c r="AD197" s="23">
        <v>704.95</v>
      </c>
      <c r="AE197" s="24">
        <v>3700.6842857142856</v>
      </c>
      <c r="AF197" s="23"/>
      <c r="AG197" s="23"/>
      <c r="AH197" s="23">
        <v>23.37</v>
      </c>
      <c r="AI197" s="24">
        <v>0</v>
      </c>
      <c r="AJ197" s="25">
        <v>206.22000000000003</v>
      </c>
      <c r="AK197" s="23">
        <v>45.02</v>
      </c>
      <c r="AL197" s="23"/>
      <c r="AM197" s="24"/>
      <c r="AN197" s="23"/>
      <c r="AO197" s="24"/>
      <c r="AP197" s="23">
        <v>177.35</v>
      </c>
      <c r="AQ197" s="24">
        <v>687.39142857142849</v>
      </c>
      <c r="AR197" s="23">
        <v>219.67</v>
      </c>
      <c r="AS197" s="23">
        <v>-695.2</v>
      </c>
      <c r="AT197" s="23"/>
      <c r="AU197" s="24"/>
      <c r="AW197" s="27">
        <f t="shared" si="43"/>
        <v>206.22019700000004</v>
      </c>
      <c r="AX197" s="27">
        <f t="shared" si="44"/>
        <v>704.950197</v>
      </c>
      <c r="AY197" s="27">
        <f t="shared" si="45"/>
        <v>141.830197</v>
      </c>
      <c r="AZ197" s="27">
        <f t="shared" si="46"/>
        <v>177.35019699999998</v>
      </c>
    </row>
    <row r="198" spans="1:52" ht="15" customHeight="1" x14ac:dyDescent="0.25">
      <c r="A198" s="13" t="str">
        <f>VLOOKUP(L198,[1]VALIDAÇÃO!$D$13:$E$350,2,0)</f>
        <v>DIRETO</v>
      </c>
      <c r="B198" s="14" t="str">
        <f t="shared" si="36"/>
        <v>37RIO AVE 200 SPE LTDA.</v>
      </c>
      <c r="C198" s="15">
        <f t="shared" si="47"/>
        <v>37</v>
      </c>
      <c r="D198" s="16" t="str">
        <f t="shared" si="37"/>
        <v>46RIO AVE 200 SPE LTDA.</v>
      </c>
      <c r="E198" s="17">
        <f t="shared" si="40"/>
        <v>46</v>
      </c>
      <c r="F198" s="18" t="str">
        <f t="shared" si="38"/>
        <v>17RIO AVE 200 SPE LTDA.</v>
      </c>
      <c r="G198" s="18">
        <f t="shared" si="41"/>
        <v>17</v>
      </c>
      <c r="H198" s="19" t="str">
        <f t="shared" si="39"/>
        <v>4RIO AVE 200 SPE LTDA.</v>
      </c>
      <c r="I198" s="19">
        <f t="shared" si="42"/>
        <v>4</v>
      </c>
      <c r="J198" s="13" t="s">
        <v>48</v>
      </c>
      <c r="K198" s="13" t="s">
        <v>296</v>
      </c>
      <c r="L198" s="13" t="s">
        <v>54</v>
      </c>
      <c r="M198" s="13" t="s">
        <v>55</v>
      </c>
      <c r="N198" s="20">
        <v>1392.84</v>
      </c>
      <c r="O198" s="20">
        <v>1622.13</v>
      </c>
      <c r="P198" s="21">
        <v>45964</v>
      </c>
      <c r="Q198" s="22"/>
      <c r="R198" s="23">
        <v>1622.13</v>
      </c>
      <c r="S198" s="24"/>
      <c r="T198" s="23"/>
      <c r="U198" s="24"/>
      <c r="V198" s="23"/>
      <c r="W198" s="23"/>
      <c r="X198" s="24"/>
      <c r="Y198" s="23"/>
      <c r="Z198" s="23"/>
      <c r="AA198" s="23">
        <v>5.3299999999999992</v>
      </c>
      <c r="AB198" s="23">
        <v>107.44</v>
      </c>
      <c r="AC198" s="24">
        <v>480</v>
      </c>
      <c r="AD198" s="23">
        <v>81.540000000000006</v>
      </c>
      <c r="AE198" s="24">
        <v>451</v>
      </c>
      <c r="AF198" s="23"/>
      <c r="AG198" s="23"/>
      <c r="AH198" s="23">
        <v>24.47</v>
      </c>
      <c r="AI198" s="24">
        <v>0</v>
      </c>
      <c r="AJ198" s="25">
        <v>366.35</v>
      </c>
      <c r="AK198" s="23">
        <v>81.31</v>
      </c>
      <c r="AL198" s="23"/>
      <c r="AM198" s="24"/>
      <c r="AN198" s="23"/>
      <c r="AO198" s="24"/>
      <c r="AP198" s="23">
        <v>142.19999999999999</v>
      </c>
      <c r="AQ198" s="24">
        <v>540</v>
      </c>
      <c r="AR198" s="23">
        <v>72.210000000000008</v>
      </c>
      <c r="AS198" s="23">
        <v>-695.2</v>
      </c>
      <c r="AT198" s="23"/>
      <c r="AU198" s="24"/>
      <c r="AW198" s="27">
        <f t="shared" si="43"/>
        <v>366.35019800000003</v>
      </c>
      <c r="AX198" s="27">
        <f t="shared" si="44"/>
        <v>81.540198000000004</v>
      </c>
      <c r="AY198" s="27">
        <f t="shared" si="45"/>
        <v>107.440198</v>
      </c>
      <c r="AZ198" s="27">
        <f t="shared" si="46"/>
        <v>142.200198</v>
      </c>
    </row>
    <row r="199" spans="1:52" ht="15" customHeight="1" x14ac:dyDescent="0.25">
      <c r="A199" s="13" t="str">
        <f>VLOOKUP(L199,[1]VALIDAÇÃO!$D$13:$E$350,2,0)</f>
        <v>INDIRETO</v>
      </c>
      <c r="B199" s="14" t="str">
        <f t="shared" si="36"/>
        <v>11RIO AVE SUBHOLDING INCORPORACAO LTDA</v>
      </c>
      <c r="C199" s="15">
        <f t="shared" si="47"/>
        <v>11</v>
      </c>
      <c r="D199" s="16" t="str">
        <f t="shared" si="37"/>
        <v>11RIO AVE SUBHOLDING INCORPORACAO LTDA</v>
      </c>
      <c r="E199" s="17">
        <f t="shared" si="40"/>
        <v>11</v>
      </c>
      <c r="F199" s="18" t="str">
        <f t="shared" si="38"/>
        <v>11RIO AVE SUBHOLDING INCORPORACAO LTDA</v>
      </c>
      <c r="G199" s="18">
        <f t="shared" si="41"/>
        <v>11</v>
      </c>
      <c r="H199" s="19" t="str">
        <f t="shared" si="39"/>
        <v>10RIO AVE SUBHOLDING INCORPORACAO LTDA</v>
      </c>
      <c r="I199" s="19">
        <f t="shared" si="42"/>
        <v>10</v>
      </c>
      <c r="J199" s="13" t="s">
        <v>124</v>
      </c>
      <c r="K199" s="13" t="s">
        <v>297</v>
      </c>
      <c r="L199" s="13" t="s">
        <v>298</v>
      </c>
      <c r="M199" s="13" t="s">
        <v>127</v>
      </c>
      <c r="N199" s="20">
        <v>1173.97</v>
      </c>
      <c r="O199" s="20"/>
      <c r="P199" s="21">
        <v>45797</v>
      </c>
      <c r="Q199" s="22"/>
      <c r="R199" s="23"/>
      <c r="S199" s="24"/>
      <c r="T199" s="23"/>
      <c r="U199" s="24"/>
      <c r="V199" s="23"/>
      <c r="W199" s="23"/>
      <c r="X199" s="24"/>
      <c r="Y199" s="23"/>
      <c r="Z199" s="23"/>
      <c r="AA199" s="23"/>
      <c r="AB199" s="23"/>
      <c r="AC199" s="24"/>
      <c r="AD199" s="23"/>
      <c r="AE199" s="24"/>
      <c r="AF199" s="23"/>
      <c r="AG199" s="23"/>
      <c r="AH199" s="23"/>
      <c r="AI199" s="24"/>
      <c r="AJ199" s="25"/>
      <c r="AK199" s="23"/>
      <c r="AL199" s="23"/>
      <c r="AM199" s="24"/>
      <c r="AN199" s="23"/>
      <c r="AO199" s="24"/>
      <c r="AP199" s="23"/>
      <c r="AQ199" s="24"/>
      <c r="AR199" s="23"/>
      <c r="AS199" s="23">
        <v>-520</v>
      </c>
      <c r="AT199" s="23"/>
      <c r="AU199" s="24"/>
      <c r="AW199" s="27">
        <f t="shared" si="43"/>
        <v>1.9900000000000001E-4</v>
      </c>
      <c r="AX199" s="27">
        <f t="shared" si="44"/>
        <v>1.9900000000000001E-4</v>
      </c>
      <c r="AY199" s="27">
        <f t="shared" si="45"/>
        <v>1.9900000000000001E-4</v>
      </c>
      <c r="AZ199" s="27">
        <f t="shared" si="46"/>
        <v>1.9900000000000001E-4</v>
      </c>
    </row>
    <row r="200" spans="1:52" ht="15" customHeight="1" x14ac:dyDescent="0.25">
      <c r="A200" s="13" t="str">
        <f>VLOOKUP(L200,[1]VALIDAÇÃO!$D$13:$E$350,2,0)</f>
        <v>DIRETO</v>
      </c>
      <c r="B200" s="14" t="str">
        <f t="shared" si="36"/>
        <v>56RIO AVE 200 SPE LTDA.</v>
      </c>
      <c r="C200" s="15">
        <f t="shared" si="47"/>
        <v>56</v>
      </c>
      <c r="D200" s="16" t="str">
        <f t="shared" si="37"/>
        <v>64RIO AVE 200 SPE LTDA.</v>
      </c>
      <c r="E200" s="17">
        <f t="shared" si="40"/>
        <v>64</v>
      </c>
      <c r="F200" s="18" t="str">
        <f t="shared" si="38"/>
        <v>37RIO AVE 200 SPE LTDA.</v>
      </c>
      <c r="G200" s="18">
        <f t="shared" si="41"/>
        <v>37</v>
      </c>
      <c r="H200" s="19" t="str">
        <f t="shared" si="39"/>
        <v>65RIO AVE 200 SPE LTDA.</v>
      </c>
      <c r="I200" s="19">
        <f t="shared" si="42"/>
        <v>65</v>
      </c>
      <c r="J200" s="13" t="s">
        <v>48</v>
      </c>
      <c r="K200" s="13" t="s">
        <v>299</v>
      </c>
      <c r="L200" s="13" t="s">
        <v>54</v>
      </c>
      <c r="M200" s="13" t="s">
        <v>55</v>
      </c>
      <c r="N200" s="20">
        <v>65.239999999999995</v>
      </c>
      <c r="O200" s="20"/>
      <c r="P200" s="21">
        <v>45799</v>
      </c>
      <c r="Q200" s="22"/>
      <c r="R200" s="23"/>
      <c r="S200" s="24"/>
      <c r="T200" s="23"/>
      <c r="U200" s="24"/>
      <c r="V200" s="23"/>
      <c r="W200" s="23"/>
      <c r="X200" s="24"/>
      <c r="Y200" s="23"/>
      <c r="Z200" s="23"/>
      <c r="AA200" s="23">
        <v>0.34</v>
      </c>
      <c r="AB200" s="23">
        <v>16.73</v>
      </c>
      <c r="AC200" s="24">
        <v>179.43</v>
      </c>
      <c r="AD200" s="23">
        <v>5.05</v>
      </c>
      <c r="AE200" s="24">
        <v>54.14</v>
      </c>
      <c r="AF200" s="23"/>
      <c r="AG200" s="23"/>
      <c r="AH200" s="23">
        <v>1.76</v>
      </c>
      <c r="AI200" s="24">
        <v>0</v>
      </c>
      <c r="AJ200" s="25">
        <v>57.650000000000006</v>
      </c>
      <c r="AK200" s="23">
        <v>11.88</v>
      </c>
      <c r="AL200" s="23"/>
      <c r="AM200" s="24"/>
      <c r="AN200" s="23"/>
      <c r="AO200" s="24"/>
      <c r="AP200" s="23"/>
      <c r="AQ200" s="24"/>
      <c r="AR200" s="23">
        <v>4.2</v>
      </c>
      <c r="AS200" s="23"/>
      <c r="AT200" s="23"/>
      <c r="AU200" s="24"/>
      <c r="AW200" s="27">
        <f t="shared" si="43"/>
        <v>57.650200000000005</v>
      </c>
      <c r="AX200" s="27">
        <f t="shared" si="44"/>
        <v>5.0502000000000002</v>
      </c>
      <c r="AY200" s="27">
        <f t="shared" si="45"/>
        <v>16.7302</v>
      </c>
      <c r="AZ200" s="27">
        <f t="shared" si="46"/>
        <v>2.0000000000000001E-4</v>
      </c>
    </row>
    <row r="201" spans="1:52" ht="15" customHeight="1" x14ac:dyDescent="0.25">
      <c r="A201" s="13" t="str">
        <f>VLOOKUP(L201,[1]VALIDAÇÃO!$D$13:$E$350,2,0)</f>
        <v>DIRETO</v>
      </c>
      <c r="B201" s="14" t="str">
        <f t="shared" si="36"/>
        <v>61RIO AVE CARNEIROS 01 SPE LTDA.</v>
      </c>
      <c r="C201" s="15">
        <f t="shared" si="47"/>
        <v>61</v>
      </c>
      <c r="D201" s="16" t="str">
        <f t="shared" si="37"/>
        <v>35RIO AVE CARNEIROS 01 SPE LTDA.</v>
      </c>
      <c r="E201" s="17">
        <f t="shared" si="40"/>
        <v>35</v>
      </c>
      <c r="F201" s="18" t="str">
        <f t="shared" si="38"/>
        <v>116RIO AVE CARNEIROS 01 SPE LTDA.</v>
      </c>
      <c r="G201" s="18">
        <f t="shared" si="41"/>
        <v>116</v>
      </c>
      <c r="H201" s="19" t="str">
        <f t="shared" si="39"/>
        <v>136RIO AVE CARNEIROS 01 SPE LTDA.</v>
      </c>
      <c r="I201" s="19">
        <f t="shared" si="42"/>
        <v>136</v>
      </c>
      <c r="J201" s="13" t="s">
        <v>61</v>
      </c>
      <c r="K201" s="13" t="s">
        <v>300</v>
      </c>
      <c r="L201" s="13" t="s">
        <v>54</v>
      </c>
      <c r="M201" s="13" t="s">
        <v>55</v>
      </c>
      <c r="N201" s="20">
        <v>998.9</v>
      </c>
      <c r="O201" s="20">
        <v>1622.13</v>
      </c>
      <c r="P201" s="21">
        <v>45828</v>
      </c>
      <c r="Q201" s="22"/>
      <c r="R201" s="23">
        <v>1622.13</v>
      </c>
      <c r="S201" s="24"/>
      <c r="T201" s="23"/>
      <c r="U201" s="24"/>
      <c r="V201" s="23"/>
      <c r="W201" s="23"/>
      <c r="X201" s="24"/>
      <c r="Y201" s="23"/>
      <c r="Z201" s="23"/>
      <c r="AA201" s="23">
        <v>3.9799999999999995</v>
      </c>
      <c r="AB201" s="23">
        <v>19.16</v>
      </c>
      <c r="AC201" s="24">
        <v>203.81428571428569</v>
      </c>
      <c r="AD201" s="23">
        <v>267.14999999999998</v>
      </c>
      <c r="AE201" s="24">
        <v>1906.7571428571428</v>
      </c>
      <c r="AF201" s="23"/>
      <c r="AG201" s="23"/>
      <c r="AH201" s="23">
        <v>18.689999999999998</v>
      </c>
      <c r="AI201" s="24">
        <v>0</v>
      </c>
      <c r="AJ201" s="25">
        <v>398.06</v>
      </c>
      <c r="AK201" s="23">
        <v>86.94</v>
      </c>
      <c r="AL201" s="23">
        <v>-5.4</v>
      </c>
      <c r="AM201" s="24">
        <v>41</v>
      </c>
      <c r="AN201" s="23">
        <v>-115.87</v>
      </c>
      <c r="AO201" s="24">
        <v>2</v>
      </c>
      <c r="AP201" s="23"/>
      <c r="AQ201" s="24"/>
      <c r="AR201" s="23">
        <v>60.73</v>
      </c>
      <c r="AS201" s="23">
        <v>-815.2</v>
      </c>
      <c r="AT201" s="23">
        <v>-173.8</v>
      </c>
      <c r="AU201" s="24">
        <v>3</v>
      </c>
      <c r="AW201" s="27">
        <f t="shared" si="43"/>
        <v>398.06020100000001</v>
      </c>
      <c r="AX201" s="27">
        <f t="shared" si="44"/>
        <v>267.15020099999998</v>
      </c>
      <c r="AY201" s="27">
        <f t="shared" si="45"/>
        <v>19.160201000000001</v>
      </c>
      <c r="AZ201" s="27">
        <f t="shared" si="46"/>
        <v>2.0100000000000001E-4</v>
      </c>
    </row>
    <row r="202" spans="1:52" ht="15" customHeight="1" x14ac:dyDescent="0.25">
      <c r="A202" s="13" t="str">
        <f>VLOOKUP(L202,[1]VALIDAÇÃO!$D$13:$E$350,2,0)</f>
        <v>DIRETO</v>
      </c>
      <c r="B202" s="14" t="str">
        <f t="shared" si="36"/>
        <v>118RESERVA DO PAIVA SPE 03 LTDA</v>
      </c>
      <c r="C202" s="15">
        <f t="shared" si="47"/>
        <v>118</v>
      </c>
      <c r="D202" s="16" t="str">
        <f t="shared" si="37"/>
        <v>102RESERVA DO PAIVA SPE 03 LTDA</v>
      </c>
      <c r="E202" s="17">
        <f t="shared" si="40"/>
        <v>102</v>
      </c>
      <c r="F202" s="18" t="str">
        <f t="shared" si="38"/>
        <v>86RESERVA DO PAIVA SPE 03 LTDA</v>
      </c>
      <c r="G202" s="18">
        <f t="shared" si="41"/>
        <v>86</v>
      </c>
      <c r="H202" s="19" t="str">
        <f t="shared" si="39"/>
        <v>74RESERVA DO PAIVA SPE 03 LTDA</v>
      </c>
      <c r="I202" s="19">
        <f t="shared" si="42"/>
        <v>74</v>
      </c>
      <c r="J202" s="13" t="s">
        <v>52</v>
      </c>
      <c r="K202" s="13" t="s">
        <v>301</v>
      </c>
      <c r="L202" s="13" t="s">
        <v>54</v>
      </c>
      <c r="M202" s="13" t="s">
        <v>55</v>
      </c>
      <c r="N202" s="20">
        <v>433.06</v>
      </c>
      <c r="O202" s="20">
        <v>1622.13</v>
      </c>
      <c r="P202" s="21">
        <v>45882</v>
      </c>
      <c r="Q202" s="22"/>
      <c r="R202" s="23">
        <v>1622.13</v>
      </c>
      <c r="S202" s="24"/>
      <c r="T202" s="23"/>
      <c r="U202" s="24"/>
      <c r="V202" s="23"/>
      <c r="W202" s="23"/>
      <c r="X202" s="24"/>
      <c r="Y202" s="23"/>
      <c r="Z202" s="23"/>
      <c r="AA202" s="23">
        <v>0.69</v>
      </c>
      <c r="AB202" s="23">
        <v>84.58</v>
      </c>
      <c r="AC202" s="24">
        <v>1044.8285714285714</v>
      </c>
      <c r="AD202" s="23">
        <v>135.70999999999998</v>
      </c>
      <c r="AE202" s="24">
        <v>1088.4128571428571</v>
      </c>
      <c r="AF202" s="23"/>
      <c r="AG202" s="23"/>
      <c r="AH202" s="23">
        <v>3.05</v>
      </c>
      <c r="AI202" s="24">
        <v>0</v>
      </c>
      <c r="AJ202" s="25">
        <v>78.87</v>
      </c>
      <c r="AK202" s="23">
        <v>17.47</v>
      </c>
      <c r="AL202" s="23"/>
      <c r="AM202" s="24"/>
      <c r="AN202" s="23">
        <v>-57.93</v>
      </c>
      <c r="AO202" s="24">
        <v>1</v>
      </c>
      <c r="AP202" s="23">
        <v>16.43</v>
      </c>
      <c r="AQ202" s="24">
        <v>172.55714285714288</v>
      </c>
      <c r="AR202" s="23">
        <v>53.82</v>
      </c>
      <c r="AS202" s="23">
        <v>-695.2</v>
      </c>
      <c r="AT202" s="23">
        <v>-57.93</v>
      </c>
      <c r="AU202" s="24">
        <v>1</v>
      </c>
      <c r="AW202" s="27">
        <f t="shared" si="43"/>
        <v>78.870202000000006</v>
      </c>
      <c r="AX202" s="27">
        <f t="shared" si="44"/>
        <v>135.71020199999998</v>
      </c>
      <c r="AY202" s="27">
        <f t="shared" si="45"/>
        <v>84.580202</v>
      </c>
      <c r="AZ202" s="27">
        <f t="shared" si="46"/>
        <v>16.430202000000001</v>
      </c>
    </row>
    <row r="203" spans="1:52" ht="15" customHeight="1" x14ac:dyDescent="0.25">
      <c r="A203" s="13" t="str">
        <f>VLOOKUP(L203,[1]VALIDAÇÃO!$D$13:$E$350,2,0)</f>
        <v>DIRETO</v>
      </c>
      <c r="B203" s="14" t="str">
        <f t="shared" si="36"/>
        <v>98CONDOMINIO DO EDIFICIO EMPRESARIAL MARIE CURIE</v>
      </c>
      <c r="C203" s="15">
        <f t="shared" si="47"/>
        <v>98</v>
      </c>
      <c r="D203" s="16" t="str">
        <f t="shared" si="37"/>
        <v>31CONDOMINIO DO EDIFICIO EMPRESARIAL MARIE CURIE</v>
      </c>
      <c r="E203" s="17">
        <f t="shared" si="40"/>
        <v>31</v>
      </c>
      <c r="F203" s="18" t="str">
        <f t="shared" si="38"/>
        <v>117CONDOMINIO DO EDIFICIO EMPRESARIAL MARIE CURIE</v>
      </c>
      <c r="G203" s="18">
        <f t="shared" si="41"/>
        <v>117</v>
      </c>
      <c r="H203" s="19" t="str">
        <f t="shared" si="39"/>
        <v>103CONDOMINIO DO EDIFICIO EMPRESARIAL MARIE CURIE</v>
      </c>
      <c r="I203" s="19">
        <f t="shared" si="42"/>
        <v>103</v>
      </c>
      <c r="J203" s="13" t="s">
        <v>57</v>
      </c>
      <c r="K203" s="13" t="s">
        <v>302</v>
      </c>
      <c r="L203" s="13" t="s">
        <v>87</v>
      </c>
      <c r="M203" s="13" t="s">
        <v>60</v>
      </c>
      <c r="N203" s="20">
        <v>1543.26</v>
      </c>
      <c r="O203" s="20">
        <v>2156</v>
      </c>
      <c r="P203" s="21">
        <v>45992</v>
      </c>
      <c r="Q203" s="22"/>
      <c r="R203" s="23">
        <v>2156</v>
      </c>
      <c r="S203" s="24"/>
      <c r="T203" s="23"/>
      <c r="U203" s="24"/>
      <c r="V203" s="23"/>
      <c r="W203" s="23"/>
      <c r="X203" s="24"/>
      <c r="Y203" s="23"/>
      <c r="Z203" s="23"/>
      <c r="AA203" s="23">
        <v>1.53</v>
      </c>
      <c r="AB203" s="23"/>
      <c r="AC203" s="24"/>
      <c r="AD203" s="23">
        <v>232.7</v>
      </c>
      <c r="AE203" s="24">
        <v>782.19</v>
      </c>
      <c r="AF203" s="23"/>
      <c r="AG203" s="23"/>
      <c r="AH203" s="23">
        <v>7.02</v>
      </c>
      <c r="AI203" s="24">
        <v>0</v>
      </c>
      <c r="AJ203" s="25">
        <v>169.23</v>
      </c>
      <c r="AK203" s="23">
        <v>36.79</v>
      </c>
      <c r="AL203" s="23"/>
      <c r="AM203" s="24"/>
      <c r="AN203" s="23"/>
      <c r="AO203" s="24"/>
      <c r="AP203" s="23"/>
      <c r="AQ203" s="24"/>
      <c r="AR203" s="23">
        <v>50.59</v>
      </c>
      <c r="AS203" s="23">
        <v>-974</v>
      </c>
      <c r="AT203" s="23"/>
      <c r="AU203" s="24"/>
      <c r="AW203" s="27">
        <f t="shared" si="43"/>
        <v>169.23020299999999</v>
      </c>
      <c r="AX203" s="27">
        <f t="shared" si="44"/>
        <v>232.70020299999999</v>
      </c>
      <c r="AY203" s="27">
        <f t="shared" si="45"/>
        <v>2.03E-4</v>
      </c>
      <c r="AZ203" s="27">
        <f t="shared" si="46"/>
        <v>2.03E-4</v>
      </c>
    </row>
    <row r="204" spans="1:52" ht="15" customHeight="1" x14ac:dyDescent="0.25">
      <c r="A204" s="13" t="str">
        <f>VLOOKUP(L204,[1]VALIDAÇÃO!$D$13:$E$350,2,0)</f>
        <v>DIRETO</v>
      </c>
      <c r="B204" s="14" t="str">
        <f t="shared" si="36"/>
        <v>13RESERVA DO PAIVA SPE 03 LTDA</v>
      </c>
      <c r="C204" s="15">
        <f t="shared" si="47"/>
        <v>13</v>
      </c>
      <c r="D204" s="16" t="str">
        <f t="shared" si="37"/>
        <v>4RESERVA DO PAIVA SPE 03 LTDA</v>
      </c>
      <c r="E204" s="17">
        <f t="shared" si="40"/>
        <v>4</v>
      </c>
      <c r="F204" s="18" t="str">
        <f t="shared" si="38"/>
        <v>4RESERVA DO PAIVA SPE 03 LTDA</v>
      </c>
      <c r="G204" s="18">
        <f t="shared" si="41"/>
        <v>4</v>
      </c>
      <c r="H204" s="19" t="str">
        <f t="shared" si="39"/>
        <v>13RESERVA DO PAIVA SPE 03 LTDA</v>
      </c>
      <c r="I204" s="19">
        <f t="shared" si="42"/>
        <v>13</v>
      </c>
      <c r="J204" s="13" t="s">
        <v>52</v>
      </c>
      <c r="K204" s="13" t="s">
        <v>303</v>
      </c>
      <c r="L204" s="13" t="s">
        <v>131</v>
      </c>
      <c r="M204" s="13" t="s">
        <v>55</v>
      </c>
      <c r="N204" s="20">
        <v>2626.28</v>
      </c>
      <c r="O204" s="20">
        <v>2156</v>
      </c>
      <c r="P204" s="21">
        <v>45418</v>
      </c>
      <c r="Q204" s="22"/>
      <c r="R204" s="23">
        <v>2156</v>
      </c>
      <c r="S204" s="24"/>
      <c r="T204" s="23"/>
      <c r="U204" s="24"/>
      <c r="V204" s="23"/>
      <c r="W204" s="23">
        <v>2.3699999999999997</v>
      </c>
      <c r="X204" s="24">
        <v>66.88</v>
      </c>
      <c r="Y204" s="23"/>
      <c r="Z204" s="23"/>
      <c r="AA204" s="23">
        <v>39.169999999999995</v>
      </c>
      <c r="AB204" s="23">
        <v>576.42000000000007</v>
      </c>
      <c r="AC204" s="24">
        <v>2080.3228571428572</v>
      </c>
      <c r="AD204" s="23">
        <v>1260.76</v>
      </c>
      <c r="AE204" s="24">
        <v>4744.3099999999995</v>
      </c>
      <c r="AF204" s="23"/>
      <c r="AG204" s="23"/>
      <c r="AH204" s="23">
        <v>176.18</v>
      </c>
      <c r="AI204" s="24">
        <v>0</v>
      </c>
      <c r="AJ204" s="25">
        <v>923.44</v>
      </c>
      <c r="AK204" s="23">
        <v>203.15</v>
      </c>
      <c r="AL204" s="23"/>
      <c r="AM204" s="24"/>
      <c r="AN204" s="23"/>
      <c r="AO204" s="24"/>
      <c r="AP204" s="23">
        <v>453.49</v>
      </c>
      <c r="AQ204" s="24">
        <v>1295.67</v>
      </c>
      <c r="AR204" s="23">
        <v>495.61</v>
      </c>
      <c r="AS204" s="23">
        <v>-924</v>
      </c>
      <c r="AT204" s="23"/>
      <c r="AU204" s="24"/>
      <c r="AW204" s="27">
        <f t="shared" si="43"/>
        <v>923.44020400000011</v>
      </c>
      <c r="AX204" s="27">
        <f t="shared" si="44"/>
        <v>1260.7602039999999</v>
      </c>
      <c r="AY204" s="27">
        <f t="shared" si="45"/>
        <v>576.42020400000013</v>
      </c>
      <c r="AZ204" s="27">
        <f t="shared" si="46"/>
        <v>453.49020400000001</v>
      </c>
    </row>
    <row r="205" spans="1:52" ht="15" customHeight="1" x14ac:dyDescent="0.25">
      <c r="A205" s="13" t="str">
        <f>VLOOKUP(L205,[1]VALIDAÇÃO!$D$13:$E$350,2,0)</f>
        <v>DIRETO</v>
      </c>
      <c r="B205" s="14" t="str">
        <f t="shared" si="36"/>
        <v>8RIO AVE INVESTIMENTOS LTDA</v>
      </c>
      <c r="C205" s="15">
        <f t="shared" si="47"/>
        <v>8</v>
      </c>
      <c r="D205" s="16" t="str">
        <f t="shared" si="37"/>
        <v>10RIO AVE INVESTIMENTOS LTDA</v>
      </c>
      <c r="E205" s="17">
        <f t="shared" si="40"/>
        <v>10</v>
      </c>
      <c r="F205" s="18" t="str">
        <f t="shared" si="38"/>
        <v>13RIO AVE INVESTIMENTOS LTDA</v>
      </c>
      <c r="G205" s="18">
        <f t="shared" si="41"/>
        <v>13</v>
      </c>
      <c r="H205" s="19" t="str">
        <f t="shared" si="39"/>
        <v>13RIO AVE INVESTIMENTOS LTDA</v>
      </c>
      <c r="I205" s="19">
        <f t="shared" si="42"/>
        <v>13</v>
      </c>
      <c r="J205" s="13" t="s">
        <v>304</v>
      </c>
      <c r="K205" s="13" t="s">
        <v>305</v>
      </c>
      <c r="L205" s="13" t="s">
        <v>54</v>
      </c>
      <c r="M205" s="13" t="s">
        <v>306</v>
      </c>
      <c r="N205" s="20">
        <v>1072.08</v>
      </c>
      <c r="O205" s="20">
        <v>1738</v>
      </c>
      <c r="P205" s="21">
        <v>45908</v>
      </c>
      <c r="Q205" s="22"/>
      <c r="R205" s="23">
        <v>1738</v>
      </c>
      <c r="S205" s="24"/>
      <c r="T205" s="23"/>
      <c r="U205" s="24"/>
      <c r="V205" s="23"/>
      <c r="W205" s="23"/>
      <c r="X205" s="24"/>
      <c r="Y205" s="23"/>
      <c r="Z205" s="23"/>
      <c r="AA205" s="23">
        <v>1.4000000000000001</v>
      </c>
      <c r="AB205" s="23"/>
      <c r="AC205" s="24"/>
      <c r="AD205" s="23">
        <v>236.05</v>
      </c>
      <c r="AE205" s="24">
        <v>1353.67</v>
      </c>
      <c r="AF205" s="23"/>
      <c r="AG205" s="23"/>
      <c r="AH205" s="23">
        <v>6.72</v>
      </c>
      <c r="AI205" s="24">
        <v>0</v>
      </c>
      <c r="AJ205" s="25">
        <v>157.97</v>
      </c>
      <c r="AK205" s="23">
        <v>31.57</v>
      </c>
      <c r="AL205" s="23">
        <v>-3.56</v>
      </c>
      <c r="AM205" s="24">
        <v>27</v>
      </c>
      <c r="AN205" s="23"/>
      <c r="AO205" s="24"/>
      <c r="AP205" s="23"/>
      <c r="AQ205" s="24"/>
      <c r="AR205" s="23">
        <v>49.15</v>
      </c>
      <c r="AS205" s="23">
        <v>-695.2</v>
      </c>
      <c r="AT205" s="23"/>
      <c r="AU205" s="24"/>
      <c r="AW205" s="27">
        <f t="shared" si="43"/>
        <v>157.97020499999999</v>
      </c>
      <c r="AX205" s="27">
        <f t="shared" si="44"/>
        <v>236.05020500000001</v>
      </c>
      <c r="AY205" s="27">
        <f t="shared" si="45"/>
        <v>2.05E-4</v>
      </c>
      <c r="AZ205" s="27">
        <f t="shared" si="46"/>
        <v>2.05E-4</v>
      </c>
    </row>
    <row r="206" spans="1:52" ht="15" customHeight="1" x14ac:dyDescent="0.25">
      <c r="A206" s="13" t="str">
        <f>VLOOKUP(L206,[1]VALIDAÇÃO!$D$13:$E$350,2,0)</f>
        <v>DIRETO</v>
      </c>
      <c r="B206" s="14" t="str">
        <f t="shared" si="36"/>
        <v>110CONDOMINIO DO EDIFICIO EMPRESARIAL MARIE CURIE</v>
      </c>
      <c r="C206" s="15">
        <f t="shared" si="47"/>
        <v>110</v>
      </c>
      <c r="D206" s="16" t="str">
        <f t="shared" si="37"/>
        <v>46CONDOMINIO DO EDIFICIO EMPRESARIAL MARIE CURIE</v>
      </c>
      <c r="E206" s="17">
        <f t="shared" si="40"/>
        <v>46</v>
      </c>
      <c r="F206" s="18" t="str">
        <f t="shared" si="38"/>
        <v>116CONDOMINIO DO EDIFICIO EMPRESARIAL MARIE CURIE</v>
      </c>
      <c r="G206" s="18">
        <f t="shared" si="41"/>
        <v>116</v>
      </c>
      <c r="H206" s="19" t="str">
        <f t="shared" si="39"/>
        <v>102CONDOMINIO DO EDIFICIO EMPRESARIAL MARIE CURIE</v>
      </c>
      <c r="I206" s="19">
        <f t="shared" si="42"/>
        <v>102</v>
      </c>
      <c r="J206" s="13" t="s">
        <v>57</v>
      </c>
      <c r="K206" s="13" t="s">
        <v>307</v>
      </c>
      <c r="L206" s="13" t="s">
        <v>149</v>
      </c>
      <c r="M206" s="13" t="s">
        <v>60</v>
      </c>
      <c r="N206" s="20">
        <v>1165.99</v>
      </c>
      <c r="O206" s="20">
        <v>1622.13</v>
      </c>
      <c r="P206" s="21">
        <v>45992</v>
      </c>
      <c r="Q206" s="22"/>
      <c r="R206" s="23">
        <v>1622.13</v>
      </c>
      <c r="S206" s="24"/>
      <c r="T206" s="23"/>
      <c r="U206" s="24"/>
      <c r="V206" s="23"/>
      <c r="W206" s="23"/>
      <c r="X206" s="24"/>
      <c r="Y206" s="23"/>
      <c r="Z206" s="23"/>
      <c r="AA206" s="23">
        <v>0.79</v>
      </c>
      <c r="AB206" s="23"/>
      <c r="AC206" s="24"/>
      <c r="AD206" s="23">
        <v>181.8</v>
      </c>
      <c r="AE206" s="24">
        <v>812.19</v>
      </c>
      <c r="AF206" s="23"/>
      <c r="AG206" s="23"/>
      <c r="AH206" s="23">
        <v>3.64</v>
      </c>
      <c r="AI206" s="24">
        <v>0</v>
      </c>
      <c r="AJ206" s="25">
        <v>84.62</v>
      </c>
      <c r="AK206" s="23">
        <v>18.399999999999999</v>
      </c>
      <c r="AL206" s="23"/>
      <c r="AM206" s="24"/>
      <c r="AN206" s="23"/>
      <c r="AO206" s="24"/>
      <c r="AP206" s="23"/>
      <c r="AQ206" s="24"/>
      <c r="AR206" s="23">
        <v>39.520000000000003</v>
      </c>
      <c r="AS206" s="23">
        <v>-745.2</v>
      </c>
      <c r="AT206" s="23"/>
      <c r="AU206" s="24"/>
      <c r="AW206" s="27">
        <f t="shared" si="43"/>
        <v>84.62020600000001</v>
      </c>
      <c r="AX206" s="27">
        <f t="shared" si="44"/>
        <v>181.800206</v>
      </c>
      <c r="AY206" s="27">
        <f t="shared" si="45"/>
        <v>2.0599999999999999E-4</v>
      </c>
      <c r="AZ206" s="27">
        <f t="shared" si="46"/>
        <v>2.0599999999999999E-4</v>
      </c>
    </row>
    <row r="207" spans="1:52" ht="15" customHeight="1" x14ac:dyDescent="0.25">
      <c r="A207" s="13" t="str">
        <f>VLOOKUP(L207,[1]VALIDAÇÃO!$D$13:$E$350,2,0)</f>
        <v>DIRETO</v>
      </c>
      <c r="B207" s="14" t="str">
        <f t="shared" si="36"/>
        <v>119RESERVA DO PAIVA SPE 03 LTDA</v>
      </c>
      <c r="C207" s="15">
        <f t="shared" si="47"/>
        <v>119</v>
      </c>
      <c r="D207" s="16" t="str">
        <f t="shared" si="37"/>
        <v>147RESERVA DO PAIVA SPE 03 LTDA</v>
      </c>
      <c r="E207" s="17">
        <f t="shared" si="40"/>
        <v>147</v>
      </c>
      <c r="F207" s="18" t="str">
        <f t="shared" si="38"/>
        <v>156RESERVA DO PAIVA SPE 03 LTDA</v>
      </c>
      <c r="G207" s="18">
        <f t="shared" si="41"/>
        <v>156</v>
      </c>
      <c r="H207" s="19" t="str">
        <f t="shared" si="39"/>
        <v>140RESERVA DO PAIVA SPE 03 LTDA</v>
      </c>
      <c r="I207" s="19">
        <f t="shared" si="42"/>
        <v>140</v>
      </c>
      <c r="J207" s="13" t="s">
        <v>52</v>
      </c>
      <c r="K207" s="13" t="s">
        <v>308</v>
      </c>
      <c r="L207" s="13" t="s">
        <v>54</v>
      </c>
      <c r="M207" s="13" t="s">
        <v>55</v>
      </c>
      <c r="N207" s="20">
        <v>670.2</v>
      </c>
      <c r="O207" s="20">
        <v>1622.13</v>
      </c>
      <c r="P207" s="21">
        <v>45873</v>
      </c>
      <c r="Q207" s="22"/>
      <c r="R207" s="23">
        <v>1622.13</v>
      </c>
      <c r="S207" s="24"/>
      <c r="T207" s="23"/>
      <c r="U207" s="24"/>
      <c r="V207" s="23"/>
      <c r="W207" s="23"/>
      <c r="X207" s="24"/>
      <c r="Y207" s="23"/>
      <c r="Z207" s="23"/>
      <c r="AA207" s="23">
        <v>0.01</v>
      </c>
      <c r="AB207" s="23"/>
      <c r="AC207" s="24"/>
      <c r="AD207" s="23">
        <v>6.47</v>
      </c>
      <c r="AE207" s="24">
        <v>58.785714285714285</v>
      </c>
      <c r="AF207" s="23"/>
      <c r="AG207" s="23"/>
      <c r="AH207" s="23">
        <v>0.04</v>
      </c>
      <c r="AI207" s="24">
        <v>0</v>
      </c>
      <c r="AJ207" s="25">
        <v>73.63</v>
      </c>
      <c r="AK207" s="23">
        <v>16.7</v>
      </c>
      <c r="AL207" s="23">
        <v>-27.52</v>
      </c>
      <c r="AM207" s="24">
        <v>209</v>
      </c>
      <c r="AN207" s="23"/>
      <c r="AO207" s="24"/>
      <c r="AP207" s="23"/>
      <c r="AQ207" s="24"/>
      <c r="AR207" s="23">
        <v>1.26</v>
      </c>
      <c r="AS207" s="23">
        <v>-695.2</v>
      </c>
      <c r="AT207" s="23"/>
      <c r="AU207" s="24"/>
      <c r="AW207" s="27">
        <f t="shared" si="43"/>
        <v>73.630206999999999</v>
      </c>
      <c r="AX207" s="27">
        <f t="shared" si="44"/>
        <v>6.4702069999999994</v>
      </c>
      <c r="AY207" s="27">
        <f t="shared" si="45"/>
        <v>2.0699999999999999E-4</v>
      </c>
      <c r="AZ207" s="27">
        <f t="shared" si="46"/>
        <v>2.0699999999999999E-4</v>
      </c>
    </row>
    <row r="208" spans="1:52" ht="15" customHeight="1" x14ac:dyDescent="0.25">
      <c r="A208" s="13" t="str">
        <f>VLOOKUP(L208,[1]VALIDAÇÃO!$D$13:$E$350,2,0)</f>
        <v>DIRETO</v>
      </c>
      <c r="B208" s="14" t="str">
        <f t="shared" si="36"/>
        <v>14RIO AVE PRAIA HOTEL SPE LTDA.</v>
      </c>
      <c r="C208" s="15">
        <f t="shared" si="47"/>
        <v>14</v>
      </c>
      <c r="D208" s="16" t="str">
        <f t="shared" si="37"/>
        <v>5RIO AVE PRAIA HOTEL SPE LTDA.</v>
      </c>
      <c r="E208" s="17">
        <f t="shared" si="40"/>
        <v>5</v>
      </c>
      <c r="F208" s="18" t="str">
        <f t="shared" si="38"/>
        <v>9RIO AVE PRAIA HOTEL SPE LTDA.</v>
      </c>
      <c r="G208" s="18">
        <f t="shared" si="41"/>
        <v>9</v>
      </c>
      <c r="H208" s="19" t="str">
        <f t="shared" si="39"/>
        <v>11RIO AVE PRAIA HOTEL SPE LTDA.</v>
      </c>
      <c r="I208" s="19">
        <f t="shared" si="42"/>
        <v>11</v>
      </c>
      <c r="J208" s="13" t="s">
        <v>80</v>
      </c>
      <c r="K208" s="13" t="s">
        <v>309</v>
      </c>
      <c r="L208" s="13" t="s">
        <v>54</v>
      </c>
      <c r="M208" s="13" t="s">
        <v>82</v>
      </c>
      <c r="N208" s="20">
        <v>1623.19</v>
      </c>
      <c r="O208" s="20">
        <v>1564.2</v>
      </c>
      <c r="P208" s="21">
        <v>45706</v>
      </c>
      <c r="Q208" s="22"/>
      <c r="R208" s="23">
        <v>1564.2</v>
      </c>
      <c r="S208" s="24"/>
      <c r="T208" s="23"/>
      <c r="U208" s="24"/>
      <c r="V208" s="23"/>
      <c r="W208" s="23"/>
      <c r="X208" s="24"/>
      <c r="Y208" s="23"/>
      <c r="Z208" s="23"/>
      <c r="AA208" s="23">
        <v>13.049999999999997</v>
      </c>
      <c r="AB208" s="23">
        <v>390.59999999999997</v>
      </c>
      <c r="AC208" s="24">
        <v>2154.7142857142858</v>
      </c>
      <c r="AD208" s="23">
        <v>548.59</v>
      </c>
      <c r="AE208" s="24">
        <v>3141.1428571428569</v>
      </c>
      <c r="AF208" s="23"/>
      <c r="AG208" s="23"/>
      <c r="AH208" s="23">
        <v>58.510000000000005</v>
      </c>
      <c r="AI208" s="24">
        <v>0</v>
      </c>
      <c r="AJ208" s="25">
        <v>359.64</v>
      </c>
      <c r="AK208" s="23">
        <v>79.209999999999994</v>
      </c>
      <c r="AL208" s="23">
        <v>-39.76</v>
      </c>
      <c r="AM208" s="24">
        <v>302</v>
      </c>
      <c r="AN208" s="23"/>
      <c r="AO208" s="24"/>
      <c r="AP208" s="23">
        <v>380.17</v>
      </c>
      <c r="AQ208" s="24">
        <v>1729</v>
      </c>
      <c r="AR208" s="23">
        <v>290.87</v>
      </c>
      <c r="AS208" s="23">
        <v>-695.2</v>
      </c>
      <c r="AT208" s="23"/>
      <c r="AU208" s="24"/>
      <c r="AW208" s="27">
        <f t="shared" si="43"/>
        <v>359.64020799999997</v>
      </c>
      <c r="AX208" s="27">
        <f t="shared" si="44"/>
        <v>548.59020800000008</v>
      </c>
      <c r="AY208" s="27">
        <f t="shared" si="45"/>
        <v>390.60020799999995</v>
      </c>
      <c r="AZ208" s="27">
        <f t="shared" si="46"/>
        <v>380.170208</v>
      </c>
    </row>
    <row r="209" spans="1:52" ht="15" customHeight="1" x14ac:dyDescent="0.25">
      <c r="A209" s="13" t="str">
        <f>VLOOKUP(L209,[1]VALIDAÇÃO!$D$13:$E$350,2,0)</f>
        <v>DIRETO</v>
      </c>
      <c r="B209" s="14" t="str">
        <f t="shared" si="36"/>
        <v>20RIO AVE CARNEIROS 01 SPE LTDA.</v>
      </c>
      <c r="C209" s="15">
        <f t="shared" si="47"/>
        <v>20</v>
      </c>
      <c r="D209" s="16" t="str">
        <f t="shared" si="37"/>
        <v>40RIO AVE CARNEIROS 01 SPE LTDA.</v>
      </c>
      <c r="E209" s="17">
        <f t="shared" si="40"/>
        <v>40</v>
      </c>
      <c r="F209" s="18" t="str">
        <f t="shared" si="38"/>
        <v>30RIO AVE CARNEIROS 01 SPE LTDA.</v>
      </c>
      <c r="G209" s="18">
        <f t="shared" si="41"/>
        <v>30</v>
      </c>
      <c r="H209" s="19" t="str">
        <f t="shared" si="39"/>
        <v>6RIO AVE CARNEIROS 01 SPE LTDA.</v>
      </c>
      <c r="I209" s="19">
        <f t="shared" si="42"/>
        <v>6</v>
      </c>
      <c r="J209" s="13" t="s">
        <v>61</v>
      </c>
      <c r="K209" s="13" t="s">
        <v>310</v>
      </c>
      <c r="L209" s="13" t="s">
        <v>63</v>
      </c>
      <c r="M209" s="13" t="s">
        <v>55</v>
      </c>
      <c r="N209" s="20">
        <v>1699.39</v>
      </c>
      <c r="O209" s="20">
        <v>2156</v>
      </c>
      <c r="P209" s="21">
        <v>45817</v>
      </c>
      <c r="Q209" s="22"/>
      <c r="R209" s="23">
        <v>2156</v>
      </c>
      <c r="S209" s="24"/>
      <c r="T209" s="23"/>
      <c r="U209" s="24"/>
      <c r="V209" s="23"/>
      <c r="W209" s="23"/>
      <c r="X209" s="24"/>
      <c r="Y209" s="23"/>
      <c r="Z209" s="23"/>
      <c r="AA209" s="23">
        <v>8.26</v>
      </c>
      <c r="AB209" s="23">
        <v>164.09</v>
      </c>
      <c r="AC209" s="24">
        <v>1153.0999999999999</v>
      </c>
      <c r="AD209" s="23">
        <v>247.88</v>
      </c>
      <c r="AE209" s="24">
        <v>926.09999999999991</v>
      </c>
      <c r="AF209" s="23"/>
      <c r="AG209" s="23"/>
      <c r="AH209" s="23">
        <v>36.590000000000003</v>
      </c>
      <c r="AI209" s="24">
        <v>0</v>
      </c>
      <c r="AJ209" s="25">
        <v>660.03</v>
      </c>
      <c r="AK209" s="23">
        <v>144.56</v>
      </c>
      <c r="AL209" s="23">
        <v>-9.1</v>
      </c>
      <c r="AM209" s="24">
        <v>52</v>
      </c>
      <c r="AN209" s="23">
        <v>-77</v>
      </c>
      <c r="AO209" s="24">
        <v>1</v>
      </c>
      <c r="AP209" s="23">
        <v>96.820000000000007</v>
      </c>
      <c r="AQ209" s="24">
        <v>578.32857142857142</v>
      </c>
      <c r="AR209" s="23">
        <v>113.03999999999999</v>
      </c>
      <c r="AS209" s="23">
        <v>-1014</v>
      </c>
      <c r="AT209" s="23">
        <v>-77</v>
      </c>
      <c r="AU209" s="24">
        <v>1</v>
      </c>
      <c r="AW209" s="27">
        <f t="shared" si="43"/>
        <v>660.03020900000001</v>
      </c>
      <c r="AX209" s="27">
        <f t="shared" si="44"/>
        <v>247.88020900000001</v>
      </c>
      <c r="AY209" s="27">
        <f t="shared" si="45"/>
        <v>164.09020900000002</v>
      </c>
      <c r="AZ209" s="27">
        <f t="shared" si="46"/>
        <v>96.820209000000006</v>
      </c>
    </row>
    <row r="210" spans="1:52" ht="15" customHeight="1" x14ac:dyDescent="0.25">
      <c r="A210" s="13" t="str">
        <f>VLOOKUP(L210,[1]VALIDAÇÃO!$D$13:$E$350,2,0)</f>
        <v>DIRETO</v>
      </c>
      <c r="B210" s="14" t="str">
        <f t="shared" si="36"/>
        <v>39RESERVA DO PAIVA SPE 03 LTDA</v>
      </c>
      <c r="C210" s="15">
        <f t="shared" si="47"/>
        <v>39</v>
      </c>
      <c r="D210" s="16" t="str">
        <f t="shared" si="37"/>
        <v>139RESERVA DO PAIVA SPE 03 LTDA</v>
      </c>
      <c r="E210" s="17">
        <f t="shared" si="40"/>
        <v>139</v>
      </c>
      <c r="F210" s="18" t="str">
        <f t="shared" si="38"/>
        <v>33RESERVA DO PAIVA SPE 03 LTDA</v>
      </c>
      <c r="G210" s="18">
        <f t="shared" si="41"/>
        <v>33</v>
      </c>
      <c r="H210" s="19" t="str">
        <f t="shared" si="39"/>
        <v>29RESERVA DO PAIVA SPE 03 LTDA</v>
      </c>
      <c r="I210" s="19">
        <f t="shared" si="42"/>
        <v>29</v>
      </c>
      <c r="J210" s="13" t="s">
        <v>52</v>
      </c>
      <c r="K210" s="13" t="s">
        <v>311</v>
      </c>
      <c r="L210" s="13" t="s">
        <v>63</v>
      </c>
      <c r="M210" s="13" t="s">
        <v>55</v>
      </c>
      <c r="N210" s="20">
        <v>1676.92</v>
      </c>
      <c r="O210" s="20">
        <v>2156</v>
      </c>
      <c r="P210" s="21">
        <v>45789</v>
      </c>
      <c r="Q210" s="22"/>
      <c r="R210" s="23">
        <v>2156</v>
      </c>
      <c r="S210" s="24"/>
      <c r="T210" s="23"/>
      <c r="U210" s="24"/>
      <c r="V210" s="23"/>
      <c r="W210" s="23"/>
      <c r="X210" s="24"/>
      <c r="Y210" s="23"/>
      <c r="Z210" s="23"/>
      <c r="AA210" s="23">
        <v>4.05</v>
      </c>
      <c r="AB210" s="23">
        <v>255.32000000000002</v>
      </c>
      <c r="AC210" s="24">
        <v>1182.0842857142857</v>
      </c>
      <c r="AD210" s="23">
        <v>14.41</v>
      </c>
      <c r="AE210" s="24">
        <v>78.88428571428571</v>
      </c>
      <c r="AF210" s="23"/>
      <c r="AG210" s="23"/>
      <c r="AH210" s="23">
        <v>18.45</v>
      </c>
      <c r="AI210" s="24">
        <v>0</v>
      </c>
      <c r="AJ210" s="25">
        <v>356.49</v>
      </c>
      <c r="AK210" s="23">
        <v>78.589999999999989</v>
      </c>
      <c r="AL210" s="23">
        <v>-12.63</v>
      </c>
      <c r="AM210" s="24">
        <v>72.17</v>
      </c>
      <c r="AN210" s="23"/>
      <c r="AO210" s="24"/>
      <c r="AP210" s="23">
        <v>207.73000000000002</v>
      </c>
      <c r="AQ210" s="24">
        <v>680.14142857142849</v>
      </c>
      <c r="AR210" s="23">
        <v>107.34</v>
      </c>
      <c r="AS210" s="23">
        <v>-924</v>
      </c>
      <c r="AT210" s="23"/>
      <c r="AU210" s="24"/>
      <c r="AW210" s="27">
        <f t="shared" si="43"/>
        <v>356.49020999999999</v>
      </c>
      <c r="AX210" s="27">
        <f t="shared" si="44"/>
        <v>14.410209999999999</v>
      </c>
      <c r="AY210" s="27">
        <f t="shared" si="45"/>
        <v>255.32021000000003</v>
      </c>
      <c r="AZ210" s="27">
        <f t="shared" si="46"/>
        <v>207.73021000000003</v>
      </c>
    </row>
    <row r="211" spans="1:52" ht="15" customHeight="1" x14ac:dyDescent="0.25">
      <c r="A211" s="13" t="str">
        <f>VLOOKUP(L211,[1]VALIDAÇÃO!$D$13:$E$350,2,0)</f>
        <v>DIRETO</v>
      </c>
      <c r="B211" s="14" t="str">
        <f t="shared" si="36"/>
        <v>17RIO AVE 130 SPE LTDA</v>
      </c>
      <c r="C211" s="15">
        <f t="shared" si="47"/>
        <v>17</v>
      </c>
      <c r="D211" s="16" t="str">
        <f t="shared" si="37"/>
        <v>23RIO AVE 130 SPE LTDA</v>
      </c>
      <c r="E211" s="17">
        <f t="shared" si="40"/>
        <v>23</v>
      </c>
      <c r="F211" s="18" t="str">
        <f t="shared" si="38"/>
        <v>19RIO AVE 130 SPE LTDA</v>
      </c>
      <c r="G211" s="18">
        <f t="shared" si="41"/>
        <v>19</v>
      </c>
      <c r="H211" s="19" t="str">
        <f t="shared" si="39"/>
        <v>32RIO AVE 130 SPE LTDA</v>
      </c>
      <c r="I211" s="19">
        <f t="shared" si="42"/>
        <v>32</v>
      </c>
      <c r="J211" s="13" t="s">
        <v>102</v>
      </c>
      <c r="K211" s="13" t="s">
        <v>312</v>
      </c>
      <c r="L211" s="13" t="s">
        <v>92</v>
      </c>
      <c r="M211" s="13" t="s">
        <v>55</v>
      </c>
      <c r="N211" s="20">
        <v>2062.92</v>
      </c>
      <c r="O211" s="20">
        <v>770</v>
      </c>
      <c r="P211" s="21">
        <v>45880</v>
      </c>
      <c r="Q211" s="22"/>
      <c r="R211" s="23">
        <v>770</v>
      </c>
      <c r="S211" s="24"/>
      <c r="T211" s="23">
        <v>1155</v>
      </c>
      <c r="U211" s="24">
        <v>15</v>
      </c>
      <c r="V211" s="23"/>
      <c r="W211" s="23"/>
      <c r="X211" s="24"/>
      <c r="Y211" s="23"/>
      <c r="Z211" s="23"/>
      <c r="AA211" s="23">
        <v>13.19</v>
      </c>
      <c r="AB211" s="23">
        <v>240.28</v>
      </c>
      <c r="AC211" s="24">
        <v>985</v>
      </c>
      <c r="AD211" s="23">
        <v>387.85</v>
      </c>
      <c r="AE211" s="24">
        <v>1909.5</v>
      </c>
      <c r="AF211" s="23"/>
      <c r="AG211" s="23"/>
      <c r="AH211" s="23">
        <v>66.11</v>
      </c>
      <c r="AI211" s="24">
        <v>0</v>
      </c>
      <c r="AJ211" s="25">
        <v>775</v>
      </c>
      <c r="AK211" s="23">
        <v>152.48000000000002</v>
      </c>
      <c r="AL211" s="23"/>
      <c r="AM211" s="24"/>
      <c r="AN211" s="23"/>
      <c r="AO211" s="24"/>
      <c r="AP211" s="23">
        <v>13.05</v>
      </c>
      <c r="AQ211" s="24">
        <v>89.5</v>
      </c>
      <c r="AR211" s="23">
        <v>128.25</v>
      </c>
      <c r="AS211" s="23">
        <v>-924</v>
      </c>
      <c r="AT211" s="23"/>
      <c r="AU211" s="24"/>
      <c r="AW211" s="27">
        <f t="shared" si="43"/>
        <v>775.00021100000004</v>
      </c>
      <c r="AX211" s="27">
        <f t="shared" si="44"/>
        <v>387.850211</v>
      </c>
      <c r="AY211" s="27">
        <f t="shared" si="45"/>
        <v>240.28021100000001</v>
      </c>
      <c r="AZ211" s="27">
        <f t="shared" si="46"/>
        <v>13.050211000000001</v>
      </c>
    </row>
    <row r="212" spans="1:52" ht="15" customHeight="1" x14ac:dyDescent="0.25">
      <c r="A212" s="13" t="str">
        <f>VLOOKUP(L212,[1]VALIDAÇÃO!$D$13:$E$350,2,0)</f>
        <v>DIRETO</v>
      </c>
      <c r="B212" s="14" t="str">
        <f t="shared" ref="B212:B275" si="48">C212&amp;J212</f>
        <v>10RIO AVE INVESTIMENTOS LTDA</v>
      </c>
      <c r="C212" s="15">
        <f t="shared" si="47"/>
        <v>10</v>
      </c>
      <c r="D212" s="16" t="str">
        <f t="shared" ref="D212:D275" si="49">E212&amp;J212</f>
        <v>9RIO AVE INVESTIMENTOS LTDA</v>
      </c>
      <c r="E212" s="17">
        <f t="shared" si="40"/>
        <v>9</v>
      </c>
      <c r="F212" s="18" t="str">
        <f t="shared" ref="F212:F275" si="50">G212&amp;J212</f>
        <v>7RIO AVE INVESTIMENTOS LTDA</v>
      </c>
      <c r="G212" s="18">
        <f t="shared" si="41"/>
        <v>7</v>
      </c>
      <c r="H212" s="19" t="str">
        <f t="shared" ref="H212:H275" si="51">I212&amp;J212</f>
        <v>9RIO AVE INVESTIMENTOS LTDA</v>
      </c>
      <c r="I212" s="19">
        <f t="shared" si="42"/>
        <v>9</v>
      </c>
      <c r="J212" s="13" t="s">
        <v>304</v>
      </c>
      <c r="K212" s="13" t="s">
        <v>313</v>
      </c>
      <c r="L212" s="13" t="s">
        <v>54</v>
      </c>
      <c r="M212" s="13" t="s">
        <v>306</v>
      </c>
      <c r="N212" s="20">
        <v>841.77</v>
      </c>
      <c r="O212" s="20">
        <v>1738</v>
      </c>
      <c r="P212" s="21">
        <v>45159</v>
      </c>
      <c r="Q212" s="22"/>
      <c r="R212" s="23">
        <v>1738</v>
      </c>
      <c r="S212" s="24"/>
      <c r="T212" s="23"/>
      <c r="U212" s="24"/>
      <c r="V212" s="23"/>
      <c r="W212" s="23">
        <v>0.42</v>
      </c>
      <c r="X212" s="24">
        <v>15.91</v>
      </c>
      <c r="Y212" s="23"/>
      <c r="Z212" s="23"/>
      <c r="AA212" s="23">
        <v>0.88</v>
      </c>
      <c r="AB212" s="23">
        <v>59.63</v>
      </c>
      <c r="AC212" s="24">
        <v>266.39999999999998</v>
      </c>
      <c r="AD212" s="23">
        <v>285.26</v>
      </c>
      <c r="AE212" s="24">
        <v>1274.45</v>
      </c>
      <c r="AF212" s="23"/>
      <c r="AG212" s="23"/>
      <c r="AH212" s="23">
        <v>4.05</v>
      </c>
      <c r="AI212" s="24">
        <v>0</v>
      </c>
      <c r="AJ212" s="25">
        <v>94.33</v>
      </c>
      <c r="AK212" s="23">
        <v>19.16</v>
      </c>
      <c r="AL212" s="23">
        <v>-5.4</v>
      </c>
      <c r="AM212" s="24">
        <v>41</v>
      </c>
      <c r="AN212" s="23"/>
      <c r="AO212" s="24"/>
      <c r="AP212" s="23">
        <v>1.62</v>
      </c>
      <c r="AQ212" s="24">
        <v>6.17</v>
      </c>
      <c r="AR212" s="23">
        <v>66.739999999999995</v>
      </c>
      <c r="AS212" s="23">
        <v>-695.2</v>
      </c>
      <c r="AT212" s="23"/>
      <c r="AU212" s="24"/>
      <c r="AW212" s="27">
        <f t="shared" si="43"/>
        <v>94.330212000000003</v>
      </c>
      <c r="AX212" s="27">
        <f t="shared" si="44"/>
        <v>285.26021199999997</v>
      </c>
      <c r="AY212" s="27">
        <f t="shared" si="45"/>
        <v>59.630212</v>
      </c>
      <c r="AZ212" s="27">
        <f t="shared" si="46"/>
        <v>1.6202120000000002</v>
      </c>
    </row>
    <row r="213" spans="1:52" ht="15" customHeight="1" x14ac:dyDescent="0.25">
      <c r="A213" s="13" t="str">
        <f>VLOOKUP(L213,[1]VALIDAÇÃO!$D$13:$E$350,2,0)</f>
        <v>DIRETO</v>
      </c>
      <c r="B213" s="14" t="str">
        <f t="shared" si="48"/>
        <v>35RESERVA DO PAIVA SPE 01 LTDA.</v>
      </c>
      <c r="C213" s="15">
        <f t="shared" si="47"/>
        <v>35</v>
      </c>
      <c r="D213" s="16" t="str">
        <f t="shared" si="49"/>
        <v>10RESERVA DO PAIVA SPE 01 LTDA.</v>
      </c>
      <c r="E213" s="17">
        <f t="shared" si="40"/>
        <v>10</v>
      </c>
      <c r="F213" s="18" t="str">
        <f t="shared" si="50"/>
        <v>9RESERVA DO PAIVA SPE 01 LTDA.</v>
      </c>
      <c r="G213" s="18">
        <f t="shared" si="41"/>
        <v>9</v>
      </c>
      <c r="H213" s="19" t="str">
        <f t="shared" si="51"/>
        <v>27RESERVA DO PAIVA SPE 01 LTDA.</v>
      </c>
      <c r="I213" s="19">
        <f t="shared" si="42"/>
        <v>27</v>
      </c>
      <c r="J213" s="13" t="s">
        <v>68</v>
      </c>
      <c r="K213" s="13" t="s">
        <v>314</v>
      </c>
      <c r="L213" s="13" t="s">
        <v>54</v>
      </c>
      <c r="M213" s="13" t="s">
        <v>55</v>
      </c>
      <c r="N213" s="20">
        <v>2408.2800000000002</v>
      </c>
      <c r="O213" s="20">
        <v>1622.13</v>
      </c>
      <c r="P213" s="21">
        <v>45082</v>
      </c>
      <c r="Q213" s="22"/>
      <c r="R213" s="23">
        <v>1622.13</v>
      </c>
      <c r="S213" s="24"/>
      <c r="T213" s="23"/>
      <c r="U213" s="24"/>
      <c r="V213" s="23"/>
      <c r="W213" s="23"/>
      <c r="X213" s="24"/>
      <c r="Y213" s="23"/>
      <c r="Z213" s="23"/>
      <c r="AA213" s="23">
        <v>35.43</v>
      </c>
      <c r="AB213" s="23">
        <v>505.87</v>
      </c>
      <c r="AC213" s="24">
        <v>2591.1057142857139</v>
      </c>
      <c r="AD213" s="23">
        <v>913.14</v>
      </c>
      <c r="AE213" s="24">
        <v>4435.9485714285711</v>
      </c>
      <c r="AF213" s="23"/>
      <c r="AG213" s="23"/>
      <c r="AH213" s="23">
        <v>159.19</v>
      </c>
      <c r="AI213" s="24">
        <v>0</v>
      </c>
      <c r="AJ213" s="25">
        <v>732.38</v>
      </c>
      <c r="AK213" s="23">
        <v>160.56</v>
      </c>
      <c r="AL213" s="23">
        <v>-13.84</v>
      </c>
      <c r="AM213" s="24">
        <v>105.14</v>
      </c>
      <c r="AN213" s="23"/>
      <c r="AO213" s="24"/>
      <c r="AP213" s="23">
        <v>436.5</v>
      </c>
      <c r="AQ213" s="24">
        <v>1657.5800000000002</v>
      </c>
      <c r="AR213" s="23">
        <v>403.71000000000004</v>
      </c>
      <c r="AS213" s="23">
        <v>-695.2</v>
      </c>
      <c r="AT213" s="23"/>
      <c r="AU213" s="24"/>
      <c r="AW213" s="27">
        <f t="shared" si="43"/>
        <v>732.38021300000003</v>
      </c>
      <c r="AX213" s="27">
        <f t="shared" si="44"/>
        <v>913.14021300000002</v>
      </c>
      <c r="AY213" s="27">
        <f t="shared" si="45"/>
        <v>505.87021299999998</v>
      </c>
      <c r="AZ213" s="27">
        <f t="shared" si="46"/>
        <v>436.50021299999997</v>
      </c>
    </row>
    <row r="214" spans="1:52" ht="15" customHeight="1" x14ac:dyDescent="0.25">
      <c r="A214" s="13" t="str">
        <f>VLOOKUP(L214,[1]VALIDAÇÃO!$D$13:$E$350,2,0)</f>
        <v>DIRETO</v>
      </c>
      <c r="B214" s="14" t="str">
        <f t="shared" si="48"/>
        <v>34RIO AVE 200 SPE LTDA.</v>
      </c>
      <c r="C214" s="15">
        <f t="shared" si="47"/>
        <v>34</v>
      </c>
      <c r="D214" s="16" t="str">
        <f t="shared" si="49"/>
        <v>15RIO AVE 200 SPE LTDA.</v>
      </c>
      <c r="E214" s="17">
        <f t="shared" si="40"/>
        <v>15</v>
      </c>
      <c r="F214" s="18" t="str">
        <f t="shared" si="50"/>
        <v>27RIO AVE 200 SPE LTDA.</v>
      </c>
      <c r="G214" s="18">
        <f t="shared" si="41"/>
        <v>27</v>
      </c>
      <c r="H214" s="19" t="str">
        <f t="shared" si="51"/>
        <v>64RIO AVE 200 SPE LTDA.</v>
      </c>
      <c r="I214" s="19">
        <f t="shared" si="42"/>
        <v>64</v>
      </c>
      <c r="J214" s="13" t="s">
        <v>48</v>
      </c>
      <c r="K214" s="13" t="s">
        <v>315</v>
      </c>
      <c r="L214" s="13" t="s">
        <v>54</v>
      </c>
      <c r="M214" s="13" t="s">
        <v>55</v>
      </c>
      <c r="N214" s="20">
        <v>1186.8399999999999</v>
      </c>
      <c r="O214" s="20">
        <v>1622.13</v>
      </c>
      <c r="P214" s="21">
        <v>45902</v>
      </c>
      <c r="Q214" s="22"/>
      <c r="R214" s="23">
        <v>1622.13</v>
      </c>
      <c r="S214" s="24"/>
      <c r="T214" s="23"/>
      <c r="U214" s="24"/>
      <c r="V214" s="23"/>
      <c r="W214" s="23"/>
      <c r="X214" s="24"/>
      <c r="Y214" s="23"/>
      <c r="Z214" s="23"/>
      <c r="AA214" s="23">
        <v>4.42</v>
      </c>
      <c r="AB214" s="23">
        <v>41.45</v>
      </c>
      <c r="AC214" s="24">
        <v>610.47142857142853</v>
      </c>
      <c r="AD214" s="23">
        <v>225.20999999999998</v>
      </c>
      <c r="AE214" s="24">
        <v>1633.4714285714285</v>
      </c>
      <c r="AF214" s="23"/>
      <c r="AG214" s="23"/>
      <c r="AH214" s="23">
        <v>18.88</v>
      </c>
      <c r="AI214" s="24">
        <v>0</v>
      </c>
      <c r="AJ214" s="25">
        <v>422.71999999999997</v>
      </c>
      <c r="AK214" s="23">
        <v>94.140000000000015</v>
      </c>
      <c r="AL214" s="23"/>
      <c r="AM214" s="24"/>
      <c r="AN214" s="23"/>
      <c r="AO214" s="24"/>
      <c r="AP214" s="23"/>
      <c r="AQ214" s="24"/>
      <c r="AR214" s="23">
        <v>61.19</v>
      </c>
      <c r="AS214" s="23">
        <v>-695.2</v>
      </c>
      <c r="AT214" s="23"/>
      <c r="AU214" s="24"/>
      <c r="AW214" s="27">
        <f t="shared" si="43"/>
        <v>422.720214</v>
      </c>
      <c r="AX214" s="27">
        <f t="shared" si="44"/>
        <v>225.21021399999998</v>
      </c>
      <c r="AY214" s="27">
        <f t="shared" si="45"/>
        <v>41.450214000000003</v>
      </c>
      <c r="AZ214" s="27">
        <f t="shared" si="46"/>
        <v>2.14E-4</v>
      </c>
    </row>
    <row r="215" spans="1:52" ht="15" customHeight="1" x14ac:dyDescent="0.25">
      <c r="A215" s="13" t="str">
        <f>VLOOKUP(L215,[1]VALIDAÇÃO!$D$13:$E$350,2,0)</f>
        <v>DIRETO</v>
      </c>
      <c r="B215" s="14" t="str">
        <f t="shared" si="48"/>
        <v>27RIO AVE 200 SPE LTDA.</v>
      </c>
      <c r="C215" s="15">
        <f t="shared" si="47"/>
        <v>27</v>
      </c>
      <c r="D215" s="16" t="str">
        <f t="shared" si="49"/>
        <v>16RIO AVE 200 SPE LTDA.</v>
      </c>
      <c r="E215" s="17">
        <f t="shared" si="40"/>
        <v>16</v>
      </c>
      <c r="F215" s="18" t="str">
        <f t="shared" si="50"/>
        <v>11RIO AVE 200 SPE LTDA.</v>
      </c>
      <c r="G215" s="18">
        <f t="shared" si="41"/>
        <v>11</v>
      </c>
      <c r="H215" s="19" t="str">
        <f t="shared" si="51"/>
        <v>8RIO AVE 200 SPE LTDA.</v>
      </c>
      <c r="I215" s="19">
        <f t="shared" si="42"/>
        <v>8</v>
      </c>
      <c r="J215" s="13" t="s">
        <v>48</v>
      </c>
      <c r="K215" s="13" t="s">
        <v>316</v>
      </c>
      <c r="L215" s="13" t="s">
        <v>54</v>
      </c>
      <c r="M215" s="13" t="s">
        <v>55</v>
      </c>
      <c r="N215" s="20">
        <v>1722.92</v>
      </c>
      <c r="O215" s="20">
        <v>1622.13</v>
      </c>
      <c r="P215" s="21">
        <v>45706</v>
      </c>
      <c r="Q215" s="22"/>
      <c r="R215" s="23">
        <v>1622.13</v>
      </c>
      <c r="S215" s="24"/>
      <c r="T215" s="23"/>
      <c r="U215" s="24"/>
      <c r="V215" s="23"/>
      <c r="W215" s="23"/>
      <c r="X215" s="24"/>
      <c r="Y215" s="23"/>
      <c r="Z215" s="23"/>
      <c r="AA215" s="23">
        <v>8.6199999999999992</v>
      </c>
      <c r="AB215" s="23">
        <v>144.88</v>
      </c>
      <c r="AC215" s="24">
        <v>736</v>
      </c>
      <c r="AD215" s="23">
        <v>212.54</v>
      </c>
      <c r="AE215" s="24">
        <v>1161.5714285714287</v>
      </c>
      <c r="AF215" s="23"/>
      <c r="AG215" s="23"/>
      <c r="AH215" s="23">
        <v>40.42</v>
      </c>
      <c r="AI215" s="24">
        <v>0</v>
      </c>
      <c r="AJ215" s="25">
        <v>619.71999999999991</v>
      </c>
      <c r="AK215" s="23">
        <v>135.09</v>
      </c>
      <c r="AL215" s="23"/>
      <c r="AM215" s="24"/>
      <c r="AN215" s="23"/>
      <c r="AO215" s="24"/>
      <c r="AP215" s="23">
        <v>122.39</v>
      </c>
      <c r="AQ215" s="24">
        <v>488.57142857142856</v>
      </c>
      <c r="AR215" s="23">
        <v>100.46</v>
      </c>
      <c r="AS215" s="23">
        <v>-815.2</v>
      </c>
      <c r="AT215" s="23"/>
      <c r="AU215" s="24"/>
      <c r="AW215" s="27">
        <f t="shared" si="43"/>
        <v>619.72021499999994</v>
      </c>
      <c r="AX215" s="27">
        <f t="shared" si="44"/>
        <v>212.54021499999999</v>
      </c>
      <c r="AY215" s="27">
        <f t="shared" si="45"/>
        <v>144.88021499999999</v>
      </c>
      <c r="AZ215" s="27">
        <f t="shared" si="46"/>
        <v>122.390215</v>
      </c>
    </row>
    <row r="216" spans="1:52" ht="15" customHeight="1" x14ac:dyDescent="0.25">
      <c r="A216" s="13" t="str">
        <f>VLOOKUP(L216,[1]VALIDAÇÃO!$D$13:$E$350,2,0)</f>
        <v>INDIRETO</v>
      </c>
      <c r="B216" s="14" t="str">
        <f t="shared" si="48"/>
        <v>121CONDOMINIO DO EDIFICIO EMPRESARIAL MARIE CURIE</v>
      </c>
      <c r="C216" s="15">
        <f t="shared" si="47"/>
        <v>121</v>
      </c>
      <c r="D216" s="16" t="str">
        <f t="shared" si="49"/>
        <v>127CONDOMINIO DO EDIFICIO EMPRESARIAL MARIE CURIE</v>
      </c>
      <c r="E216" s="17">
        <f t="shared" si="40"/>
        <v>127</v>
      </c>
      <c r="F216" s="18" t="str">
        <f t="shared" si="50"/>
        <v>115CONDOMINIO DO EDIFICIO EMPRESARIAL MARIE CURIE</v>
      </c>
      <c r="G216" s="18">
        <f t="shared" si="41"/>
        <v>115</v>
      </c>
      <c r="H216" s="19" t="str">
        <f t="shared" si="51"/>
        <v>101CONDOMINIO DO EDIFICIO EMPRESARIAL MARIE CURIE</v>
      </c>
      <c r="I216" s="19">
        <f t="shared" si="42"/>
        <v>101</v>
      </c>
      <c r="J216" s="13" t="s">
        <v>57</v>
      </c>
      <c r="K216" s="13" t="s">
        <v>317</v>
      </c>
      <c r="L216" s="13" t="s">
        <v>318</v>
      </c>
      <c r="M216" s="13" t="s">
        <v>60</v>
      </c>
      <c r="N216" s="20">
        <v>2460.02</v>
      </c>
      <c r="O216" s="20">
        <v>7412.89</v>
      </c>
      <c r="P216" s="21">
        <v>45278</v>
      </c>
      <c r="Q216" s="22"/>
      <c r="R216" s="23">
        <v>7412.89</v>
      </c>
      <c r="S216" s="24"/>
      <c r="T216" s="23"/>
      <c r="U216" s="24"/>
      <c r="V216" s="23"/>
      <c r="W216" s="23"/>
      <c r="X216" s="24"/>
      <c r="Y216" s="23"/>
      <c r="Z216" s="23"/>
      <c r="AA216" s="23"/>
      <c r="AB216" s="23"/>
      <c r="AC216" s="24"/>
      <c r="AD216" s="23"/>
      <c r="AE216" s="24"/>
      <c r="AF216" s="23"/>
      <c r="AG216" s="23"/>
      <c r="AH216" s="23"/>
      <c r="AI216" s="24"/>
      <c r="AJ216" s="25"/>
      <c r="AK216" s="23"/>
      <c r="AL216" s="23"/>
      <c r="AM216" s="24"/>
      <c r="AN216" s="23"/>
      <c r="AO216" s="24"/>
      <c r="AP216" s="23"/>
      <c r="AQ216" s="24"/>
      <c r="AR216" s="23"/>
      <c r="AS216" s="23">
        <v>-4235.9399999999996</v>
      </c>
      <c r="AT216" s="23"/>
      <c r="AU216" s="24"/>
      <c r="AW216" s="27">
        <f t="shared" si="43"/>
        <v>2.1599999999999999E-4</v>
      </c>
      <c r="AX216" s="27">
        <f t="shared" si="44"/>
        <v>2.1599999999999999E-4</v>
      </c>
      <c r="AY216" s="27">
        <f t="shared" si="45"/>
        <v>2.1599999999999999E-4</v>
      </c>
      <c r="AZ216" s="27">
        <f t="shared" si="46"/>
        <v>2.1599999999999999E-4</v>
      </c>
    </row>
    <row r="217" spans="1:52" ht="15" customHeight="1" x14ac:dyDescent="0.25">
      <c r="A217" s="13" t="str">
        <f>VLOOKUP(L217,[1]VALIDAÇÃO!$D$13:$E$350,2,0)</f>
        <v>DIRETO</v>
      </c>
      <c r="B217" s="14" t="str">
        <f t="shared" si="48"/>
        <v>74RIO AVE 200 SPE LTDA.</v>
      </c>
      <c r="C217" s="15">
        <f t="shared" si="47"/>
        <v>74</v>
      </c>
      <c r="D217" s="16" t="str">
        <f t="shared" si="49"/>
        <v>76RIO AVE 200 SPE LTDA.</v>
      </c>
      <c r="E217" s="17">
        <f t="shared" si="40"/>
        <v>76</v>
      </c>
      <c r="F217" s="18" t="str">
        <f t="shared" si="50"/>
        <v>16RIO AVE 200 SPE LTDA.</v>
      </c>
      <c r="G217" s="18">
        <f t="shared" si="41"/>
        <v>16</v>
      </c>
      <c r="H217" s="19" t="str">
        <f t="shared" si="51"/>
        <v>10RIO AVE 200 SPE LTDA.</v>
      </c>
      <c r="I217" s="19">
        <f t="shared" si="42"/>
        <v>10</v>
      </c>
      <c r="J217" s="13" t="s">
        <v>48</v>
      </c>
      <c r="K217" s="13" t="s">
        <v>319</v>
      </c>
      <c r="L217" s="13" t="s">
        <v>54</v>
      </c>
      <c r="M217" s="13" t="s">
        <v>55</v>
      </c>
      <c r="N217" s="20">
        <v>821.1</v>
      </c>
      <c r="O217" s="20">
        <v>1448.33</v>
      </c>
      <c r="P217" s="21">
        <v>45995</v>
      </c>
      <c r="Q217" s="22"/>
      <c r="R217" s="23">
        <v>1448.33</v>
      </c>
      <c r="S217" s="24"/>
      <c r="T217" s="23"/>
      <c r="U217" s="24"/>
      <c r="V217" s="23"/>
      <c r="W217" s="23"/>
      <c r="X217" s="24"/>
      <c r="Y217" s="23"/>
      <c r="Z217" s="23"/>
      <c r="AA217" s="23"/>
      <c r="AB217" s="23">
        <v>107.44</v>
      </c>
      <c r="AC217" s="24">
        <v>480</v>
      </c>
      <c r="AD217" s="23"/>
      <c r="AE217" s="24"/>
      <c r="AF217" s="23"/>
      <c r="AG217" s="23"/>
      <c r="AH217" s="23"/>
      <c r="AI217" s="24"/>
      <c r="AJ217" s="25"/>
      <c r="AK217" s="23"/>
      <c r="AL217" s="23"/>
      <c r="AM217" s="24"/>
      <c r="AN217" s="23"/>
      <c r="AO217" s="24"/>
      <c r="AP217" s="23">
        <v>110.6</v>
      </c>
      <c r="AQ217" s="24">
        <v>420</v>
      </c>
      <c r="AR217" s="23">
        <v>54.51</v>
      </c>
      <c r="AS217" s="23">
        <v>-695.2</v>
      </c>
      <c r="AT217" s="23"/>
      <c r="AU217" s="24"/>
      <c r="AW217" s="27">
        <f t="shared" si="43"/>
        <v>2.1699999999999999E-4</v>
      </c>
      <c r="AX217" s="27">
        <f t="shared" si="44"/>
        <v>2.1699999999999999E-4</v>
      </c>
      <c r="AY217" s="27">
        <f t="shared" si="45"/>
        <v>107.440217</v>
      </c>
      <c r="AZ217" s="27">
        <f t="shared" si="46"/>
        <v>110.600217</v>
      </c>
    </row>
    <row r="218" spans="1:52" ht="15" customHeight="1" x14ac:dyDescent="0.25">
      <c r="A218" s="13" t="str">
        <f>VLOOKUP(L218,[1]VALIDAÇÃO!$D$13:$E$350,2,0)</f>
        <v>DIRETO</v>
      </c>
      <c r="B218" s="14" t="str">
        <f t="shared" si="48"/>
        <v>7RIO AVE INVESTIMENTOS LTDA</v>
      </c>
      <c r="C218" s="15">
        <f t="shared" si="47"/>
        <v>7</v>
      </c>
      <c r="D218" s="16" t="str">
        <f t="shared" si="49"/>
        <v>13RIO AVE INVESTIMENTOS LTDA</v>
      </c>
      <c r="E218" s="17">
        <f t="shared" si="40"/>
        <v>13</v>
      </c>
      <c r="F218" s="18" t="str">
        <f t="shared" si="50"/>
        <v>12RIO AVE INVESTIMENTOS LTDA</v>
      </c>
      <c r="G218" s="18">
        <f t="shared" si="41"/>
        <v>12</v>
      </c>
      <c r="H218" s="19" t="str">
        <f t="shared" si="51"/>
        <v>12RIO AVE INVESTIMENTOS LTDA</v>
      </c>
      <c r="I218" s="19">
        <f t="shared" si="42"/>
        <v>12</v>
      </c>
      <c r="J218" s="13" t="s">
        <v>304</v>
      </c>
      <c r="K218" s="13" t="s">
        <v>320</v>
      </c>
      <c r="L218" s="13" t="s">
        <v>87</v>
      </c>
      <c r="M218" s="13" t="s">
        <v>306</v>
      </c>
      <c r="N218" s="20">
        <v>923.98</v>
      </c>
      <c r="O218" s="20">
        <v>693</v>
      </c>
      <c r="P218" s="21">
        <v>46013</v>
      </c>
      <c r="Q218" s="22"/>
      <c r="R218" s="23">
        <v>693</v>
      </c>
      <c r="S218" s="24"/>
      <c r="T218" s="23"/>
      <c r="U218" s="24"/>
      <c r="V218" s="23"/>
      <c r="W218" s="23"/>
      <c r="X218" s="24"/>
      <c r="Y218" s="23"/>
      <c r="Z218" s="23"/>
      <c r="AA218" s="23"/>
      <c r="AB218" s="23"/>
      <c r="AC218" s="24"/>
      <c r="AD218" s="23"/>
      <c r="AE218" s="24"/>
      <c r="AF218" s="23"/>
      <c r="AG218" s="23"/>
      <c r="AH218" s="23"/>
      <c r="AI218" s="24"/>
      <c r="AJ218" s="25">
        <v>254.54</v>
      </c>
      <c r="AK218" s="23">
        <v>63.64</v>
      </c>
      <c r="AL218" s="23"/>
      <c r="AM218" s="24"/>
      <c r="AN218" s="23"/>
      <c r="AO218" s="24"/>
      <c r="AP218" s="23"/>
      <c r="AQ218" s="24"/>
      <c r="AR218" s="23"/>
      <c r="AS218" s="23"/>
      <c r="AT218" s="23"/>
      <c r="AU218" s="24"/>
      <c r="AW218" s="27">
        <f t="shared" si="43"/>
        <v>254.54021799999998</v>
      </c>
      <c r="AX218" s="27">
        <f t="shared" si="44"/>
        <v>2.1800000000000001E-4</v>
      </c>
      <c r="AY218" s="27">
        <f t="shared" si="45"/>
        <v>2.1800000000000001E-4</v>
      </c>
      <c r="AZ218" s="27">
        <f t="shared" si="46"/>
        <v>2.1800000000000001E-4</v>
      </c>
    </row>
    <row r="219" spans="1:52" ht="15" customHeight="1" x14ac:dyDescent="0.25">
      <c r="A219" s="13" t="str">
        <f>VLOOKUP(L219,[1]VALIDAÇÃO!$D$13:$E$350,2,0)</f>
        <v>DIRETO</v>
      </c>
      <c r="B219" s="14" t="str">
        <f t="shared" si="48"/>
        <v>15RESERVA DO PAIVA SPE 01 LTDA.</v>
      </c>
      <c r="C219" s="15">
        <f t="shared" si="47"/>
        <v>15</v>
      </c>
      <c r="D219" s="16" t="str">
        <f t="shared" si="49"/>
        <v>22RESERVA DO PAIVA SPE 01 LTDA.</v>
      </c>
      <c r="E219" s="17">
        <f t="shared" si="40"/>
        <v>22</v>
      </c>
      <c r="F219" s="18" t="str">
        <f t="shared" si="50"/>
        <v>8RESERVA DO PAIVA SPE 01 LTDA.</v>
      </c>
      <c r="G219" s="18">
        <f t="shared" si="41"/>
        <v>8</v>
      </c>
      <c r="H219" s="19" t="str">
        <f t="shared" si="51"/>
        <v>7RESERVA DO PAIVA SPE 01 LTDA.</v>
      </c>
      <c r="I219" s="19">
        <f t="shared" si="42"/>
        <v>7</v>
      </c>
      <c r="J219" s="13" t="s">
        <v>68</v>
      </c>
      <c r="K219" s="13" t="s">
        <v>321</v>
      </c>
      <c r="L219" s="13" t="s">
        <v>92</v>
      </c>
      <c r="M219" s="13" t="s">
        <v>55</v>
      </c>
      <c r="N219" s="20">
        <v>3403.64</v>
      </c>
      <c r="O219" s="20">
        <v>2156</v>
      </c>
      <c r="P219" s="21">
        <v>45691</v>
      </c>
      <c r="Q219" s="22"/>
      <c r="R219" s="23">
        <v>2156</v>
      </c>
      <c r="S219" s="24"/>
      <c r="T219" s="23"/>
      <c r="U219" s="24"/>
      <c r="V219" s="23"/>
      <c r="W219" s="23"/>
      <c r="X219" s="24"/>
      <c r="Y219" s="23"/>
      <c r="Z219" s="23"/>
      <c r="AA219" s="23">
        <v>47.760000000000005</v>
      </c>
      <c r="AB219" s="23">
        <v>516.64</v>
      </c>
      <c r="AC219" s="24">
        <v>1996.8685714285716</v>
      </c>
      <c r="AD219" s="23">
        <v>552.48</v>
      </c>
      <c r="AE219" s="24">
        <v>1998.8542857142859</v>
      </c>
      <c r="AF219" s="23"/>
      <c r="AG219" s="23"/>
      <c r="AH219" s="23">
        <v>215.07</v>
      </c>
      <c r="AI219" s="24">
        <v>0</v>
      </c>
      <c r="AJ219" s="25">
        <v>1010.5</v>
      </c>
      <c r="AK219" s="23">
        <v>222.89</v>
      </c>
      <c r="AL219" s="23"/>
      <c r="AM219" s="24"/>
      <c r="AN219" s="23"/>
      <c r="AO219" s="24"/>
      <c r="AP219" s="23">
        <v>890.81999999999994</v>
      </c>
      <c r="AQ219" s="24">
        <v>2806.5257142857145</v>
      </c>
      <c r="AR219" s="23">
        <v>429.41</v>
      </c>
      <c r="AS219" s="23">
        <v>-924</v>
      </c>
      <c r="AT219" s="23"/>
      <c r="AU219" s="24"/>
      <c r="AW219" s="27">
        <f t="shared" si="43"/>
        <v>1010.500219</v>
      </c>
      <c r="AX219" s="27">
        <f t="shared" si="44"/>
        <v>552.48021900000003</v>
      </c>
      <c r="AY219" s="27">
        <f t="shared" si="45"/>
        <v>516.640219</v>
      </c>
      <c r="AZ219" s="27">
        <f t="shared" si="46"/>
        <v>890.82021899999995</v>
      </c>
    </row>
    <row r="220" spans="1:52" ht="15" customHeight="1" x14ac:dyDescent="0.25">
      <c r="A220" s="13" t="str">
        <f>VLOOKUP(L220,[1]VALIDAÇÃO!$D$13:$E$350,2,0)</f>
        <v>DIRETO</v>
      </c>
      <c r="B220" s="14" t="str">
        <f t="shared" si="48"/>
        <v>59RESERVA DO PAIVA SPE 01 LTDA.</v>
      </c>
      <c r="C220" s="15">
        <f t="shared" si="47"/>
        <v>59</v>
      </c>
      <c r="D220" s="16" t="str">
        <f t="shared" si="49"/>
        <v>44RESERVA DO PAIVA SPE 01 LTDA.</v>
      </c>
      <c r="E220" s="17">
        <f t="shared" si="40"/>
        <v>44</v>
      </c>
      <c r="F220" s="18" t="str">
        <f t="shared" si="50"/>
        <v>43RESERVA DO PAIVA SPE 01 LTDA.</v>
      </c>
      <c r="G220" s="18">
        <f t="shared" si="41"/>
        <v>43</v>
      </c>
      <c r="H220" s="19" t="str">
        <f t="shared" si="51"/>
        <v>73RESERVA DO PAIVA SPE 01 LTDA.</v>
      </c>
      <c r="I220" s="19">
        <f t="shared" si="42"/>
        <v>73</v>
      </c>
      <c r="J220" s="13" t="s">
        <v>68</v>
      </c>
      <c r="K220" s="13" t="s">
        <v>322</v>
      </c>
      <c r="L220" s="13" t="s">
        <v>54</v>
      </c>
      <c r="M220" s="13" t="s">
        <v>55</v>
      </c>
      <c r="N220" s="20">
        <v>1011.21</v>
      </c>
      <c r="O220" s="20">
        <v>1622.13</v>
      </c>
      <c r="P220" s="21">
        <v>44760</v>
      </c>
      <c r="Q220" s="22"/>
      <c r="R220" s="23">
        <v>1622.13</v>
      </c>
      <c r="S220" s="24"/>
      <c r="T220" s="23"/>
      <c r="U220" s="24"/>
      <c r="V220" s="23"/>
      <c r="W220" s="23">
        <v>0.6100000000000001</v>
      </c>
      <c r="X220" s="24">
        <v>21.1</v>
      </c>
      <c r="Y220" s="23"/>
      <c r="Z220" s="23"/>
      <c r="AA220" s="23">
        <v>5.1899999999999995</v>
      </c>
      <c r="AB220" s="23">
        <v>244.8</v>
      </c>
      <c r="AC220" s="24">
        <v>1230.2928571428572</v>
      </c>
      <c r="AD220" s="23">
        <v>187.83</v>
      </c>
      <c r="AE220" s="24">
        <v>1011.6857142857142</v>
      </c>
      <c r="AF220" s="23"/>
      <c r="AG220" s="23"/>
      <c r="AH220" s="23">
        <v>23</v>
      </c>
      <c r="AI220" s="24">
        <v>0</v>
      </c>
      <c r="AJ220" s="25">
        <v>453.05</v>
      </c>
      <c r="AK220" s="23">
        <v>97.97999999999999</v>
      </c>
      <c r="AL220" s="23">
        <v>-1.73</v>
      </c>
      <c r="AM220" s="24">
        <v>13.14</v>
      </c>
      <c r="AN220" s="23">
        <v>-57.93</v>
      </c>
      <c r="AO220" s="24">
        <v>1</v>
      </c>
      <c r="AP220" s="23">
        <v>60.53</v>
      </c>
      <c r="AQ220" s="24">
        <v>269.38</v>
      </c>
      <c r="AR220" s="23">
        <v>102.47</v>
      </c>
      <c r="AS220" s="23">
        <v>-695.2</v>
      </c>
      <c r="AT220" s="23">
        <v>-57.93</v>
      </c>
      <c r="AU220" s="24">
        <v>1</v>
      </c>
      <c r="AW220" s="27">
        <f t="shared" si="43"/>
        <v>453.05022000000002</v>
      </c>
      <c r="AX220" s="27">
        <f t="shared" si="44"/>
        <v>187.83022000000003</v>
      </c>
      <c r="AY220" s="27">
        <f t="shared" si="45"/>
        <v>244.80022000000002</v>
      </c>
      <c r="AZ220" s="27">
        <f t="shared" si="46"/>
        <v>60.53022</v>
      </c>
    </row>
    <row r="221" spans="1:52" ht="15" customHeight="1" x14ac:dyDescent="0.25">
      <c r="A221" s="13" t="str">
        <f>VLOOKUP(L221,[1]VALIDAÇÃO!$D$13:$E$350,2,0)</f>
        <v>INDIRETO</v>
      </c>
      <c r="B221" s="14" t="str">
        <f t="shared" si="48"/>
        <v>27RIO AVE PRAIA HOTEL SPE LTDA.</v>
      </c>
      <c r="C221" s="15">
        <f t="shared" si="47"/>
        <v>27</v>
      </c>
      <c r="D221" s="16" t="str">
        <f t="shared" si="49"/>
        <v>3RIO AVE PRAIA HOTEL SPE LTDA.</v>
      </c>
      <c r="E221" s="17">
        <f t="shared" si="40"/>
        <v>3</v>
      </c>
      <c r="F221" s="18" t="str">
        <f t="shared" si="50"/>
        <v>3RIO AVE PRAIA HOTEL SPE LTDA.</v>
      </c>
      <c r="G221" s="18">
        <f t="shared" si="41"/>
        <v>3</v>
      </c>
      <c r="H221" s="19" t="str">
        <f t="shared" si="51"/>
        <v>16RIO AVE PRAIA HOTEL SPE LTDA.</v>
      </c>
      <c r="I221" s="19">
        <f t="shared" si="42"/>
        <v>16</v>
      </c>
      <c r="J221" s="13" t="s">
        <v>80</v>
      </c>
      <c r="K221" s="13" t="s">
        <v>323</v>
      </c>
      <c r="L221" s="13" t="s">
        <v>249</v>
      </c>
      <c r="M221" s="13" t="s">
        <v>82</v>
      </c>
      <c r="N221" s="20">
        <v>1588.15</v>
      </c>
      <c r="O221" s="20">
        <v>2079</v>
      </c>
      <c r="P221" s="21">
        <v>45618</v>
      </c>
      <c r="Q221" s="22"/>
      <c r="R221" s="23">
        <v>2079</v>
      </c>
      <c r="S221" s="24"/>
      <c r="T221" s="23"/>
      <c r="U221" s="24"/>
      <c r="V221" s="23"/>
      <c r="W221" s="23"/>
      <c r="X221" s="24"/>
      <c r="Y221" s="23"/>
      <c r="Z221" s="23"/>
      <c r="AA221" s="23"/>
      <c r="AB221" s="23">
        <v>632.62</v>
      </c>
      <c r="AC221" s="24">
        <v>2422.5928571428572</v>
      </c>
      <c r="AD221" s="23">
        <v>1125</v>
      </c>
      <c r="AE221" s="24">
        <v>4352.7842857142859</v>
      </c>
      <c r="AF221" s="23"/>
      <c r="AG221" s="23"/>
      <c r="AH221" s="23"/>
      <c r="AI221" s="24"/>
      <c r="AJ221" s="25"/>
      <c r="AK221" s="23"/>
      <c r="AL221" s="23">
        <v>-39.549999999999997</v>
      </c>
      <c r="AM221" s="24">
        <v>226</v>
      </c>
      <c r="AN221" s="23"/>
      <c r="AO221" s="24"/>
      <c r="AP221" s="23">
        <v>257.14</v>
      </c>
      <c r="AQ221" s="24">
        <v>888.87142857142862</v>
      </c>
      <c r="AR221" s="23">
        <v>429.23</v>
      </c>
      <c r="AS221" s="23">
        <v>-924</v>
      </c>
      <c r="AT221" s="23"/>
      <c r="AU221" s="24"/>
      <c r="AW221" s="27">
        <f t="shared" si="43"/>
        <v>2.2100000000000001E-4</v>
      </c>
      <c r="AX221" s="27">
        <f t="shared" si="44"/>
        <v>1125.000221</v>
      </c>
      <c r="AY221" s="27">
        <f t="shared" si="45"/>
        <v>632.62022100000002</v>
      </c>
      <c r="AZ221" s="27">
        <f t="shared" si="46"/>
        <v>257.140221</v>
      </c>
    </row>
    <row r="222" spans="1:52" ht="15" customHeight="1" x14ac:dyDescent="0.25">
      <c r="A222" s="13" t="str">
        <f>VLOOKUP(L222,[1]VALIDAÇÃO!$D$13:$E$350,2,0)</f>
        <v>DIRETO</v>
      </c>
      <c r="B222" s="14" t="str">
        <f t="shared" si="48"/>
        <v>69CONDOMINIO DO EDIFICIO EMPRESARIAL MARIE CURIE</v>
      </c>
      <c r="C222" s="15">
        <f t="shared" si="47"/>
        <v>69</v>
      </c>
      <c r="D222" s="16" t="str">
        <f t="shared" si="49"/>
        <v>66CONDOMINIO DO EDIFICIO EMPRESARIAL MARIE CURIE</v>
      </c>
      <c r="E222" s="17">
        <f t="shared" si="40"/>
        <v>66</v>
      </c>
      <c r="F222" s="18" t="str">
        <f t="shared" si="50"/>
        <v>89CONDOMINIO DO EDIFICIO EMPRESARIAL MARIE CURIE</v>
      </c>
      <c r="G222" s="18">
        <f t="shared" si="41"/>
        <v>89</v>
      </c>
      <c r="H222" s="19" t="str">
        <f t="shared" si="51"/>
        <v>100CONDOMINIO DO EDIFICIO EMPRESARIAL MARIE CURIE</v>
      </c>
      <c r="I222" s="19">
        <f t="shared" si="42"/>
        <v>100</v>
      </c>
      <c r="J222" s="13" t="s">
        <v>57</v>
      </c>
      <c r="K222" s="13" t="s">
        <v>324</v>
      </c>
      <c r="L222" s="13" t="s">
        <v>54</v>
      </c>
      <c r="M222" s="13" t="s">
        <v>60</v>
      </c>
      <c r="N222" s="20">
        <v>1073.05</v>
      </c>
      <c r="O222" s="20">
        <v>1622.13</v>
      </c>
      <c r="P222" s="21">
        <v>45726</v>
      </c>
      <c r="Q222" s="22"/>
      <c r="R222" s="23">
        <v>1622.13</v>
      </c>
      <c r="S222" s="24"/>
      <c r="T222" s="23"/>
      <c r="U222" s="24"/>
      <c r="V222" s="23"/>
      <c r="W222" s="23"/>
      <c r="X222" s="24"/>
      <c r="Y222" s="23"/>
      <c r="Z222" s="23"/>
      <c r="AA222" s="23">
        <v>0.6100000000000001</v>
      </c>
      <c r="AB222" s="23">
        <v>8.33</v>
      </c>
      <c r="AC222" s="24">
        <v>57.014285714285705</v>
      </c>
      <c r="AD222" s="23">
        <v>101.43</v>
      </c>
      <c r="AE222" s="24">
        <v>693.5428571428572</v>
      </c>
      <c r="AF222" s="23"/>
      <c r="AG222" s="23"/>
      <c r="AH222" s="23">
        <v>3.0300000000000002</v>
      </c>
      <c r="AI222" s="24">
        <v>0</v>
      </c>
      <c r="AJ222" s="25">
        <v>299.47000000000003</v>
      </c>
      <c r="AK222" s="23">
        <v>64.75</v>
      </c>
      <c r="AL222" s="23">
        <v>-3.19</v>
      </c>
      <c r="AM222" s="24">
        <v>24.19</v>
      </c>
      <c r="AN222" s="23"/>
      <c r="AO222" s="24"/>
      <c r="AP222" s="23"/>
      <c r="AQ222" s="24"/>
      <c r="AR222" s="23">
        <v>22.669999999999998</v>
      </c>
      <c r="AS222" s="23">
        <v>-756.2</v>
      </c>
      <c r="AT222" s="23"/>
      <c r="AU222" s="24"/>
      <c r="AW222" s="27">
        <f t="shared" si="43"/>
        <v>299.47022200000004</v>
      </c>
      <c r="AX222" s="27">
        <f t="shared" si="44"/>
        <v>101.430222</v>
      </c>
      <c r="AY222" s="27">
        <f t="shared" si="45"/>
        <v>8.3302220000000009</v>
      </c>
      <c r="AZ222" s="27">
        <f t="shared" si="46"/>
        <v>2.22E-4</v>
      </c>
    </row>
    <row r="223" spans="1:52" ht="15" customHeight="1" x14ac:dyDescent="0.25">
      <c r="A223" s="13" t="str">
        <f>VLOOKUP(L223,[1]VALIDAÇÃO!$D$13:$E$350,2,0)</f>
        <v>DIRETO</v>
      </c>
      <c r="B223" s="14" t="str">
        <f t="shared" si="48"/>
        <v>32RIO AVE CARNEIROS 01 SPE LTDA.</v>
      </c>
      <c r="C223" s="15">
        <f t="shared" si="47"/>
        <v>32</v>
      </c>
      <c r="D223" s="16" t="str">
        <f t="shared" si="49"/>
        <v>69RIO AVE CARNEIROS 01 SPE LTDA.</v>
      </c>
      <c r="E223" s="17">
        <f t="shared" si="40"/>
        <v>69</v>
      </c>
      <c r="F223" s="18" t="str">
        <f t="shared" si="50"/>
        <v>7RIO AVE CARNEIROS 01 SPE LTDA.</v>
      </c>
      <c r="G223" s="18">
        <f t="shared" si="41"/>
        <v>7</v>
      </c>
      <c r="H223" s="19" t="str">
        <f t="shared" si="51"/>
        <v>35RIO AVE CARNEIROS 01 SPE LTDA.</v>
      </c>
      <c r="I223" s="19">
        <f t="shared" si="42"/>
        <v>35</v>
      </c>
      <c r="J223" s="30" t="s">
        <v>61</v>
      </c>
      <c r="K223" s="30" t="s">
        <v>325</v>
      </c>
      <c r="L223" s="30" t="s">
        <v>63</v>
      </c>
      <c r="M223" s="30" t="s">
        <v>55</v>
      </c>
      <c r="N223" s="33">
        <v>1508.91</v>
      </c>
      <c r="O223" s="30">
        <v>2156</v>
      </c>
      <c r="P223" s="29">
        <v>45782</v>
      </c>
      <c r="Q223" s="29"/>
      <c r="R223" s="30">
        <v>2156</v>
      </c>
      <c r="S223" s="30"/>
      <c r="T223" s="30"/>
      <c r="U223" s="30"/>
      <c r="V223" s="30"/>
      <c r="W223" s="30"/>
      <c r="X223" s="30"/>
      <c r="Y223" s="30"/>
      <c r="Z223" s="30"/>
      <c r="AA223" s="30">
        <v>5.69</v>
      </c>
      <c r="AB223" s="30">
        <v>256.36</v>
      </c>
      <c r="AC223" s="30">
        <v>1216.3</v>
      </c>
      <c r="AD223" s="30">
        <v>77.149999999999991</v>
      </c>
      <c r="AE223" s="30">
        <v>472.81428571428569</v>
      </c>
      <c r="AF223" s="30"/>
      <c r="AG223" s="30"/>
      <c r="AH223" s="30">
        <v>26.07</v>
      </c>
      <c r="AI223" s="30">
        <v>0</v>
      </c>
      <c r="AJ223" s="34">
        <v>567.98</v>
      </c>
      <c r="AK223" s="30">
        <v>123.78</v>
      </c>
      <c r="AL223" s="30"/>
      <c r="AM223" s="24"/>
      <c r="AN223" s="30"/>
      <c r="AO223" s="30"/>
      <c r="AP223" s="30">
        <v>37.11</v>
      </c>
      <c r="AQ223" s="30">
        <v>197.55714285714285</v>
      </c>
      <c r="AR223" s="30">
        <v>81.600000000000009</v>
      </c>
      <c r="AS223" s="30">
        <v>-964</v>
      </c>
      <c r="AT223" s="30"/>
      <c r="AU223" s="30"/>
      <c r="AW223" s="27">
        <f t="shared" si="43"/>
        <v>567.98022300000002</v>
      </c>
      <c r="AX223" s="27">
        <f t="shared" si="44"/>
        <v>77.150222999999997</v>
      </c>
      <c r="AY223" s="27">
        <f t="shared" si="45"/>
        <v>256.36022300000002</v>
      </c>
      <c r="AZ223" s="27">
        <f t="shared" si="46"/>
        <v>37.110222999999998</v>
      </c>
    </row>
    <row r="224" spans="1:52" ht="15" customHeight="1" x14ac:dyDescent="0.25">
      <c r="A224" s="13" t="str">
        <f>VLOOKUP(L224,[1]VALIDAÇÃO!$D$13:$E$350,2,0)</f>
        <v>INDIRETO</v>
      </c>
      <c r="B224" s="14" t="str">
        <f t="shared" si="48"/>
        <v>47RIO AVE 130 SPE LTDA</v>
      </c>
      <c r="C224" s="15">
        <f t="shared" si="47"/>
        <v>47</v>
      </c>
      <c r="D224" s="16" t="str">
        <f t="shared" si="49"/>
        <v>1RIO AVE 130 SPE LTDA</v>
      </c>
      <c r="E224" s="17">
        <f t="shared" si="40"/>
        <v>1</v>
      </c>
      <c r="F224" s="18" t="str">
        <f t="shared" si="50"/>
        <v>3RIO AVE 130 SPE LTDA</v>
      </c>
      <c r="G224" s="18">
        <f t="shared" si="41"/>
        <v>3</v>
      </c>
      <c r="H224" s="19" t="str">
        <f t="shared" si="51"/>
        <v>6RIO AVE 130 SPE LTDA</v>
      </c>
      <c r="I224" s="19">
        <f t="shared" si="42"/>
        <v>6</v>
      </c>
      <c r="J224" s="13" t="s">
        <v>102</v>
      </c>
      <c r="K224" s="13" t="s">
        <v>326</v>
      </c>
      <c r="L224" s="13" t="s">
        <v>134</v>
      </c>
      <c r="M224" s="13" t="s">
        <v>85</v>
      </c>
      <c r="N224" s="20">
        <v>2509.5500000000002</v>
      </c>
      <c r="O224" s="20">
        <v>1621.1</v>
      </c>
      <c r="P224" s="21">
        <v>45062</v>
      </c>
      <c r="Q224" s="22"/>
      <c r="R224" s="23">
        <v>1621.1</v>
      </c>
      <c r="S224" s="24"/>
      <c r="T224" s="23"/>
      <c r="U224" s="24"/>
      <c r="V224" s="23"/>
      <c r="W224" s="23">
        <v>3.44</v>
      </c>
      <c r="X224" s="24">
        <v>70</v>
      </c>
      <c r="Y224" s="23"/>
      <c r="Z224" s="23"/>
      <c r="AA224" s="23">
        <v>7.7</v>
      </c>
      <c r="AB224" s="23">
        <v>422.38</v>
      </c>
      <c r="AC224" s="24">
        <v>1061.9940000000001</v>
      </c>
      <c r="AD224" s="23">
        <v>1690.08</v>
      </c>
      <c r="AE224" s="24">
        <v>4412.7839999999997</v>
      </c>
      <c r="AF224" s="23"/>
      <c r="AG224" s="23"/>
      <c r="AH224" s="23">
        <v>50.05</v>
      </c>
      <c r="AI224" s="24">
        <v>0</v>
      </c>
      <c r="AJ224" s="25">
        <v>300</v>
      </c>
      <c r="AK224" s="23">
        <v>46.15</v>
      </c>
      <c r="AL224" s="23"/>
      <c r="AM224" s="24"/>
      <c r="AN224" s="23"/>
      <c r="AO224" s="24"/>
      <c r="AP224" s="23">
        <v>236.69</v>
      </c>
      <c r="AQ224" s="24">
        <v>481.83</v>
      </c>
      <c r="AR224" s="23">
        <v>388.84000000000003</v>
      </c>
      <c r="AS224" s="23">
        <v>-705.21</v>
      </c>
      <c r="AT224" s="23"/>
      <c r="AU224" s="24"/>
      <c r="AW224" s="27">
        <f t="shared" si="43"/>
        <v>300.000224</v>
      </c>
      <c r="AX224" s="27">
        <f t="shared" si="44"/>
        <v>1690.0802239999998</v>
      </c>
      <c r="AY224" s="27">
        <f t="shared" si="45"/>
        <v>422.380224</v>
      </c>
      <c r="AZ224" s="27">
        <f t="shared" si="46"/>
        <v>236.690224</v>
      </c>
    </row>
    <row r="225" spans="1:52" ht="15" customHeight="1" x14ac:dyDescent="0.25">
      <c r="A225" s="13" t="str">
        <f>VLOOKUP(L225,[1]VALIDAÇÃO!$D$13:$E$350,2,0)</f>
        <v>DIRETO</v>
      </c>
      <c r="B225" s="14" t="str">
        <f t="shared" si="48"/>
        <v>41RIO AVE 130 SPE LTDA</v>
      </c>
      <c r="C225" s="15">
        <f t="shared" si="47"/>
        <v>41</v>
      </c>
      <c r="D225" s="16" t="str">
        <f t="shared" si="49"/>
        <v>26RIO AVE 130 SPE LTDA</v>
      </c>
      <c r="E225" s="17">
        <f t="shared" si="40"/>
        <v>26</v>
      </c>
      <c r="F225" s="18" t="str">
        <f t="shared" si="50"/>
        <v>4RIO AVE 130 SPE LTDA</v>
      </c>
      <c r="G225" s="18">
        <f t="shared" si="41"/>
        <v>4</v>
      </c>
      <c r="H225" s="19" t="str">
        <f t="shared" si="51"/>
        <v>13RIO AVE 130 SPE LTDA</v>
      </c>
      <c r="I225" s="19">
        <f t="shared" si="42"/>
        <v>13</v>
      </c>
      <c r="J225" s="13" t="s">
        <v>102</v>
      </c>
      <c r="K225" s="13" t="s">
        <v>327</v>
      </c>
      <c r="L225" s="13" t="s">
        <v>137</v>
      </c>
      <c r="M225" s="13" t="s">
        <v>55</v>
      </c>
      <c r="N225" s="20">
        <v>1831.08</v>
      </c>
      <c r="O225" s="20">
        <v>2156</v>
      </c>
      <c r="P225" s="21">
        <v>45845</v>
      </c>
      <c r="Q225" s="22"/>
      <c r="R225" s="23">
        <v>2156</v>
      </c>
      <c r="S225" s="24"/>
      <c r="T225" s="23"/>
      <c r="U225" s="24"/>
      <c r="V225" s="23"/>
      <c r="W225" s="23"/>
      <c r="X225" s="24"/>
      <c r="Y225" s="23"/>
      <c r="Z225" s="23"/>
      <c r="AA225" s="23">
        <v>8.73</v>
      </c>
      <c r="AB225" s="23">
        <v>354.84000000000003</v>
      </c>
      <c r="AC225" s="24">
        <v>1681.2857142857142</v>
      </c>
      <c r="AD225" s="23">
        <v>299.49</v>
      </c>
      <c r="AE225" s="24">
        <v>1473</v>
      </c>
      <c r="AF225" s="23"/>
      <c r="AG225" s="23"/>
      <c r="AH225" s="23">
        <v>39.369999999999997</v>
      </c>
      <c r="AI225" s="24">
        <v>0</v>
      </c>
      <c r="AJ225" s="25">
        <v>419.2</v>
      </c>
      <c r="AK225" s="23">
        <v>90.11999999999999</v>
      </c>
      <c r="AL225" s="23">
        <v>-104.83</v>
      </c>
      <c r="AM225" s="24">
        <v>599</v>
      </c>
      <c r="AN225" s="23"/>
      <c r="AO225" s="24"/>
      <c r="AP225" s="23">
        <v>156.23000000000002</v>
      </c>
      <c r="AQ225" s="24">
        <v>567</v>
      </c>
      <c r="AR225" s="23">
        <v>178.54999999999998</v>
      </c>
      <c r="AS225" s="23">
        <v>-924</v>
      </c>
      <c r="AT225" s="23"/>
      <c r="AU225" s="24"/>
      <c r="AW225" s="27">
        <f t="shared" si="43"/>
        <v>419.20022499999999</v>
      </c>
      <c r="AX225" s="27">
        <f t="shared" si="44"/>
        <v>299.49022500000001</v>
      </c>
      <c r="AY225" s="27">
        <f t="shared" si="45"/>
        <v>354.84022500000003</v>
      </c>
      <c r="AZ225" s="27">
        <f t="shared" si="46"/>
        <v>156.23022500000002</v>
      </c>
    </row>
    <row r="226" spans="1:52" ht="15" customHeight="1" x14ac:dyDescent="0.25">
      <c r="A226" s="13" t="str">
        <f>VLOOKUP(L226,[1]VALIDAÇÃO!$D$13:$E$350,2,0)</f>
        <v>DIRETO</v>
      </c>
      <c r="B226" s="14" t="str">
        <f t="shared" si="48"/>
        <v>33RIO AVE CARNEIROS 01 SPE LTDA.</v>
      </c>
      <c r="C226" s="15">
        <f t="shared" si="47"/>
        <v>33</v>
      </c>
      <c r="D226" s="16" t="str">
        <f t="shared" si="49"/>
        <v>110RIO AVE CARNEIROS 01 SPE LTDA.</v>
      </c>
      <c r="E226" s="17">
        <f t="shared" si="40"/>
        <v>110</v>
      </c>
      <c r="F226" s="18" t="str">
        <f t="shared" si="50"/>
        <v>61RIO AVE CARNEIROS 01 SPE LTDA.</v>
      </c>
      <c r="G226" s="18">
        <f t="shared" si="41"/>
        <v>61</v>
      </c>
      <c r="H226" s="19" t="str">
        <f t="shared" si="51"/>
        <v>48RIO AVE CARNEIROS 01 SPE LTDA.</v>
      </c>
      <c r="I226" s="19">
        <f t="shared" si="42"/>
        <v>48</v>
      </c>
      <c r="J226" s="13" t="s">
        <v>61</v>
      </c>
      <c r="K226" s="13" t="s">
        <v>328</v>
      </c>
      <c r="L226" s="13" t="s">
        <v>63</v>
      </c>
      <c r="M226" s="13" t="s">
        <v>55</v>
      </c>
      <c r="N226" s="20">
        <v>1410.46</v>
      </c>
      <c r="O226" s="20">
        <v>2156</v>
      </c>
      <c r="P226" s="21">
        <v>45797</v>
      </c>
      <c r="Q226" s="22"/>
      <c r="R226" s="23">
        <v>2156</v>
      </c>
      <c r="S226" s="24"/>
      <c r="T226" s="23"/>
      <c r="U226" s="24"/>
      <c r="V226" s="23"/>
      <c r="W226" s="23"/>
      <c r="X226" s="24"/>
      <c r="Y226" s="23"/>
      <c r="Z226" s="23"/>
      <c r="AA226" s="23">
        <v>1.9</v>
      </c>
      <c r="AB226" s="23">
        <v>98.570000000000007</v>
      </c>
      <c r="AC226" s="24">
        <v>692.65714285714284</v>
      </c>
      <c r="AD226" s="23">
        <v>11.74</v>
      </c>
      <c r="AE226" s="24">
        <v>46.471428571428568</v>
      </c>
      <c r="AF226" s="23"/>
      <c r="AG226" s="23"/>
      <c r="AH226" s="23">
        <v>8.44</v>
      </c>
      <c r="AI226" s="24">
        <v>0</v>
      </c>
      <c r="AJ226" s="25">
        <v>560.32999999999993</v>
      </c>
      <c r="AK226" s="23">
        <v>123.81</v>
      </c>
      <c r="AL226" s="23"/>
      <c r="AM226" s="24"/>
      <c r="AN226" s="23"/>
      <c r="AO226" s="24"/>
      <c r="AP226" s="23">
        <v>33.07</v>
      </c>
      <c r="AQ226" s="24">
        <v>197.55714285714285</v>
      </c>
      <c r="AR226" s="23">
        <v>32.19</v>
      </c>
      <c r="AS226" s="23">
        <v>-964</v>
      </c>
      <c r="AT226" s="23"/>
      <c r="AU226" s="24"/>
      <c r="AW226" s="27">
        <f t="shared" si="43"/>
        <v>560.33022599999993</v>
      </c>
      <c r="AX226" s="27">
        <f t="shared" si="44"/>
        <v>11.740226</v>
      </c>
      <c r="AY226" s="27">
        <f t="shared" si="45"/>
        <v>98.570226000000005</v>
      </c>
      <c r="AZ226" s="27">
        <f t="shared" si="46"/>
        <v>33.070225999999998</v>
      </c>
    </row>
    <row r="227" spans="1:52" ht="15" customHeight="1" x14ac:dyDescent="0.25">
      <c r="A227" s="13" t="str">
        <f>VLOOKUP(L227,[1]VALIDAÇÃO!$D$13:$E$350,2,0)</f>
        <v>DIRETO</v>
      </c>
      <c r="B227" s="14" t="str">
        <f t="shared" si="48"/>
        <v>55RESERVA DO PAIVA SPE 03 LTDA</v>
      </c>
      <c r="C227" s="15">
        <f t="shared" si="47"/>
        <v>55</v>
      </c>
      <c r="D227" s="16" t="str">
        <f t="shared" si="49"/>
        <v>87RESERVA DO PAIVA SPE 03 LTDA</v>
      </c>
      <c r="E227" s="17">
        <f t="shared" si="40"/>
        <v>87</v>
      </c>
      <c r="F227" s="18" t="str">
        <f t="shared" si="50"/>
        <v>14RESERVA DO PAIVA SPE 03 LTDA</v>
      </c>
      <c r="G227" s="18">
        <f t="shared" si="41"/>
        <v>14</v>
      </c>
      <c r="H227" s="19" t="str">
        <f t="shared" si="51"/>
        <v>14RESERVA DO PAIVA SPE 03 LTDA</v>
      </c>
      <c r="I227" s="19">
        <f t="shared" si="42"/>
        <v>14</v>
      </c>
      <c r="J227" s="13" t="s">
        <v>52</v>
      </c>
      <c r="K227" s="13" t="s">
        <v>329</v>
      </c>
      <c r="L227" s="13" t="s">
        <v>101</v>
      </c>
      <c r="M227" s="13" t="s">
        <v>55</v>
      </c>
      <c r="N227" s="20">
        <v>2131.0700000000002</v>
      </c>
      <c r="O227" s="20">
        <v>2156</v>
      </c>
      <c r="P227" s="21">
        <v>45943</v>
      </c>
      <c r="Q227" s="22"/>
      <c r="R227" s="23">
        <v>2156</v>
      </c>
      <c r="S227" s="24"/>
      <c r="T227" s="23"/>
      <c r="U227" s="24"/>
      <c r="V227" s="23"/>
      <c r="W227" s="23"/>
      <c r="X227" s="24"/>
      <c r="Y227" s="23"/>
      <c r="Z227" s="23"/>
      <c r="AA227" s="23">
        <v>7.53</v>
      </c>
      <c r="AB227" s="23">
        <v>372.14</v>
      </c>
      <c r="AC227" s="24">
        <v>1771.2857142857142</v>
      </c>
      <c r="AD227" s="23">
        <v>161.14000000000001</v>
      </c>
      <c r="AE227" s="24">
        <v>583.71428571428567</v>
      </c>
      <c r="AF227" s="23"/>
      <c r="AG227" s="23"/>
      <c r="AH227" s="23">
        <v>34.630000000000003</v>
      </c>
      <c r="AI227" s="24">
        <v>0</v>
      </c>
      <c r="AJ227" s="25">
        <v>246.43</v>
      </c>
      <c r="AK227" s="23">
        <v>53.57</v>
      </c>
      <c r="AL227" s="23"/>
      <c r="AM227" s="24"/>
      <c r="AN227" s="23"/>
      <c r="AO227" s="24"/>
      <c r="AP227" s="23">
        <v>452.08</v>
      </c>
      <c r="AQ227" s="24">
        <v>2067.1428571428569</v>
      </c>
      <c r="AR227" s="23">
        <v>226.54999999999998</v>
      </c>
      <c r="AS227" s="23">
        <v>-924</v>
      </c>
      <c r="AT227" s="23"/>
      <c r="AU227" s="24"/>
      <c r="AW227" s="27">
        <f t="shared" si="43"/>
        <v>246.430227</v>
      </c>
      <c r="AX227" s="27">
        <f t="shared" si="44"/>
        <v>161.14022700000001</v>
      </c>
      <c r="AY227" s="27">
        <f t="shared" si="45"/>
        <v>372.14022699999998</v>
      </c>
      <c r="AZ227" s="27">
        <f t="shared" si="46"/>
        <v>452.08022699999998</v>
      </c>
    </row>
    <row r="228" spans="1:52" ht="15" customHeight="1" x14ac:dyDescent="0.25">
      <c r="A228" s="13" t="str">
        <f>VLOOKUP(L228,[1]VALIDAÇÃO!$D$13:$E$350,2,0)</f>
        <v>DIRETO</v>
      </c>
      <c r="B228" s="14" t="str">
        <f t="shared" si="48"/>
        <v>21RIO AVE 130 SPE LTDA</v>
      </c>
      <c r="C228" s="15">
        <f t="shared" si="47"/>
        <v>21</v>
      </c>
      <c r="D228" s="16" t="str">
        <f t="shared" si="49"/>
        <v>33RIO AVE 130 SPE LTDA</v>
      </c>
      <c r="E228" s="17">
        <f t="shared" si="40"/>
        <v>33</v>
      </c>
      <c r="F228" s="18" t="str">
        <f t="shared" si="50"/>
        <v>44RIO AVE 130 SPE LTDA</v>
      </c>
      <c r="G228" s="18">
        <f t="shared" si="41"/>
        <v>44</v>
      </c>
      <c r="H228" s="19" t="str">
        <f t="shared" si="51"/>
        <v>14RIO AVE 130 SPE LTDA</v>
      </c>
      <c r="I228" s="19">
        <f t="shared" si="42"/>
        <v>14</v>
      </c>
      <c r="J228" s="13" t="s">
        <v>102</v>
      </c>
      <c r="K228" s="13" t="s">
        <v>330</v>
      </c>
      <c r="L228" s="13" t="s">
        <v>92</v>
      </c>
      <c r="M228" s="13" t="s">
        <v>55</v>
      </c>
      <c r="N228" s="20">
        <v>1915.01</v>
      </c>
      <c r="O228" s="20">
        <v>2156</v>
      </c>
      <c r="P228" s="21">
        <v>45887</v>
      </c>
      <c r="Q228" s="22"/>
      <c r="R228" s="23">
        <v>2156</v>
      </c>
      <c r="S228" s="24"/>
      <c r="T228" s="23"/>
      <c r="U228" s="24"/>
      <c r="V228" s="23"/>
      <c r="W228" s="23"/>
      <c r="X228" s="24"/>
      <c r="Y228" s="23"/>
      <c r="Z228" s="23"/>
      <c r="AA228" s="23">
        <v>6.24</v>
      </c>
      <c r="AB228" s="23">
        <v>75.19</v>
      </c>
      <c r="AC228" s="24">
        <v>833.21428571428567</v>
      </c>
      <c r="AD228" s="23">
        <v>86.38</v>
      </c>
      <c r="AE228" s="24">
        <v>417.5</v>
      </c>
      <c r="AF228" s="23"/>
      <c r="AG228" s="23"/>
      <c r="AH228" s="23">
        <v>26.67</v>
      </c>
      <c r="AI228" s="24">
        <v>0</v>
      </c>
      <c r="AJ228" s="25">
        <v>747.5</v>
      </c>
      <c r="AK228" s="23">
        <v>166.12</v>
      </c>
      <c r="AL228" s="23">
        <v>-14.88</v>
      </c>
      <c r="AM228" s="24">
        <v>85</v>
      </c>
      <c r="AN228" s="23"/>
      <c r="AO228" s="24"/>
      <c r="AP228" s="23">
        <v>151.34</v>
      </c>
      <c r="AQ228" s="24">
        <v>605.57142857142856</v>
      </c>
      <c r="AR228" s="23">
        <v>70.259999999999991</v>
      </c>
      <c r="AS228" s="23">
        <v>-924</v>
      </c>
      <c r="AT228" s="23"/>
      <c r="AU228" s="24"/>
      <c r="AW228" s="27">
        <f t="shared" si="43"/>
        <v>747.50022799999999</v>
      </c>
      <c r="AX228" s="27">
        <f t="shared" si="44"/>
        <v>86.380228000000002</v>
      </c>
      <c r="AY228" s="27">
        <f t="shared" si="45"/>
        <v>75.190228000000005</v>
      </c>
      <c r="AZ228" s="27">
        <f t="shared" si="46"/>
        <v>151.340228</v>
      </c>
    </row>
    <row r="229" spans="1:52" ht="15" customHeight="1" x14ac:dyDescent="0.25">
      <c r="A229" s="13" t="str">
        <f>VLOOKUP(L229,[1]VALIDAÇÃO!$D$13:$E$350,2,0)</f>
        <v>DIRETO</v>
      </c>
      <c r="B229" s="14" t="str">
        <f t="shared" si="48"/>
        <v>32RESERVA DO PAIVA SPE 03 LTDA</v>
      </c>
      <c r="C229" s="15">
        <f t="shared" si="47"/>
        <v>32</v>
      </c>
      <c r="D229" s="16" t="str">
        <f t="shared" si="49"/>
        <v>89RESERVA DO PAIVA SPE 03 LTDA</v>
      </c>
      <c r="E229" s="17">
        <f t="shared" si="40"/>
        <v>89</v>
      </c>
      <c r="F229" s="18" t="str">
        <f t="shared" si="50"/>
        <v>101RESERVA DO PAIVA SPE 03 LTDA</v>
      </c>
      <c r="G229" s="18">
        <f t="shared" si="41"/>
        <v>101</v>
      </c>
      <c r="H229" s="19" t="str">
        <f t="shared" si="51"/>
        <v>139RESERVA DO PAIVA SPE 03 LTDA</v>
      </c>
      <c r="I229" s="19">
        <f t="shared" si="42"/>
        <v>139</v>
      </c>
      <c r="J229" s="13" t="s">
        <v>52</v>
      </c>
      <c r="K229" s="13" t="s">
        <v>331</v>
      </c>
      <c r="L229" s="13" t="s">
        <v>54</v>
      </c>
      <c r="M229" s="13" t="s">
        <v>55</v>
      </c>
      <c r="N229" s="20">
        <v>937.99</v>
      </c>
      <c r="O229" s="20">
        <v>1622.13</v>
      </c>
      <c r="P229" s="21">
        <v>45460</v>
      </c>
      <c r="Q229" s="22"/>
      <c r="R229" s="23">
        <v>1622.13</v>
      </c>
      <c r="S229" s="24"/>
      <c r="T229" s="23"/>
      <c r="U229" s="24"/>
      <c r="V229" s="23"/>
      <c r="W229" s="23"/>
      <c r="X229" s="24"/>
      <c r="Y229" s="23"/>
      <c r="Z229" s="23"/>
      <c r="AA229" s="23">
        <v>0.87</v>
      </c>
      <c r="AB229" s="23">
        <v>43.9</v>
      </c>
      <c r="AC229" s="24">
        <v>327.92571428571426</v>
      </c>
      <c r="AD229" s="23">
        <v>158.09</v>
      </c>
      <c r="AE229" s="24">
        <v>862.72285714285704</v>
      </c>
      <c r="AF229" s="23"/>
      <c r="AG229" s="23"/>
      <c r="AH229" s="23">
        <v>3.97</v>
      </c>
      <c r="AI229" s="24">
        <v>0</v>
      </c>
      <c r="AJ229" s="25">
        <v>423.18</v>
      </c>
      <c r="AK229" s="23">
        <v>92.35</v>
      </c>
      <c r="AL229" s="23">
        <v>-14.61</v>
      </c>
      <c r="AM229" s="24">
        <v>111</v>
      </c>
      <c r="AN229" s="23"/>
      <c r="AO229" s="24"/>
      <c r="AP229" s="23"/>
      <c r="AQ229" s="24"/>
      <c r="AR229" s="23">
        <v>43.010000000000005</v>
      </c>
      <c r="AS229" s="23">
        <v>-695.2</v>
      </c>
      <c r="AT229" s="23"/>
      <c r="AU229" s="24"/>
      <c r="AW229" s="27">
        <f t="shared" si="43"/>
        <v>423.180229</v>
      </c>
      <c r="AX229" s="27">
        <f t="shared" si="44"/>
        <v>158.09022899999999</v>
      </c>
      <c r="AY229" s="27">
        <f t="shared" si="45"/>
        <v>43.900228999999996</v>
      </c>
      <c r="AZ229" s="27">
        <f t="shared" si="46"/>
        <v>2.2900000000000001E-4</v>
      </c>
    </row>
    <row r="230" spans="1:52" ht="15" customHeight="1" x14ac:dyDescent="0.25">
      <c r="A230" s="13" t="str">
        <f>VLOOKUP(L230,[1]VALIDAÇÃO!$D$13:$E$350,2,0)</f>
        <v>INDIRETO</v>
      </c>
      <c r="B230" s="14" t="str">
        <f t="shared" si="48"/>
        <v>73RIO AVE 200 SPE LTDA.</v>
      </c>
      <c r="C230" s="15">
        <f t="shared" si="47"/>
        <v>73</v>
      </c>
      <c r="D230" s="16" t="str">
        <f t="shared" si="49"/>
        <v>75RIO AVE 200 SPE LTDA.</v>
      </c>
      <c r="E230" s="17">
        <f t="shared" si="40"/>
        <v>75</v>
      </c>
      <c r="F230" s="18" t="str">
        <f t="shared" si="50"/>
        <v>73RIO AVE 200 SPE LTDA.</v>
      </c>
      <c r="G230" s="18">
        <f t="shared" si="41"/>
        <v>73</v>
      </c>
      <c r="H230" s="19" t="str">
        <f t="shared" si="51"/>
        <v>63RIO AVE 200 SPE LTDA.</v>
      </c>
      <c r="I230" s="19">
        <f t="shared" si="42"/>
        <v>63</v>
      </c>
      <c r="J230" s="13" t="s">
        <v>48</v>
      </c>
      <c r="K230" s="13" t="s">
        <v>332</v>
      </c>
      <c r="L230" s="13" t="s">
        <v>89</v>
      </c>
      <c r="M230" s="13" t="s">
        <v>51</v>
      </c>
      <c r="N230" s="20">
        <v>1108.96</v>
      </c>
      <c r="O230" s="20"/>
      <c r="P230" s="21">
        <v>45859</v>
      </c>
      <c r="Q230" s="22"/>
      <c r="R230" s="23"/>
      <c r="S230" s="24"/>
      <c r="T230" s="23"/>
      <c r="U230" s="24"/>
      <c r="V230" s="23"/>
      <c r="W230" s="23"/>
      <c r="X230" s="24"/>
      <c r="Y230" s="23"/>
      <c r="Z230" s="23"/>
      <c r="AA230" s="23"/>
      <c r="AB230" s="23"/>
      <c r="AC230" s="24"/>
      <c r="AD230" s="23"/>
      <c r="AE230" s="24"/>
      <c r="AF230" s="23"/>
      <c r="AG230" s="23"/>
      <c r="AH230" s="23"/>
      <c r="AI230" s="24"/>
      <c r="AJ230" s="25"/>
      <c r="AK230" s="23"/>
      <c r="AL230" s="23"/>
      <c r="AM230" s="24"/>
      <c r="AN230" s="23"/>
      <c r="AO230" s="24"/>
      <c r="AP230" s="23"/>
      <c r="AQ230" s="24"/>
      <c r="AR230" s="23"/>
      <c r="AS230" s="23">
        <v>-520</v>
      </c>
      <c r="AT230" s="23"/>
      <c r="AU230" s="24"/>
      <c r="AW230" s="27">
        <f t="shared" si="43"/>
        <v>2.3000000000000001E-4</v>
      </c>
      <c r="AX230" s="27">
        <f t="shared" si="44"/>
        <v>2.3000000000000001E-4</v>
      </c>
      <c r="AY230" s="27">
        <f t="shared" si="45"/>
        <v>2.3000000000000001E-4</v>
      </c>
      <c r="AZ230" s="27">
        <f t="shared" si="46"/>
        <v>2.3000000000000001E-4</v>
      </c>
    </row>
    <row r="231" spans="1:52" ht="15" customHeight="1" x14ac:dyDescent="0.25">
      <c r="A231" s="13" t="str">
        <f>VLOOKUP(L231,[1]VALIDAÇÃO!$D$13:$E$350,2,0)</f>
        <v>INDIRETO</v>
      </c>
      <c r="B231" s="14" t="str">
        <f t="shared" si="48"/>
        <v>146RIO AVE CARNEIROS 01 SPE LTDA.</v>
      </c>
      <c r="C231" s="15">
        <f t="shared" si="47"/>
        <v>146</v>
      </c>
      <c r="D231" s="16" t="str">
        <f t="shared" si="49"/>
        <v>1RIO AVE CARNEIROS 01 SPE LTDA.</v>
      </c>
      <c r="E231" s="17">
        <f t="shared" si="40"/>
        <v>1</v>
      </c>
      <c r="F231" s="18" t="str">
        <f t="shared" si="50"/>
        <v>2RIO AVE CARNEIROS 01 SPE LTDA.</v>
      </c>
      <c r="G231" s="18">
        <f t="shared" si="41"/>
        <v>2</v>
      </c>
      <c r="H231" s="19" t="str">
        <f t="shared" si="51"/>
        <v>40RIO AVE CARNEIROS 01 SPE LTDA.</v>
      </c>
      <c r="I231" s="19">
        <f t="shared" si="42"/>
        <v>40</v>
      </c>
      <c r="J231" s="13" t="s">
        <v>61</v>
      </c>
      <c r="K231" s="13" t="s">
        <v>333</v>
      </c>
      <c r="L231" s="13" t="s">
        <v>84</v>
      </c>
      <c r="M231" s="13" t="s">
        <v>85</v>
      </c>
      <c r="N231" s="20">
        <v>2924.64</v>
      </c>
      <c r="O231" s="20">
        <v>4394.13</v>
      </c>
      <c r="P231" s="21">
        <v>45761</v>
      </c>
      <c r="Q231" s="22"/>
      <c r="R231" s="23">
        <v>4394.13</v>
      </c>
      <c r="S231" s="24"/>
      <c r="T231" s="23"/>
      <c r="U231" s="24"/>
      <c r="V231" s="23"/>
      <c r="W231" s="23"/>
      <c r="X231" s="24"/>
      <c r="Y231" s="23"/>
      <c r="Z231" s="23"/>
      <c r="AA231" s="23"/>
      <c r="AB231" s="23">
        <v>522.88</v>
      </c>
      <c r="AC231" s="24">
        <v>1119.9000000000001</v>
      </c>
      <c r="AD231" s="23">
        <v>1508.51</v>
      </c>
      <c r="AE231" s="24">
        <v>3376.8285714285716</v>
      </c>
      <c r="AF231" s="23"/>
      <c r="AG231" s="23"/>
      <c r="AH231" s="23"/>
      <c r="AI231" s="24"/>
      <c r="AJ231" s="25"/>
      <c r="AK231" s="23"/>
      <c r="AL231" s="23">
        <v>-5.71</v>
      </c>
      <c r="AM231" s="24">
        <v>16</v>
      </c>
      <c r="AN231" s="23"/>
      <c r="AO231" s="24"/>
      <c r="AP231" s="23">
        <v>35.769999999999996</v>
      </c>
      <c r="AQ231" s="24">
        <v>84.285714285714278</v>
      </c>
      <c r="AR231" s="23">
        <v>439.88000000000005</v>
      </c>
      <c r="AS231" s="23">
        <v>-1883.2</v>
      </c>
      <c r="AT231" s="23"/>
      <c r="AU231" s="24"/>
      <c r="AW231" s="27">
        <f t="shared" si="43"/>
        <v>2.31E-4</v>
      </c>
      <c r="AX231" s="27">
        <f t="shared" si="44"/>
        <v>1508.510231</v>
      </c>
      <c r="AY231" s="27">
        <f t="shared" si="45"/>
        <v>522.88023099999998</v>
      </c>
      <c r="AZ231" s="27">
        <f t="shared" si="46"/>
        <v>35.770230999999995</v>
      </c>
    </row>
    <row r="232" spans="1:52" ht="15" customHeight="1" x14ac:dyDescent="0.25">
      <c r="A232" s="13" t="str">
        <f>VLOOKUP(L232,[1]VALIDAÇÃO!$D$13:$E$350,2,0)</f>
        <v>DIRETO</v>
      </c>
      <c r="B232" s="14" t="str">
        <f t="shared" si="48"/>
        <v>2RESERVA DO PAIVA SPE 01 LTDA.</v>
      </c>
      <c r="C232" s="15">
        <f t="shared" si="47"/>
        <v>2</v>
      </c>
      <c r="D232" s="16" t="str">
        <f t="shared" si="49"/>
        <v>32RESERVA DO PAIVA SPE 01 LTDA.</v>
      </c>
      <c r="E232" s="17">
        <f t="shared" si="40"/>
        <v>32</v>
      </c>
      <c r="F232" s="18" t="str">
        <f t="shared" si="50"/>
        <v>16RESERVA DO PAIVA SPE 01 LTDA.</v>
      </c>
      <c r="G232" s="18">
        <f t="shared" si="41"/>
        <v>16</v>
      </c>
      <c r="H232" s="19" t="str">
        <f t="shared" si="51"/>
        <v>19RESERVA DO PAIVA SPE 01 LTDA.</v>
      </c>
      <c r="I232" s="19">
        <f t="shared" si="42"/>
        <v>19</v>
      </c>
      <c r="J232" s="13" t="s">
        <v>68</v>
      </c>
      <c r="K232" s="13" t="s">
        <v>334</v>
      </c>
      <c r="L232" s="13" t="s">
        <v>63</v>
      </c>
      <c r="M232" s="13" t="s">
        <v>55</v>
      </c>
      <c r="N232" s="20">
        <v>2685.13</v>
      </c>
      <c r="O232" s="20">
        <v>2156</v>
      </c>
      <c r="P232" s="21">
        <v>45336</v>
      </c>
      <c r="Q232" s="22"/>
      <c r="R232" s="23">
        <v>2156</v>
      </c>
      <c r="S232" s="24"/>
      <c r="T232" s="23"/>
      <c r="U232" s="24"/>
      <c r="V232" s="23"/>
      <c r="W232" s="23"/>
      <c r="X232" s="24"/>
      <c r="Y232" s="23"/>
      <c r="Z232" s="23"/>
      <c r="AA232" s="23">
        <v>37.54</v>
      </c>
      <c r="AB232" s="23">
        <v>454.38</v>
      </c>
      <c r="AC232" s="24">
        <v>1545.9637500000001</v>
      </c>
      <c r="AD232" s="23">
        <v>368.57000000000005</v>
      </c>
      <c r="AE232" s="24">
        <v>1244.1575</v>
      </c>
      <c r="AF232" s="23"/>
      <c r="AG232" s="23"/>
      <c r="AH232" s="23">
        <v>169.78</v>
      </c>
      <c r="AI232" s="24">
        <v>0</v>
      </c>
      <c r="AJ232" s="25">
        <v>1462.84</v>
      </c>
      <c r="AK232" s="23">
        <v>320.47999999999996</v>
      </c>
      <c r="AL232" s="23"/>
      <c r="AM232" s="24"/>
      <c r="AN232" s="23"/>
      <c r="AO232" s="24"/>
      <c r="AP232" s="23">
        <v>538.63</v>
      </c>
      <c r="AQ232" s="24">
        <v>1538.94</v>
      </c>
      <c r="AR232" s="23">
        <v>297.48</v>
      </c>
      <c r="AS232" s="23">
        <v>-924</v>
      </c>
      <c r="AT232" s="23"/>
      <c r="AU232" s="24"/>
      <c r="AW232" s="27">
        <f t="shared" si="43"/>
        <v>1462.840232</v>
      </c>
      <c r="AX232" s="27">
        <f t="shared" si="44"/>
        <v>368.57023200000003</v>
      </c>
      <c r="AY232" s="27">
        <f t="shared" si="45"/>
        <v>454.38023199999998</v>
      </c>
      <c r="AZ232" s="27">
        <f t="shared" si="46"/>
        <v>538.63023199999998</v>
      </c>
    </row>
    <row r="233" spans="1:52" ht="15" customHeight="1" x14ac:dyDescent="0.25">
      <c r="A233" s="13" t="str">
        <f>VLOOKUP(L233,[1]VALIDAÇÃO!$D$13:$E$350,2,0)</f>
        <v>INDIRETO</v>
      </c>
      <c r="B233" s="14" t="str">
        <f t="shared" si="48"/>
        <v>63RIO AVE 130 SPE LTDA</v>
      </c>
      <c r="C233" s="15">
        <f t="shared" si="47"/>
        <v>63</v>
      </c>
      <c r="D233" s="16" t="str">
        <f t="shared" si="49"/>
        <v>64RIO AVE 130 SPE LTDA</v>
      </c>
      <c r="E233" s="17">
        <f t="shared" si="40"/>
        <v>64</v>
      </c>
      <c r="F233" s="18" t="str">
        <f t="shared" si="50"/>
        <v>64RIO AVE 130 SPE LTDA</v>
      </c>
      <c r="G233" s="18">
        <f t="shared" si="41"/>
        <v>64</v>
      </c>
      <c r="H233" s="19" t="str">
        <f t="shared" si="51"/>
        <v>61RIO AVE 130 SPE LTDA</v>
      </c>
      <c r="I233" s="19">
        <f t="shared" si="42"/>
        <v>61</v>
      </c>
      <c r="J233" s="13" t="s">
        <v>102</v>
      </c>
      <c r="K233" s="13" t="s">
        <v>335</v>
      </c>
      <c r="L233" s="13" t="s">
        <v>336</v>
      </c>
      <c r="M233" s="13" t="s">
        <v>85</v>
      </c>
      <c r="N233" s="20">
        <v>3486.2</v>
      </c>
      <c r="O233" s="20">
        <v>7972.48</v>
      </c>
      <c r="P233" s="21">
        <v>44963</v>
      </c>
      <c r="Q233" s="22"/>
      <c r="R233" s="23">
        <v>7972.48</v>
      </c>
      <c r="S233" s="24"/>
      <c r="T233" s="23"/>
      <c r="U233" s="24"/>
      <c r="V233" s="23"/>
      <c r="W233" s="23"/>
      <c r="X233" s="24"/>
      <c r="Y233" s="23"/>
      <c r="Z233" s="23"/>
      <c r="AA233" s="23"/>
      <c r="AB233" s="23"/>
      <c r="AC233" s="24"/>
      <c r="AD233" s="23"/>
      <c r="AE233" s="24"/>
      <c r="AF233" s="23"/>
      <c r="AG233" s="23"/>
      <c r="AH233" s="23"/>
      <c r="AI233" s="24"/>
      <c r="AJ233" s="25"/>
      <c r="AK233" s="23"/>
      <c r="AL233" s="23"/>
      <c r="AM233" s="24"/>
      <c r="AN233" s="23"/>
      <c r="AO233" s="24"/>
      <c r="AP233" s="23"/>
      <c r="AQ233" s="24"/>
      <c r="AR233" s="23"/>
      <c r="AS233" s="23">
        <v>-3416.78</v>
      </c>
      <c r="AT233" s="23"/>
      <c r="AU233" s="24"/>
      <c r="AW233" s="27">
        <f t="shared" si="43"/>
        <v>2.33E-4</v>
      </c>
      <c r="AX233" s="27">
        <f t="shared" si="44"/>
        <v>2.33E-4</v>
      </c>
      <c r="AY233" s="27">
        <f t="shared" si="45"/>
        <v>2.33E-4</v>
      </c>
      <c r="AZ233" s="27">
        <f t="shared" si="46"/>
        <v>2.33E-4</v>
      </c>
    </row>
    <row r="234" spans="1:52" ht="15" customHeight="1" x14ac:dyDescent="0.25">
      <c r="A234" s="13" t="str">
        <f>VLOOKUP(L234,[1]VALIDAÇÃO!$D$13:$E$350,2,0)</f>
        <v>DIRETO</v>
      </c>
      <c r="B234" s="14" t="str">
        <f t="shared" si="48"/>
        <v>113RESERVA DO PAIVA SPE 03 LTDA</v>
      </c>
      <c r="C234" s="15">
        <f t="shared" si="47"/>
        <v>113</v>
      </c>
      <c r="D234" s="16" t="str">
        <f t="shared" si="49"/>
        <v>83RESERVA DO PAIVA SPE 03 LTDA</v>
      </c>
      <c r="E234" s="17">
        <f t="shared" si="40"/>
        <v>83</v>
      </c>
      <c r="F234" s="18" t="str">
        <f t="shared" si="50"/>
        <v>79RESERVA DO PAIVA SPE 03 LTDA</v>
      </c>
      <c r="G234" s="18">
        <f t="shared" si="41"/>
        <v>79</v>
      </c>
      <c r="H234" s="19" t="str">
        <f t="shared" si="51"/>
        <v>75RESERVA DO PAIVA SPE 03 LTDA</v>
      </c>
      <c r="I234" s="19">
        <f t="shared" si="42"/>
        <v>75</v>
      </c>
      <c r="J234" s="13" t="s">
        <v>52</v>
      </c>
      <c r="K234" s="13" t="s">
        <v>337</v>
      </c>
      <c r="L234" s="13" t="s">
        <v>54</v>
      </c>
      <c r="M234" s="13" t="s">
        <v>55</v>
      </c>
      <c r="N234" s="20">
        <v>616.5</v>
      </c>
      <c r="O234" s="20">
        <v>1622.13</v>
      </c>
      <c r="P234" s="21">
        <v>45839</v>
      </c>
      <c r="Q234" s="22"/>
      <c r="R234" s="23">
        <v>1622.13</v>
      </c>
      <c r="S234" s="24"/>
      <c r="T234" s="23"/>
      <c r="U234" s="24"/>
      <c r="V234" s="23"/>
      <c r="W234" s="23"/>
      <c r="X234" s="24"/>
      <c r="Y234" s="23"/>
      <c r="Z234" s="23"/>
      <c r="AA234" s="23">
        <v>0.87000000000000011</v>
      </c>
      <c r="AB234" s="23">
        <v>91.91</v>
      </c>
      <c r="AC234" s="24">
        <v>977.62857142857138</v>
      </c>
      <c r="AD234" s="23">
        <v>168.99</v>
      </c>
      <c r="AE234" s="24">
        <v>1382.9842857142858</v>
      </c>
      <c r="AF234" s="23"/>
      <c r="AG234" s="23"/>
      <c r="AH234" s="23">
        <v>3.82</v>
      </c>
      <c r="AI234" s="24">
        <v>0</v>
      </c>
      <c r="AJ234" s="25">
        <v>85.69</v>
      </c>
      <c r="AK234" s="23">
        <v>18.889999999999997</v>
      </c>
      <c r="AL234" s="23">
        <v>-39.26</v>
      </c>
      <c r="AM234" s="24">
        <v>298.17</v>
      </c>
      <c r="AN234" s="23">
        <v>-57.93</v>
      </c>
      <c r="AO234" s="24">
        <v>1</v>
      </c>
      <c r="AP234" s="23">
        <v>15.27</v>
      </c>
      <c r="AQ234" s="24">
        <v>138.04285714285714</v>
      </c>
      <c r="AR234" s="23">
        <v>62.66</v>
      </c>
      <c r="AS234" s="23">
        <v>-695.2</v>
      </c>
      <c r="AT234" s="23">
        <v>-57.93</v>
      </c>
      <c r="AU234" s="24">
        <v>1</v>
      </c>
      <c r="AW234" s="27">
        <f t="shared" si="43"/>
        <v>85.690234000000004</v>
      </c>
      <c r="AX234" s="27">
        <f t="shared" si="44"/>
        <v>168.99023400000002</v>
      </c>
      <c r="AY234" s="27">
        <f t="shared" si="45"/>
        <v>91.910234000000003</v>
      </c>
      <c r="AZ234" s="27">
        <f t="shared" si="46"/>
        <v>15.270234</v>
      </c>
    </row>
    <row r="235" spans="1:52" ht="15" customHeight="1" x14ac:dyDescent="0.25">
      <c r="A235" s="13" t="str">
        <f>VLOOKUP(L235,[1]VALIDAÇÃO!$D$13:$E$350,2,0)</f>
        <v>DIRETO</v>
      </c>
      <c r="B235" s="14" t="str">
        <f t="shared" si="48"/>
        <v>10RIO AVE 130 SPE LTDA</v>
      </c>
      <c r="C235" s="15">
        <f t="shared" si="47"/>
        <v>10</v>
      </c>
      <c r="D235" s="16" t="str">
        <f t="shared" si="49"/>
        <v>25RIO AVE 130 SPE LTDA</v>
      </c>
      <c r="E235" s="17">
        <f t="shared" si="40"/>
        <v>25</v>
      </c>
      <c r="F235" s="18" t="str">
        <f t="shared" si="50"/>
        <v>31RIO AVE 130 SPE LTDA</v>
      </c>
      <c r="G235" s="18">
        <f t="shared" si="41"/>
        <v>31</v>
      </c>
      <c r="H235" s="19" t="str">
        <f t="shared" si="51"/>
        <v>18RIO AVE 130 SPE LTDA</v>
      </c>
      <c r="I235" s="19">
        <f t="shared" si="42"/>
        <v>18</v>
      </c>
      <c r="J235" s="13" t="s">
        <v>102</v>
      </c>
      <c r="K235" s="13" t="s">
        <v>338</v>
      </c>
      <c r="L235" s="13" t="s">
        <v>92</v>
      </c>
      <c r="M235" s="13" t="s">
        <v>55</v>
      </c>
      <c r="N235" s="20">
        <v>2167.11</v>
      </c>
      <c r="O235" s="20">
        <v>2156</v>
      </c>
      <c r="P235" s="21">
        <v>45796</v>
      </c>
      <c r="Q235" s="22"/>
      <c r="R235" s="23">
        <v>2156</v>
      </c>
      <c r="S235" s="24"/>
      <c r="T235" s="23"/>
      <c r="U235" s="24"/>
      <c r="V235" s="23"/>
      <c r="W235" s="23"/>
      <c r="X235" s="24"/>
      <c r="Y235" s="23"/>
      <c r="Z235" s="23"/>
      <c r="AA235" s="23">
        <v>13.88</v>
      </c>
      <c r="AB235" s="23">
        <v>181.2</v>
      </c>
      <c r="AC235" s="24">
        <v>923.24285714285713</v>
      </c>
      <c r="AD235" s="23">
        <v>331.67</v>
      </c>
      <c r="AE235" s="24">
        <v>1607.6999999999998</v>
      </c>
      <c r="AF235" s="23"/>
      <c r="AG235" s="23"/>
      <c r="AH235" s="23">
        <v>64.06</v>
      </c>
      <c r="AI235" s="24">
        <v>0</v>
      </c>
      <c r="AJ235" s="25">
        <v>910.64</v>
      </c>
      <c r="AK235" s="23">
        <v>197.65</v>
      </c>
      <c r="AL235" s="23">
        <v>-11.38</v>
      </c>
      <c r="AM235" s="24">
        <v>65</v>
      </c>
      <c r="AN235" s="23"/>
      <c r="AO235" s="24"/>
      <c r="AP235" s="23">
        <v>137.01999999999998</v>
      </c>
      <c r="AQ235" s="24">
        <v>436.7285714285714</v>
      </c>
      <c r="AR235" s="23">
        <v>140.21</v>
      </c>
      <c r="AS235" s="23">
        <v>-990</v>
      </c>
      <c r="AT235" s="23"/>
      <c r="AU235" s="24"/>
      <c r="AW235" s="27">
        <f t="shared" si="43"/>
        <v>910.64023499999996</v>
      </c>
      <c r="AX235" s="27">
        <f t="shared" si="44"/>
        <v>331.67023499999999</v>
      </c>
      <c r="AY235" s="27">
        <f t="shared" si="45"/>
        <v>181.20023499999999</v>
      </c>
      <c r="AZ235" s="27">
        <f t="shared" si="46"/>
        <v>137.02023499999999</v>
      </c>
    </row>
    <row r="236" spans="1:52" ht="15" customHeight="1" x14ac:dyDescent="0.25">
      <c r="A236" s="13" t="str">
        <f>VLOOKUP(L236,[1]VALIDAÇÃO!$D$13:$E$350,2,0)</f>
        <v>DIRETO</v>
      </c>
      <c r="B236" s="14" t="str">
        <f t="shared" si="48"/>
        <v>15RIO AVE 200 SPE LTDA.</v>
      </c>
      <c r="C236" s="15">
        <f t="shared" si="47"/>
        <v>15</v>
      </c>
      <c r="D236" s="16" t="str">
        <f t="shared" si="49"/>
        <v>49RIO AVE 200 SPE LTDA.</v>
      </c>
      <c r="E236" s="17">
        <f t="shared" si="40"/>
        <v>49</v>
      </c>
      <c r="F236" s="18" t="str">
        <f t="shared" si="50"/>
        <v>72RIO AVE 200 SPE LTDA.</v>
      </c>
      <c r="G236" s="18">
        <f t="shared" si="41"/>
        <v>72</v>
      </c>
      <c r="H236" s="19" t="str">
        <f t="shared" si="51"/>
        <v>62RIO AVE 200 SPE LTDA.</v>
      </c>
      <c r="I236" s="19">
        <f t="shared" si="42"/>
        <v>62</v>
      </c>
      <c r="J236" s="13" t="s">
        <v>48</v>
      </c>
      <c r="K236" s="13" t="s">
        <v>339</v>
      </c>
      <c r="L236" s="13" t="s">
        <v>66</v>
      </c>
      <c r="M236" s="13" t="s">
        <v>55</v>
      </c>
      <c r="N236" s="20">
        <v>1797.84</v>
      </c>
      <c r="O236" s="20">
        <v>2156</v>
      </c>
      <c r="P236" s="21">
        <v>45931</v>
      </c>
      <c r="Q236" s="22"/>
      <c r="R236" s="23">
        <v>2156</v>
      </c>
      <c r="S236" s="24"/>
      <c r="T236" s="23"/>
      <c r="U236" s="24"/>
      <c r="V236" s="23"/>
      <c r="W236" s="23"/>
      <c r="X236" s="24"/>
      <c r="Y236" s="23"/>
      <c r="Z236" s="23"/>
      <c r="AA236" s="23">
        <v>2.33</v>
      </c>
      <c r="AB236" s="23"/>
      <c r="AC236" s="24"/>
      <c r="AD236" s="23">
        <v>73.67</v>
      </c>
      <c r="AE236" s="24">
        <v>342</v>
      </c>
      <c r="AF236" s="23"/>
      <c r="AG236" s="23"/>
      <c r="AH236" s="23">
        <v>10.28</v>
      </c>
      <c r="AI236" s="24">
        <v>0</v>
      </c>
      <c r="AJ236" s="25">
        <v>974.86</v>
      </c>
      <c r="AK236" s="23">
        <v>220.73</v>
      </c>
      <c r="AL236" s="23"/>
      <c r="AM236" s="24"/>
      <c r="AN236" s="23"/>
      <c r="AO236" s="24"/>
      <c r="AP236" s="23"/>
      <c r="AQ236" s="24"/>
      <c r="AR236" s="23">
        <v>16.8</v>
      </c>
      <c r="AS236" s="23">
        <v>-924</v>
      </c>
      <c r="AT236" s="23"/>
      <c r="AU236" s="24"/>
      <c r="AW236" s="27">
        <f t="shared" si="43"/>
        <v>974.86023599999999</v>
      </c>
      <c r="AX236" s="27">
        <f t="shared" si="44"/>
        <v>73.670236000000003</v>
      </c>
      <c r="AY236" s="27">
        <f t="shared" si="45"/>
        <v>2.3599999999999999E-4</v>
      </c>
      <c r="AZ236" s="27">
        <f t="shared" si="46"/>
        <v>2.3599999999999999E-4</v>
      </c>
    </row>
    <row r="237" spans="1:52" ht="15" customHeight="1" x14ac:dyDescent="0.25">
      <c r="A237" s="13" t="str">
        <f>VLOOKUP(L237,[1]VALIDAÇÃO!$D$13:$E$350,2,0)</f>
        <v>DIRETO</v>
      </c>
      <c r="B237" s="14" t="str">
        <f t="shared" si="48"/>
        <v>3RIO AVE CARNEIROS 01 SPE LTDA.</v>
      </c>
      <c r="C237" s="15">
        <f t="shared" si="47"/>
        <v>3</v>
      </c>
      <c r="D237" s="16" t="str">
        <f t="shared" si="49"/>
        <v>121RIO AVE CARNEIROS 01 SPE LTDA.</v>
      </c>
      <c r="E237" s="17">
        <f t="shared" si="40"/>
        <v>121</v>
      </c>
      <c r="F237" s="18" t="str">
        <f t="shared" si="50"/>
        <v>118RIO AVE CARNEIROS 01 SPE LTDA.</v>
      </c>
      <c r="G237" s="18">
        <f t="shared" si="41"/>
        <v>118</v>
      </c>
      <c r="H237" s="19" t="str">
        <f t="shared" si="51"/>
        <v>135RIO AVE CARNEIROS 01 SPE LTDA.</v>
      </c>
      <c r="I237" s="19">
        <f t="shared" si="42"/>
        <v>135</v>
      </c>
      <c r="J237" s="13" t="s">
        <v>61</v>
      </c>
      <c r="K237" s="13" t="s">
        <v>340</v>
      </c>
      <c r="L237" s="13" t="s">
        <v>63</v>
      </c>
      <c r="M237" s="13" t="s">
        <v>55</v>
      </c>
      <c r="N237" s="20">
        <v>1506.48</v>
      </c>
      <c r="O237" s="20">
        <v>2156</v>
      </c>
      <c r="P237" s="21">
        <v>45847</v>
      </c>
      <c r="Q237" s="22"/>
      <c r="R237" s="23">
        <v>2156</v>
      </c>
      <c r="S237" s="24"/>
      <c r="T237" s="23"/>
      <c r="U237" s="24"/>
      <c r="V237" s="23"/>
      <c r="W237" s="23"/>
      <c r="X237" s="24"/>
      <c r="Y237" s="23"/>
      <c r="Z237" s="23"/>
      <c r="AA237" s="23">
        <v>0.32999999999999996</v>
      </c>
      <c r="AB237" s="23">
        <v>17.13</v>
      </c>
      <c r="AC237" s="24">
        <v>137.14285714285714</v>
      </c>
      <c r="AD237" s="23">
        <v>5.0200000000000005</v>
      </c>
      <c r="AE237" s="24">
        <v>25</v>
      </c>
      <c r="AF237" s="23"/>
      <c r="AG237" s="23"/>
      <c r="AH237" s="23">
        <v>2</v>
      </c>
      <c r="AI237" s="24">
        <v>0</v>
      </c>
      <c r="AJ237" s="25">
        <v>1058.1100000000001</v>
      </c>
      <c r="AK237" s="23">
        <v>229.54000000000002</v>
      </c>
      <c r="AL237" s="23">
        <v>-4.38</v>
      </c>
      <c r="AM237" s="24">
        <v>25</v>
      </c>
      <c r="AN237" s="23">
        <v>-77</v>
      </c>
      <c r="AO237" s="24">
        <v>1</v>
      </c>
      <c r="AP237" s="23"/>
      <c r="AQ237" s="24"/>
      <c r="AR237" s="23">
        <v>3.66</v>
      </c>
      <c r="AS237" s="23">
        <v>-924</v>
      </c>
      <c r="AT237" s="23">
        <v>-154</v>
      </c>
      <c r="AU237" s="24">
        <v>2</v>
      </c>
      <c r="AW237" s="27">
        <f t="shared" si="43"/>
        <v>1058.1102370000001</v>
      </c>
      <c r="AX237" s="27">
        <f t="shared" si="44"/>
        <v>5.0202370000000007</v>
      </c>
      <c r="AY237" s="27">
        <f t="shared" si="45"/>
        <v>17.130236999999997</v>
      </c>
      <c r="AZ237" s="27">
        <f t="shared" si="46"/>
        <v>2.3699999999999999E-4</v>
      </c>
    </row>
    <row r="238" spans="1:52" ht="15" customHeight="1" x14ac:dyDescent="0.25">
      <c r="A238" s="13" t="str">
        <f>VLOOKUP(L238,[1]VALIDAÇÃO!$D$13:$E$350,2,0)</f>
        <v>DIRETO</v>
      </c>
      <c r="B238" s="14" t="str">
        <f t="shared" si="48"/>
        <v>145RIO AVE CARNEIROS 01 SPE LTDA.</v>
      </c>
      <c r="C238" s="15">
        <f t="shared" si="47"/>
        <v>145</v>
      </c>
      <c r="D238" s="16" t="str">
        <f t="shared" si="49"/>
        <v>53RIO AVE CARNEIROS 01 SPE LTDA.</v>
      </c>
      <c r="E238" s="17">
        <f t="shared" si="40"/>
        <v>53</v>
      </c>
      <c r="F238" s="18" t="str">
        <f t="shared" si="50"/>
        <v>60RIO AVE CARNEIROS 01 SPE LTDA.</v>
      </c>
      <c r="G238" s="18">
        <f t="shared" si="41"/>
        <v>60</v>
      </c>
      <c r="H238" s="19" t="str">
        <f t="shared" si="51"/>
        <v>134RIO AVE CARNEIROS 01 SPE LTDA.</v>
      </c>
      <c r="I238" s="19">
        <f t="shared" si="42"/>
        <v>134</v>
      </c>
      <c r="J238" s="13" t="s">
        <v>61</v>
      </c>
      <c r="K238" s="13" t="s">
        <v>341</v>
      </c>
      <c r="L238" s="13" t="s">
        <v>54</v>
      </c>
      <c r="M238" s="13" t="s">
        <v>55</v>
      </c>
      <c r="N238" s="20">
        <v>1064.22</v>
      </c>
      <c r="O238" s="20">
        <v>1622.13</v>
      </c>
      <c r="P238" s="21">
        <v>45978</v>
      </c>
      <c r="Q238" s="22"/>
      <c r="R238" s="23">
        <v>1622.13</v>
      </c>
      <c r="S238" s="24"/>
      <c r="T238" s="23"/>
      <c r="U238" s="24"/>
      <c r="V238" s="23"/>
      <c r="W238" s="23"/>
      <c r="X238" s="24"/>
      <c r="Y238" s="23"/>
      <c r="Z238" s="23"/>
      <c r="AA238" s="23"/>
      <c r="AB238" s="23">
        <v>100.5</v>
      </c>
      <c r="AC238" s="24">
        <v>449</v>
      </c>
      <c r="AD238" s="23">
        <v>143.47999999999999</v>
      </c>
      <c r="AE238" s="24">
        <v>641</v>
      </c>
      <c r="AF238" s="23"/>
      <c r="AG238" s="23"/>
      <c r="AH238" s="23"/>
      <c r="AI238" s="24"/>
      <c r="AJ238" s="25"/>
      <c r="AK238" s="23"/>
      <c r="AL238" s="23">
        <v>-3.16</v>
      </c>
      <c r="AM238" s="24">
        <v>24</v>
      </c>
      <c r="AN238" s="23"/>
      <c r="AO238" s="24"/>
      <c r="AP238" s="23"/>
      <c r="AQ238" s="24"/>
      <c r="AR238" s="23">
        <v>53.04</v>
      </c>
      <c r="AS238" s="23">
        <v>-775.2</v>
      </c>
      <c r="AT238" s="23"/>
      <c r="AU238" s="24"/>
      <c r="AW238" s="27">
        <f t="shared" si="43"/>
        <v>2.3800000000000001E-4</v>
      </c>
      <c r="AX238" s="27">
        <f t="shared" si="44"/>
        <v>143.48023799999999</v>
      </c>
      <c r="AY238" s="27">
        <f t="shared" si="45"/>
        <v>100.500238</v>
      </c>
      <c r="AZ238" s="27">
        <f t="shared" si="46"/>
        <v>2.3800000000000001E-4</v>
      </c>
    </row>
    <row r="239" spans="1:52" ht="15" customHeight="1" x14ac:dyDescent="0.25">
      <c r="A239" s="13" t="str">
        <f>VLOOKUP(L239,[1]VALIDAÇÃO!$D$13:$E$350,2,0)</f>
        <v>DIRETO</v>
      </c>
      <c r="B239" s="14" t="str">
        <f t="shared" si="48"/>
        <v>156RESERVA DO PAIVA SPE 03 LTDA</v>
      </c>
      <c r="C239" s="15">
        <f t="shared" si="47"/>
        <v>156</v>
      </c>
      <c r="D239" s="16" t="str">
        <f t="shared" si="49"/>
        <v>136RESERVA DO PAIVA SPE 03 LTDA</v>
      </c>
      <c r="E239" s="17">
        <f t="shared" si="40"/>
        <v>136</v>
      </c>
      <c r="F239" s="18" t="str">
        <f t="shared" si="50"/>
        <v>155RESERVA DO PAIVA SPE 03 LTDA</v>
      </c>
      <c r="G239" s="18">
        <f t="shared" si="41"/>
        <v>155</v>
      </c>
      <c r="H239" s="19" t="str">
        <f t="shared" si="51"/>
        <v>138RESERVA DO PAIVA SPE 03 LTDA</v>
      </c>
      <c r="I239" s="19">
        <f t="shared" si="42"/>
        <v>138</v>
      </c>
      <c r="J239" s="13" t="s">
        <v>52</v>
      </c>
      <c r="K239" s="13" t="s">
        <v>342</v>
      </c>
      <c r="L239" s="13" t="s">
        <v>54</v>
      </c>
      <c r="M239" s="13" t="s">
        <v>55</v>
      </c>
      <c r="N239" s="20">
        <v>829.5</v>
      </c>
      <c r="O239" s="20">
        <v>1622.13</v>
      </c>
      <c r="P239" s="21">
        <v>45964</v>
      </c>
      <c r="Q239" s="22"/>
      <c r="R239" s="23">
        <v>1622.13</v>
      </c>
      <c r="S239" s="24"/>
      <c r="T239" s="23"/>
      <c r="U239" s="24"/>
      <c r="V239" s="23"/>
      <c r="W239" s="23"/>
      <c r="X239" s="24"/>
      <c r="Y239" s="23"/>
      <c r="Z239" s="23"/>
      <c r="AA239" s="23"/>
      <c r="AB239" s="23"/>
      <c r="AC239" s="24"/>
      <c r="AD239" s="23">
        <v>18.899999999999999</v>
      </c>
      <c r="AE239" s="24">
        <v>281.8</v>
      </c>
      <c r="AF239" s="23"/>
      <c r="AG239" s="23"/>
      <c r="AH239" s="23"/>
      <c r="AI239" s="24"/>
      <c r="AJ239" s="25"/>
      <c r="AK239" s="23"/>
      <c r="AL239" s="23">
        <v>-31.2</v>
      </c>
      <c r="AM239" s="24">
        <v>237</v>
      </c>
      <c r="AN239" s="23"/>
      <c r="AO239" s="24"/>
      <c r="AP239" s="23"/>
      <c r="AQ239" s="24"/>
      <c r="AR239" s="23">
        <v>4.6100000000000003</v>
      </c>
      <c r="AS239" s="23">
        <v>-695.2</v>
      </c>
      <c r="AT239" s="23"/>
      <c r="AU239" s="24"/>
      <c r="AW239" s="27">
        <f t="shared" si="43"/>
        <v>2.3900000000000001E-4</v>
      </c>
      <c r="AX239" s="27">
        <f t="shared" si="44"/>
        <v>18.900238999999999</v>
      </c>
      <c r="AY239" s="27">
        <f t="shared" si="45"/>
        <v>2.3900000000000001E-4</v>
      </c>
      <c r="AZ239" s="27">
        <f t="shared" si="46"/>
        <v>2.3900000000000001E-4</v>
      </c>
    </row>
    <row r="240" spans="1:52" ht="15" customHeight="1" x14ac:dyDescent="0.25">
      <c r="A240" s="13" t="str">
        <f>VLOOKUP(L240,[1]VALIDAÇÃO!$D$13:$E$350,2,0)</f>
        <v>INDIRETO</v>
      </c>
      <c r="B240" s="14" t="str">
        <f t="shared" si="48"/>
        <v>155RESERVA DO PAIVA SPE 03 LTDA</v>
      </c>
      <c r="C240" s="15">
        <f t="shared" si="47"/>
        <v>155</v>
      </c>
      <c r="D240" s="16" t="str">
        <f t="shared" si="49"/>
        <v>18RESERVA DO PAIVA SPE 03 LTDA</v>
      </c>
      <c r="E240" s="17">
        <f t="shared" si="40"/>
        <v>18</v>
      </c>
      <c r="F240" s="18" t="str">
        <f t="shared" si="50"/>
        <v>6RESERVA DO PAIVA SPE 03 LTDA</v>
      </c>
      <c r="G240" s="18">
        <f t="shared" si="41"/>
        <v>6</v>
      </c>
      <c r="H240" s="19" t="str">
        <f t="shared" si="51"/>
        <v>19RESERVA DO PAIVA SPE 03 LTDA</v>
      </c>
      <c r="I240" s="19">
        <f t="shared" si="42"/>
        <v>19</v>
      </c>
      <c r="J240" s="13" t="s">
        <v>52</v>
      </c>
      <c r="K240" s="13" t="s">
        <v>343</v>
      </c>
      <c r="L240" s="13" t="s">
        <v>141</v>
      </c>
      <c r="M240" s="13" t="s">
        <v>85</v>
      </c>
      <c r="N240" s="20">
        <v>2057.1</v>
      </c>
      <c r="O240" s="20">
        <v>2354.94</v>
      </c>
      <c r="P240" s="21">
        <v>45757</v>
      </c>
      <c r="Q240" s="22"/>
      <c r="R240" s="23">
        <v>2354.94</v>
      </c>
      <c r="S240" s="24"/>
      <c r="T240" s="23"/>
      <c r="U240" s="24"/>
      <c r="V240" s="23"/>
      <c r="W240" s="23">
        <v>0.32</v>
      </c>
      <c r="X240" s="24">
        <v>9.89</v>
      </c>
      <c r="Y240" s="23"/>
      <c r="Z240" s="23"/>
      <c r="AA240" s="23"/>
      <c r="AB240" s="23">
        <v>530.95000000000005</v>
      </c>
      <c r="AC240" s="24">
        <v>2047.1285714285714</v>
      </c>
      <c r="AD240" s="23">
        <v>685.8</v>
      </c>
      <c r="AE240" s="24">
        <v>2698.2285714285717</v>
      </c>
      <c r="AF240" s="23"/>
      <c r="AG240" s="23"/>
      <c r="AH240" s="23"/>
      <c r="AI240" s="24"/>
      <c r="AJ240" s="25"/>
      <c r="AK240" s="23"/>
      <c r="AL240" s="23"/>
      <c r="AM240" s="24"/>
      <c r="AN240" s="23"/>
      <c r="AO240" s="24"/>
      <c r="AP240" s="23">
        <v>330.65</v>
      </c>
      <c r="AQ240" s="24">
        <v>1068.4000000000001</v>
      </c>
      <c r="AR240" s="23">
        <v>345.65000000000003</v>
      </c>
      <c r="AS240" s="23">
        <v>-1009.26</v>
      </c>
      <c r="AT240" s="23"/>
      <c r="AU240" s="24"/>
      <c r="AW240" s="27">
        <f t="shared" si="43"/>
        <v>2.4000000000000001E-4</v>
      </c>
      <c r="AX240" s="27">
        <f t="shared" si="44"/>
        <v>685.80023999999992</v>
      </c>
      <c r="AY240" s="27">
        <f t="shared" si="45"/>
        <v>530.95024000000001</v>
      </c>
      <c r="AZ240" s="27">
        <f t="shared" si="46"/>
        <v>330.65024</v>
      </c>
    </row>
    <row r="241" spans="1:52" ht="15" customHeight="1" x14ac:dyDescent="0.25">
      <c r="A241" s="13" t="str">
        <f>VLOOKUP(L241,[1]VALIDAÇÃO!$D$13:$E$350,2,0)</f>
        <v>DIRETO</v>
      </c>
      <c r="B241" s="14" t="str">
        <f t="shared" si="48"/>
        <v>76RIO AVE CARNEIROS 01 SPE LTDA.</v>
      </c>
      <c r="C241" s="15">
        <f t="shared" si="47"/>
        <v>76</v>
      </c>
      <c r="D241" s="16" t="str">
        <f t="shared" si="49"/>
        <v>48RIO AVE CARNEIROS 01 SPE LTDA.</v>
      </c>
      <c r="E241" s="17">
        <f t="shared" si="40"/>
        <v>48</v>
      </c>
      <c r="F241" s="18" t="str">
        <f t="shared" si="50"/>
        <v>23RIO AVE CARNEIROS 01 SPE LTDA.</v>
      </c>
      <c r="G241" s="18">
        <f t="shared" si="41"/>
        <v>23</v>
      </c>
      <c r="H241" s="19" t="str">
        <f t="shared" si="51"/>
        <v>54RIO AVE CARNEIROS 01 SPE LTDA.</v>
      </c>
      <c r="I241" s="19">
        <f t="shared" si="42"/>
        <v>54</v>
      </c>
      <c r="J241" s="13" t="s">
        <v>61</v>
      </c>
      <c r="K241" s="13" t="s">
        <v>344</v>
      </c>
      <c r="L241" s="13" t="s">
        <v>54</v>
      </c>
      <c r="M241" s="13" t="s">
        <v>55</v>
      </c>
      <c r="N241" s="20">
        <v>1273.56</v>
      </c>
      <c r="O241" s="20">
        <v>1622.13</v>
      </c>
      <c r="P241" s="21">
        <v>45890</v>
      </c>
      <c r="Q241" s="22"/>
      <c r="R241" s="23">
        <v>1622.13</v>
      </c>
      <c r="S241" s="24"/>
      <c r="T241" s="23"/>
      <c r="U241" s="24"/>
      <c r="V241" s="23"/>
      <c r="W241" s="23"/>
      <c r="X241" s="24"/>
      <c r="Y241" s="23"/>
      <c r="Z241" s="23"/>
      <c r="AA241" s="23">
        <v>5.0599999999999996</v>
      </c>
      <c r="AB241" s="23">
        <v>180.34</v>
      </c>
      <c r="AC241" s="24">
        <v>1530.7142857142858</v>
      </c>
      <c r="AD241" s="23">
        <v>201.57</v>
      </c>
      <c r="AE241" s="24">
        <v>1838.7857142857142</v>
      </c>
      <c r="AF241" s="23"/>
      <c r="AG241" s="23"/>
      <c r="AH241" s="23">
        <v>22.770000000000003</v>
      </c>
      <c r="AI241" s="24">
        <v>0</v>
      </c>
      <c r="AJ241" s="25">
        <v>332.36</v>
      </c>
      <c r="AK241" s="23">
        <v>72.760000000000005</v>
      </c>
      <c r="AL241" s="23"/>
      <c r="AM241" s="24"/>
      <c r="AN241" s="23"/>
      <c r="AO241" s="24"/>
      <c r="AP241" s="23">
        <v>27.82</v>
      </c>
      <c r="AQ241" s="24">
        <v>348.21428571428572</v>
      </c>
      <c r="AR241" s="23">
        <v>90.28</v>
      </c>
      <c r="AS241" s="23">
        <v>-695.2</v>
      </c>
      <c r="AT241" s="23"/>
      <c r="AU241" s="24"/>
      <c r="AW241" s="27">
        <f t="shared" si="43"/>
        <v>332.36024100000003</v>
      </c>
      <c r="AX241" s="27">
        <f t="shared" si="44"/>
        <v>201.57024099999998</v>
      </c>
      <c r="AY241" s="27">
        <f t="shared" si="45"/>
        <v>180.34024099999999</v>
      </c>
      <c r="AZ241" s="27">
        <f t="shared" si="46"/>
        <v>27.820240999999999</v>
      </c>
    </row>
    <row r="242" spans="1:52" ht="15" customHeight="1" x14ac:dyDescent="0.25">
      <c r="A242" s="13" t="str">
        <f>VLOOKUP(L242,[1]VALIDAÇÃO!$D$13:$E$350,2,0)</f>
        <v>DIRETO</v>
      </c>
      <c r="B242" s="14" t="str">
        <f t="shared" si="48"/>
        <v>3RIO AVE PRAIA HOTEL SPE LTDA.</v>
      </c>
      <c r="C242" s="15">
        <f t="shared" si="47"/>
        <v>3</v>
      </c>
      <c r="D242" s="16" t="str">
        <f t="shared" si="49"/>
        <v>13RIO AVE PRAIA HOTEL SPE LTDA.</v>
      </c>
      <c r="E242" s="17">
        <f t="shared" si="40"/>
        <v>13</v>
      </c>
      <c r="F242" s="18" t="str">
        <f t="shared" si="50"/>
        <v>6RIO AVE PRAIA HOTEL SPE LTDA.</v>
      </c>
      <c r="G242" s="18">
        <f t="shared" si="41"/>
        <v>6</v>
      </c>
      <c r="H242" s="19" t="str">
        <f t="shared" si="51"/>
        <v>10RIO AVE PRAIA HOTEL SPE LTDA.</v>
      </c>
      <c r="I242" s="19">
        <f t="shared" si="42"/>
        <v>10</v>
      </c>
      <c r="J242" s="13" t="s">
        <v>80</v>
      </c>
      <c r="K242" s="13" t="s">
        <v>345</v>
      </c>
      <c r="L242" s="13" t="s">
        <v>153</v>
      </c>
      <c r="M242" s="13" t="s">
        <v>82</v>
      </c>
      <c r="N242" s="20">
        <v>2309.36</v>
      </c>
      <c r="O242" s="20">
        <v>2079</v>
      </c>
      <c r="P242" s="21">
        <v>45617</v>
      </c>
      <c r="Q242" s="22"/>
      <c r="R242" s="23">
        <v>2079</v>
      </c>
      <c r="S242" s="24"/>
      <c r="T242" s="23"/>
      <c r="U242" s="24"/>
      <c r="V242" s="23"/>
      <c r="W242" s="23"/>
      <c r="X242" s="24"/>
      <c r="Y242" s="23"/>
      <c r="Z242" s="23"/>
      <c r="AA242" s="23">
        <v>19.87</v>
      </c>
      <c r="AB242" s="23">
        <v>431.71000000000004</v>
      </c>
      <c r="AC242" s="24">
        <v>1580.8185714285712</v>
      </c>
      <c r="AD242" s="23">
        <v>108.77</v>
      </c>
      <c r="AE242" s="24">
        <v>409.78857142857146</v>
      </c>
      <c r="AF242" s="23"/>
      <c r="AG242" s="23"/>
      <c r="AH242" s="23">
        <v>91.02</v>
      </c>
      <c r="AI242" s="24">
        <v>0</v>
      </c>
      <c r="AJ242" s="25">
        <v>1120.2199999999998</v>
      </c>
      <c r="AK242" s="23">
        <v>236.84</v>
      </c>
      <c r="AL242" s="23">
        <v>-34.480000000000004</v>
      </c>
      <c r="AM242" s="24">
        <v>197</v>
      </c>
      <c r="AN242" s="23"/>
      <c r="AO242" s="24"/>
      <c r="AP242" s="23">
        <v>484.49</v>
      </c>
      <c r="AQ242" s="24">
        <v>1454.6757142857143</v>
      </c>
      <c r="AR242" s="23">
        <v>225.27999999999997</v>
      </c>
      <c r="AS242" s="23">
        <v>-924</v>
      </c>
      <c r="AT242" s="23"/>
      <c r="AU242" s="24"/>
      <c r="AW242" s="27">
        <f t="shared" si="43"/>
        <v>1120.2202419999999</v>
      </c>
      <c r="AX242" s="27">
        <f t="shared" si="44"/>
        <v>108.770242</v>
      </c>
      <c r="AY242" s="27">
        <f t="shared" si="45"/>
        <v>431.71024200000005</v>
      </c>
      <c r="AZ242" s="27">
        <f t="shared" si="46"/>
        <v>484.49024200000002</v>
      </c>
    </row>
    <row r="243" spans="1:52" ht="15" customHeight="1" x14ac:dyDescent="0.25">
      <c r="A243" s="13" t="str">
        <f>VLOOKUP(L243,[1]VALIDAÇÃO!$D$13:$E$350,2,0)</f>
        <v>DIRETO</v>
      </c>
      <c r="B243" s="14" t="str">
        <f t="shared" si="48"/>
        <v>94RIO AVE CARNEIROS 01 SPE LTDA.</v>
      </c>
      <c r="C243" s="15">
        <f t="shared" si="47"/>
        <v>94</v>
      </c>
      <c r="D243" s="16" t="str">
        <f t="shared" si="49"/>
        <v>13RIO AVE CARNEIROS 01 SPE LTDA.</v>
      </c>
      <c r="E243" s="17">
        <f t="shared" si="40"/>
        <v>13</v>
      </c>
      <c r="F243" s="18" t="str">
        <f t="shared" si="50"/>
        <v>22RIO AVE CARNEIROS 01 SPE LTDA.</v>
      </c>
      <c r="G243" s="18">
        <f t="shared" si="41"/>
        <v>22</v>
      </c>
      <c r="H243" s="19" t="str">
        <f t="shared" si="51"/>
        <v>33RIO AVE CARNEIROS 01 SPE LTDA.</v>
      </c>
      <c r="I243" s="19">
        <f t="shared" si="42"/>
        <v>33</v>
      </c>
      <c r="J243" s="13" t="s">
        <v>61</v>
      </c>
      <c r="K243" s="13" t="s">
        <v>346</v>
      </c>
      <c r="L243" s="13" t="s">
        <v>54</v>
      </c>
      <c r="M243" s="13" t="s">
        <v>55</v>
      </c>
      <c r="N243" s="20">
        <v>1464.06</v>
      </c>
      <c r="O243" s="20">
        <v>1622.13</v>
      </c>
      <c r="P243" s="21">
        <v>45797</v>
      </c>
      <c r="Q243" s="22"/>
      <c r="R243" s="23">
        <v>1622.13</v>
      </c>
      <c r="S243" s="24"/>
      <c r="T243" s="23"/>
      <c r="U243" s="24"/>
      <c r="V243" s="23"/>
      <c r="W243" s="23"/>
      <c r="X243" s="24"/>
      <c r="Y243" s="23"/>
      <c r="Z243" s="23"/>
      <c r="AA243" s="23">
        <v>6.3</v>
      </c>
      <c r="AB243" s="23">
        <v>181.10999999999999</v>
      </c>
      <c r="AC243" s="24">
        <v>1108.0571428571429</v>
      </c>
      <c r="AD243" s="23">
        <v>524.63</v>
      </c>
      <c r="AE243" s="24">
        <v>3375.3428571428572</v>
      </c>
      <c r="AF243" s="23"/>
      <c r="AG243" s="23"/>
      <c r="AH243" s="23">
        <v>28.33</v>
      </c>
      <c r="AI243" s="24">
        <v>0</v>
      </c>
      <c r="AJ243" s="25">
        <v>254.89999999999998</v>
      </c>
      <c r="AK243" s="23">
        <v>56.440000000000005</v>
      </c>
      <c r="AL243" s="23">
        <v>-2.11</v>
      </c>
      <c r="AM243" s="24">
        <v>16</v>
      </c>
      <c r="AN243" s="23"/>
      <c r="AO243" s="24"/>
      <c r="AP243" s="23">
        <v>37.64</v>
      </c>
      <c r="AQ243" s="24">
        <v>298.77142857142854</v>
      </c>
      <c r="AR243" s="23">
        <v>164.03</v>
      </c>
      <c r="AS243" s="23">
        <v>-785.2</v>
      </c>
      <c r="AT243" s="23"/>
      <c r="AU243" s="24"/>
      <c r="AW243" s="27">
        <f t="shared" si="43"/>
        <v>254.90024299999999</v>
      </c>
      <c r="AX243" s="27">
        <f t="shared" si="44"/>
        <v>524.63024299999995</v>
      </c>
      <c r="AY243" s="27">
        <f t="shared" si="45"/>
        <v>181.110243</v>
      </c>
      <c r="AZ243" s="27">
        <f t="shared" si="46"/>
        <v>37.640242999999998</v>
      </c>
    </row>
    <row r="244" spans="1:52" ht="15" customHeight="1" x14ac:dyDescent="0.25">
      <c r="A244" s="13" t="str">
        <f>VLOOKUP(L244,[1]VALIDAÇÃO!$D$13:$E$350,2,0)</f>
        <v>DIRETO</v>
      </c>
      <c r="B244" s="14" t="str">
        <f t="shared" si="48"/>
        <v>144RIO AVE CARNEIROS 01 SPE LTDA.</v>
      </c>
      <c r="C244" s="15">
        <f t="shared" si="47"/>
        <v>144</v>
      </c>
      <c r="D244" s="16" t="str">
        <f t="shared" si="49"/>
        <v>122RIO AVE CARNEIROS 01 SPE LTDA.</v>
      </c>
      <c r="E244" s="17">
        <f t="shared" si="40"/>
        <v>122</v>
      </c>
      <c r="F244" s="18" t="str">
        <f t="shared" si="50"/>
        <v>146RIO AVE CARNEIROS 01 SPE LTDA.</v>
      </c>
      <c r="G244" s="18">
        <f t="shared" si="41"/>
        <v>146</v>
      </c>
      <c r="H244" s="19" t="str">
        <f t="shared" si="51"/>
        <v>133RIO AVE CARNEIROS 01 SPE LTDA.</v>
      </c>
      <c r="I244" s="19">
        <f t="shared" si="42"/>
        <v>133</v>
      </c>
      <c r="J244" s="13" t="s">
        <v>61</v>
      </c>
      <c r="K244" s="13" t="s">
        <v>347</v>
      </c>
      <c r="L244" s="13" t="s">
        <v>54</v>
      </c>
      <c r="M244" s="13" t="s">
        <v>55</v>
      </c>
      <c r="N244" s="20">
        <v>710.39</v>
      </c>
      <c r="O244" s="20">
        <v>1506.27</v>
      </c>
      <c r="P244" s="21">
        <v>45994</v>
      </c>
      <c r="Q244" s="22"/>
      <c r="R244" s="23">
        <v>1506.27</v>
      </c>
      <c r="S244" s="24"/>
      <c r="T244" s="23"/>
      <c r="U244" s="24"/>
      <c r="V244" s="23"/>
      <c r="W244" s="23"/>
      <c r="X244" s="24"/>
      <c r="Y244" s="23"/>
      <c r="Z244" s="23"/>
      <c r="AA244" s="23"/>
      <c r="AB244" s="23"/>
      <c r="AC244" s="24"/>
      <c r="AD244" s="23">
        <v>4.92</v>
      </c>
      <c r="AE244" s="24">
        <v>22</v>
      </c>
      <c r="AF244" s="23"/>
      <c r="AG244" s="23"/>
      <c r="AH244" s="23"/>
      <c r="AI244" s="24"/>
      <c r="AJ244" s="25"/>
      <c r="AK244" s="23"/>
      <c r="AL244" s="23"/>
      <c r="AM244" s="24"/>
      <c r="AN244" s="23"/>
      <c r="AO244" s="24"/>
      <c r="AP244" s="23"/>
      <c r="AQ244" s="24"/>
      <c r="AR244" s="23">
        <v>1.17</v>
      </c>
      <c r="AS244" s="23">
        <v>-785.2</v>
      </c>
      <c r="AT244" s="23"/>
      <c r="AU244" s="24"/>
      <c r="AW244" s="27">
        <f t="shared" si="43"/>
        <v>2.4399999999999999E-4</v>
      </c>
      <c r="AX244" s="27">
        <f t="shared" si="44"/>
        <v>4.9202440000000003</v>
      </c>
      <c r="AY244" s="27">
        <f t="shared" si="45"/>
        <v>2.4399999999999999E-4</v>
      </c>
      <c r="AZ244" s="27">
        <f t="shared" si="46"/>
        <v>2.4399999999999999E-4</v>
      </c>
    </row>
    <row r="245" spans="1:52" ht="15" customHeight="1" x14ac:dyDescent="0.25">
      <c r="A245" s="13" t="str">
        <f>VLOOKUP(L245,[1]VALIDAÇÃO!$D$13:$E$350,2,0)</f>
        <v>INDIRETO</v>
      </c>
      <c r="B245" s="14" t="str">
        <f t="shared" si="48"/>
        <v>72RIO AVE 200 SPE LTDA.</v>
      </c>
      <c r="C245" s="15">
        <f t="shared" si="47"/>
        <v>72</v>
      </c>
      <c r="D245" s="16" t="str">
        <f t="shared" si="49"/>
        <v>74RIO AVE 200 SPE LTDA.</v>
      </c>
      <c r="E245" s="17">
        <f t="shared" si="40"/>
        <v>74</v>
      </c>
      <c r="F245" s="18" t="str">
        <f t="shared" si="50"/>
        <v>71RIO AVE 200 SPE LTDA.</v>
      </c>
      <c r="G245" s="18">
        <f t="shared" si="41"/>
        <v>71</v>
      </c>
      <c r="H245" s="19" t="str">
        <f t="shared" si="51"/>
        <v>61RIO AVE 200 SPE LTDA.</v>
      </c>
      <c r="I245" s="19">
        <f t="shared" si="42"/>
        <v>61</v>
      </c>
      <c r="J245" s="13" t="s">
        <v>48</v>
      </c>
      <c r="K245" s="13" t="s">
        <v>348</v>
      </c>
      <c r="L245" s="13" t="s">
        <v>349</v>
      </c>
      <c r="M245" s="13" t="s">
        <v>55</v>
      </c>
      <c r="N245" s="20">
        <v>1029.97</v>
      </c>
      <c r="O245" s="20"/>
      <c r="P245" s="21">
        <v>45839</v>
      </c>
      <c r="Q245" s="22"/>
      <c r="R245" s="23"/>
      <c r="S245" s="24"/>
      <c r="T245" s="23"/>
      <c r="U245" s="24"/>
      <c r="V245" s="23"/>
      <c r="W245" s="23"/>
      <c r="X245" s="24"/>
      <c r="Y245" s="23"/>
      <c r="Z245" s="23"/>
      <c r="AA245" s="23"/>
      <c r="AB245" s="23"/>
      <c r="AC245" s="24"/>
      <c r="AD245" s="23"/>
      <c r="AE245" s="24"/>
      <c r="AF245" s="23"/>
      <c r="AG245" s="23"/>
      <c r="AH245" s="23"/>
      <c r="AI245" s="24"/>
      <c r="AJ245" s="25"/>
      <c r="AK245" s="23"/>
      <c r="AL245" s="23"/>
      <c r="AM245" s="24"/>
      <c r="AN245" s="23"/>
      <c r="AO245" s="24"/>
      <c r="AP245" s="23"/>
      <c r="AQ245" s="24"/>
      <c r="AR245" s="23"/>
      <c r="AS245" s="23">
        <v>-452</v>
      </c>
      <c r="AT245" s="23"/>
      <c r="AU245" s="24"/>
      <c r="AW245" s="27">
        <f t="shared" si="43"/>
        <v>2.4499999999999999E-4</v>
      </c>
      <c r="AX245" s="27">
        <f t="shared" si="44"/>
        <v>2.4499999999999999E-4</v>
      </c>
      <c r="AY245" s="27">
        <f t="shared" si="45"/>
        <v>2.4499999999999999E-4</v>
      </c>
      <c r="AZ245" s="27">
        <f t="shared" si="46"/>
        <v>2.4499999999999999E-4</v>
      </c>
    </row>
    <row r="246" spans="1:52" ht="15" customHeight="1" x14ac:dyDescent="0.25">
      <c r="A246" s="13" t="str">
        <f>VLOOKUP(L246,[1]VALIDAÇÃO!$D$13:$E$350,2,0)</f>
        <v>INDIRETO</v>
      </c>
      <c r="B246" s="14" t="str">
        <f t="shared" si="48"/>
        <v>154RESERVA DO PAIVA SPE 03 LTDA</v>
      </c>
      <c r="C246" s="15">
        <f t="shared" si="47"/>
        <v>154</v>
      </c>
      <c r="D246" s="16" t="str">
        <f t="shared" si="49"/>
        <v>161RESERVA DO PAIVA SPE 03 LTDA</v>
      </c>
      <c r="E246" s="17">
        <f t="shared" si="40"/>
        <v>161</v>
      </c>
      <c r="F246" s="18" t="str">
        <f t="shared" si="50"/>
        <v>154RESERVA DO PAIVA SPE 03 LTDA</v>
      </c>
      <c r="G246" s="18">
        <f t="shared" si="41"/>
        <v>154</v>
      </c>
      <c r="H246" s="19" t="str">
        <f t="shared" si="51"/>
        <v>137RESERVA DO PAIVA SPE 03 LTDA</v>
      </c>
      <c r="I246" s="19">
        <f t="shared" si="42"/>
        <v>137</v>
      </c>
      <c r="J246" s="13" t="s">
        <v>52</v>
      </c>
      <c r="K246" s="13" t="s">
        <v>350</v>
      </c>
      <c r="L246" s="13" t="s">
        <v>89</v>
      </c>
      <c r="M246" s="13" t="s">
        <v>85</v>
      </c>
      <c r="N246" s="20">
        <v>1325.63</v>
      </c>
      <c r="O246" s="20"/>
      <c r="P246" s="21">
        <v>45748</v>
      </c>
      <c r="Q246" s="22"/>
      <c r="R246" s="23"/>
      <c r="S246" s="24"/>
      <c r="T246" s="23"/>
      <c r="U246" s="24"/>
      <c r="V246" s="23"/>
      <c r="W246" s="23"/>
      <c r="X246" s="24"/>
      <c r="Y246" s="23"/>
      <c r="Z246" s="23"/>
      <c r="AA246" s="23"/>
      <c r="AB246" s="23"/>
      <c r="AC246" s="24"/>
      <c r="AD246" s="23"/>
      <c r="AE246" s="24"/>
      <c r="AF246" s="23"/>
      <c r="AG246" s="23"/>
      <c r="AH246" s="23"/>
      <c r="AI246" s="24"/>
      <c r="AJ246" s="25"/>
      <c r="AK246" s="23"/>
      <c r="AL246" s="23"/>
      <c r="AM246" s="24"/>
      <c r="AN246" s="23"/>
      <c r="AO246" s="24"/>
      <c r="AP246" s="23"/>
      <c r="AQ246" s="24"/>
      <c r="AR246" s="23"/>
      <c r="AS246" s="23">
        <v>-520</v>
      </c>
      <c r="AT246" s="23"/>
      <c r="AU246" s="24"/>
      <c r="AW246" s="27">
        <f t="shared" si="43"/>
        <v>2.4600000000000002E-4</v>
      </c>
      <c r="AX246" s="27">
        <f t="shared" si="44"/>
        <v>2.4600000000000002E-4</v>
      </c>
      <c r="AY246" s="27">
        <f t="shared" si="45"/>
        <v>2.4600000000000002E-4</v>
      </c>
      <c r="AZ246" s="27">
        <f t="shared" si="46"/>
        <v>2.4600000000000002E-4</v>
      </c>
    </row>
    <row r="247" spans="1:52" ht="15" customHeight="1" x14ac:dyDescent="0.25">
      <c r="A247" s="13" t="str">
        <f>VLOOKUP(L247,[1]VALIDAÇÃO!$D$13:$E$350,2,0)</f>
        <v>DIRETO</v>
      </c>
      <c r="B247" s="14" t="str">
        <f t="shared" si="48"/>
        <v>78CONDOMINIO DO EDIFICIO EMPRESARIAL MARIE CURIE</v>
      </c>
      <c r="C247" s="15">
        <f t="shared" si="47"/>
        <v>78</v>
      </c>
      <c r="D247" s="16" t="str">
        <f t="shared" si="49"/>
        <v>48CONDOMINIO DO EDIFICIO EMPRESARIAL MARIE CURIE</v>
      </c>
      <c r="E247" s="17">
        <f t="shared" si="40"/>
        <v>48</v>
      </c>
      <c r="F247" s="18" t="str">
        <f t="shared" si="50"/>
        <v>78CONDOMINIO DO EDIFICIO EMPRESARIAL MARIE CURIE</v>
      </c>
      <c r="G247" s="18">
        <f t="shared" si="41"/>
        <v>78</v>
      </c>
      <c r="H247" s="19" t="str">
        <f t="shared" si="51"/>
        <v>99CONDOMINIO DO EDIFICIO EMPRESARIAL MARIE CURIE</v>
      </c>
      <c r="I247" s="19">
        <f t="shared" si="42"/>
        <v>99</v>
      </c>
      <c r="J247" s="13" t="s">
        <v>57</v>
      </c>
      <c r="K247" s="13" t="s">
        <v>351</v>
      </c>
      <c r="L247" s="13" t="s">
        <v>54</v>
      </c>
      <c r="M247" s="13" t="s">
        <v>60</v>
      </c>
      <c r="N247" s="20">
        <v>967.78</v>
      </c>
      <c r="O247" s="20">
        <v>1622.13</v>
      </c>
      <c r="P247" s="21">
        <v>45446</v>
      </c>
      <c r="Q247" s="22"/>
      <c r="R247" s="23">
        <v>1622.13</v>
      </c>
      <c r="S247" s="24"/>
      <c r="T247" s="23"/>
      <c r="U247" s="24"/>
      <c r="V247" s="23"/>
      <c r="W247" s="23"/>
      <c r="X247" s="24"/>
      <c r="Y247" s="23"/>
      <c r="Z247" s="23"/>
      <c r="AA247" s="23">
        <v>1.0499999999999998</v>
      </c>
      <c r="AB247" s="23">
        <v>17.13</v>
      </c>
      <c r="AC247" s="24">
        <v>119.02714285714286</v>
      </c>
      <c r="AD247" s="23">
        <v>179.35000000000002</v>
      </c>
      <c r="AE247" s="24">
        <v>960.38714285714286</v>
      </c>
      <c r="AF247" s="23"/>
      <c r="AG247" s="23"/>
      <c r="AH247" s="23">
        <v>5.1499999999999995</v>
      </c>
      <c r="AI247" s="24">
        <v>0</v>
      </c>
      <c r="AJ247" s="25">
        <v>263.49</v>
      </c>
      <c r="AK247" s="23">
        <v>55.96</v>
      </c>
      <c r="AL247" s="23"/>
      <c r="AM247" s="24"/>
      <c r="AN247" s="23"/>
      <c r="AO247" s="24"/>
      <c r="AP247" s="23"/>
      <c r="AQ247" s="24"/>
      <c r="AR247" s="23">
        <v>38.879999999999995</v>
      </c>
      <c r="AS247" s="23">
        <v>-738.4</v>
      </c>
      <c r="AT247" s="23"/>
      <c r="AU247" s="24"/>
      <c r="AW247" s="27">
        <f t="shared" si="43"/>
        <v>263.49024700000001</v>
      </c>
      <c r="AX247" s="27">
        <f t="shared" si="44"/>
        <v>179.35024700000002</v>
      </c>
      <c r="AY247" s="27">
        <f t="shared" si="45"/>
        <v>17.130247000000001</v>
      </c>
      <c r="AZ247" s="27">
        <f t="shared" si="46"/>
        <v>2.4699999999999999E-4</v>
      </c>
    </row>
    <row r="248" spans="1:52" ht="15" customHeight="1" x14ac:dyDescent="0.25">
      <c r="A248" s="13" t="str">
        <f>VLOOKUP(L248,[1]VALIDAÇÃO!$D$13:$E$350,2,0)</f>
        <v>DIRETO</v>
      </c>
      <c r="B248" s="14" t="str">
        <f t="shared" si="48"/>
        <v>71RESERVA DO PAIVA SPE 03 LTDA</v>
      </c>
      <c r="C248" s="15">
        <f t="shared" si="47"/>
        <v>71</v>
      </c>
      <c r="D248" s="16" t="str">
        <f t="shared" si="49"/>
        <v>34RESERVA DO PAIVA SPE 03 LTDA</v>
      </c>
      <c r="E248" s="17">
        <f t="shared" si="40"/>
        <v>34</v>
      </c>
      <c r="F248" s="18" t="str">
        <f t="shared" si="50"/>
        <v>42RESERVA DO PAIVA SPE 03 LTDA</v>
      </c>
      <c r="G248" s="18">
        <f t="shared" si="41"/>
        <v>42</v>
      </c>
      <c r="H248" s="19" t="str">
        <f t="shared" si="51"/>
        <v>15RESERVA DO PAIVA SPE 03 LTDA</v>
      </c>
      <c r="I248" s="19">
        <f t="shared" si="42"/>
        <v>15</v>
      </c>
      <c r="J248" s="13" t="s">
        <v>52</v>
      </c>
      <c r="K248" s="13" t="s">
        <v>352</v>
      </c>
      <c r="L248" s="13" t="s">
        <v>54</v>
      </c>
      <c r="M248" s="13" t="s">
        <v>55</v>
      </c>
      <c r="N248" s="20">
        <v>2024.25</v>
      </c>
      <c r="O248" s="20">
        <v>1622.13</v>
      </c>
      <c r="P248" s="21">
        <v>45971</v>
      </c>
      <c r="Q248" s="22"/>
      <c r="R248" s="23">
        <v>1622.13</v>
      </c>
      <c r="S248" s="24"/>
      <c r="T248" s="23"/>
      <c r="U248" s="24"/>
      <c r="V248" s="23"/>
      <c r="W248" s="23"/>
      <c r="X248" s="24"/>
      <c r="Y248" s="23"/>
      <c r="Z248" s="23"/>
      <c r="AA248" s="23">
        <v>8.2199999999999989</v>
      </c>
      <c r="AB248" s="23">
        <v>222.49</v>
      </c>
      <c r="AC248" s="24">
        <v>994</v>
      </c>
      <c r="AD248" s="23">
        <v>416.09999999999997</v>
      </c>
      <c r="AE248" s="24">
        <v>2679</v>
      </c>
      <c r="AF248" s="23"/>
      <c r="AG248" s="23"/>
      <c r="AH248" s="23">
        <v>37.160000000000004</v>
      </c>
      <c r="AI248" s="24">
        <v>0</v>
      </c>
      <c r="AJ248" s="25">
        <v>188.29</v>
      </c>
      <c r="AK248" s="23">
        <v>43.220000000000006</v>
      </c>
      <c r="AL248" s="23"/>
      <c r="AM248" s="24"/>
      <c r="AN248" s="23"/>
      <c r="AO248" s="24"/>
      <c r="AP248" s="23">
        <v>408.21999999999997</v>
      </c>
      <c r="AQ248" s="24">
        <v>2266.1999999999998</v>
      </c>
      <c r="AR248" s="23">
        <v>234.64999999999998</v>
      </c>
      <c r="AS248" s="23">
        <v>-695.2</v>
      </c>
      <c r="AT248" s="23"/>
      <c r="AU248" s="24"/>
      <c r="AW248" s="27">
        <f t="shared" si="43"/>
        <v>188.29024799999999</v>
      </c>
      <c r="AX248" s="27">
        <f t="shared" si="44"/>
        <v>416.10024799999997</v>
      </c>
      <c r="AY248" s="27">
        <f t="shared" si="45"/>
        <v>222.49024800000001</v>
      </c>
      <c r="AZ248" s="27">
        <f t="shared" si="46"/>
        <v>408.22024799999997</v>
      </c>
    </row>
    <row r="249" spans="1:52" ht="15" customHeight="1" x14ac:dyDescent="0.25">
      <c r="A249" s="13" t="str">
        <f>VLOOKUP(L249,[1]VALIDAÇÃO!$D$13:$E$350,2,0)</f>
        <v>DIRETO</v>
      </c>
      <c r="B249" s="14" t="str">
        <f t="shared" si="48"/>
        <v>19RIO AVE CARNEIROS 01 SPE LTDA.</v>
      </c>
      <c r="C249" s="15">
        <f t="shared" si="47"/>
        <v>19</v>
      </c>
      <c r="D249" s="16" t="str">
        <f t="shared" si="49"/>
        <v>25RIO AVE CARNEIROS 01 SPE LTDA.</v>
      </c>
      <c r="E249" s="17">
        <f t="shared" si="40"/>
        <v>25</v>
      </c>
      <c r="F249" s="18" t="str">
        <f t="shared" si="50"/>
        <v>76RIO AVE CARNEIROS 01 SPE LTDA.</v>
      </c>
      <c r="G249" s="18">
        <f t="shared" si="41"/>
        <v>76</v>
      </c>
      <c r="H249" s="19" t="str">
        <f t="shared" si="51"/>
        <v>42RIO AVE CARNEIROS 01 SPE LTDA.</v>
      </c>
      <c r="I249" s="19">
        <f t="shared" si="42"/>
        <v>42</v>
      </c>
      <c r="J249" s="13" t="s">
        <v>61</v>
      </c>
      <c r="K249" s="13" t="s">
        <v>353</v>
      </c>
      <c r="L249" s="13" t="s">
        <v>54</v>
      </c>
      <c r="M249" s="13" t="s">
        <v>55</v>
      </c>
      <c r="N249" s="20">
        <v>1408.06</v>
      </c>
      <c r="O249" s="20">
        <v>1622.13</v>
      </c>
      <c r="P249" s="21">
        <v>45617</v>
      </c>
      <c r="Q249" s="22"/>
      <c r="R249" s="23">
        <v>1622.13</v>
      </c>
      <c r="S249" s="24"/>
      <c r="T249" s="23"/>
      <c r="U249" s="24"/>
      <c r="V249" s="23"/>
      <c r="W249" s="23"/>
      <c r="X249" s="24"/>
      <c r="Y249" s="23"/>
      <c r="Z249" s="23"/>
      <c r="AA249" s="23">
        <v>8.52</v>
      </c>
      <c r="AB249" s="23">
        <v>74.81</v>
      </c>
      <c r="AC249" s="24">
        <v>409.8485714285714</v>
      </c>
      <c r="AD249" s="23">
        <v>333.54</v>
      </c>
      <c r="AE249" s="24">
        <v>1630.42</v>
      </c>
      <c r="AF249" s="23"/>
      <c r="AG249" s="23"/>
      <c r="AH249" s="23">
        <v>37.380000000000003</v>
      </c>
      <c r="AI249" s="24">
        <v>0</v>
      </c>
      <c r="AJ249" s="25">
        <v>684</v>
      </c>
      <c r="AK249" s="23">
        <v>150.43</v>
      </c>
      <c r="AL249" s="23"/>
      <c r="AM249" s="24"/>
      <c r="AN249" s="23"/>
      <c r="AO249" s="24"/>
      <c r="AP249" s="23">
        <v>34.409999999999997</v>
      </c>
      <c r="AQ249" s="24">
        <v>157.50142857142856</v>
      </c>
      <c r="AR249" s="23">
        <v>99.97</v>
      </c>
      <c r="AS249" s="23">
        <v>-695.2</v>
      </c>
      <c r="AT249" s="23"/>
      <c r="AU249" s="24"/>
      <c r="AW249" s="27">
        <f t="shared" si="43"/>
        <v>684.00024900000005</v>
      </c>
      <c r="AX249" s="27">
        <f t="shared" si="44"/>
        <v>333.54024900000002</v>
      </c>
      <c r="AY249" s="27">
        <f t="shared" si="45"/>
        <v>74.810248999999999</v>
      </c>
      <c r="AZ249" s="27">
        <f t="shared" si="46"/>
        <v>34.410248999999993</v>
      </c>
    </row>
    <row r="250" spans="1:52" ht="15" customHeight="1" x14ac:dyDescent="0.25">
      <c r="A250" s="13" t="str">
        <f>VLOOKUP(L250,[1]VALIDAÇÃO!$D$13:$E$350,2,0)</f>
        <v>INDIRETO</v>
      </c>
      <c r="B250" s="14" t="str">
        <f t="shared" si="48"/>
        <v>153RESERVA DO PAIVA SPE 03 LTDA</v>
      </c>
      <c r="C250" s="15">
        <f t="shared" si="47"/>
        <v>153</v>
      </c>
      <c r="D250" s="16" t="str">
        <f t="shared" si="49"/>
        <v>91RESERVA DO PAIVA SPE 03 LTDA</v>
      </c>
      <c r="E250" s="17">
        <f t="shared" si="40"/>
        <v>91</v>
      </c>
      <c r="F250" s="18" t="str">
        <f t="shared" si="50"/>
        <v>120RESERVA DO PAIVA SPE 03 LTDA</v>
      </c>
      <c r="G250" s="18">
        <f t="shared" si="41"/>
        <v>120</v>
      </c>
      <c r="H250" s="19" t="str">
        <f t="shared" si="51"/>
        <v>72RESERVA DO PAIVA SPE 03 LTDA</v>
      </c>
      <c r="I250" s="19">
        <f t="shared" si="42"/>
        <v>72</v>
      </c>
      <c r="J250" s="13" t="s">
        <v>52</v>
      </c>
      <c r="K250" s="13" t="s">
        <v>354</v>
      </c>
      <c r="L250" s="13" t="s">
        <v>108</v>
      </c>
      <c r="M250" s="13" t="s">
        <v>85</v>
      </c>
      <c r="N250" s="20">
        <v>1047.4000000000001</v>
      </c>
      <c r="O250" s="20">
        <v>2156</v>
      </c>
      <c r="P250" s="21">
        <v>45740</v>
      </c>
      <c r="Q250" s="22"/>
      <c r="R250" s="23">
        <v>2156</v>
      </c>
      <c r="S250" s="24"/>
      <c r="T250" s="23"/>
      <c r="U250" s="24"/>
      <c r="V250" s="23"/>
      <c r="W250" s="23"/>
      <c r="X250" s="24"/>
      <c r="Y250" s="23"/>
      <c r="Z250" s="23"/>
      <c r="AA250" s="23"/>
      <c r="AB250" s="23">
        <v>10.96</v>
      </c>
      <c r="AC250" s="24">
        <v>61.899999999999991</v>
      </c>
      <c r="AD250" s="23">
        <v>151.53</v>
      </c>
      <c r="AE250" s="24">
        <v>671.62857142857138</v>
      </c>
      <c r="AF250" s="23"/>
      <c r="AG250" s="23"/>
      <c r="AH250" s="23"/>
      <c r="AI250" s="24"/>
      <c r="AJ250" s="25"/>
      <c r="AK250" s="23"/>
      <c r="AL250" s="23"/>
      <c r="AM250" s="24"/>
      <c r="AN250" s="23"/>
      <c r="AO250" s="24"/>
      <c r="AP250" s="23">
        <v>17.850000000000001</v>
      </c>
      <c r="AQ250" s="24">
        <v>85.714285714285708</v>
      </c>
      <c r="AR250" s="23">
        <v>39.21</v>
      </c>
      <c r="AS250" s="23">
        <v>-924</v>
      </c>
      <c r="AT250" s="23"/>
      <c r="AU250" s="24"/>
      <c r="AW250" s="27">
        <f t="shared" si="43"/>
        <v>2.5000000000000001E-4</v>
      </c>
      <c r="AX250" s="27">
        <f t="shared" si="44"/>
        <v>151.53025</v>
      </c>
      <c r="AY250" s="27">
        <f t="shared" si="45"/>
        <v>10.96025</v>
      </c>
      <c r="AZ250" s="27">
        <f t="shared" si="46"/>
        <v>17.850250000000003</v>
      </c>
    </row>
    <row r="251" spans="1:52" ht="15" customHeight="1" x14ac:dyDescent="0.25">
      <c r="A251" s="13" t="str">
        <f>VLOOKUP(L251,[1]VALIDAÇÃO!$D$13:$E$350,2,0)</f>
        <v>INDIRETO</v>
      </c>
      <c r="B251" s="14" t="str">
        <f t="shared" si="48"/>
        <v>143RIO AVE CARNEIROS 01 SPE LTDA.</v>
      </c>
      <c r="C251" s="15">
        <f t="shared" si="47"/>
        <v>143</v>
      </c>
      <c r="D251" s="16" t="str">
        <f t="shared" si="49"/>
        <v>26RIO AVE CARNEIROS 01 SPE LTDA.</v>
      </c>
      <c r="E251" s="17">
        <f t="shared" si="40"/>
        <v>26</v>
      </c>
      <c r="F251" s="18" t="str">
        <f t="shared" si="50"/>
        <v>108RIO AVE CARNEIROS 01 SPE LTDA.</v>
      </c>
      <c r="G251" s="18">
        <f t="shared" si="41"/>
        <v>108</v>
      </c>
      <c r="H251" s="19" t="str">
        <f t="shared" si="51"/>
        <v>132RIO AVE CARNEIROS 01 SPE LTDA.</v>
      </c>
      <c r="I251" s="19">
        <f t="shared" si="42"/>
        <v>132</v>
      </c>
      <c r="J251" s="13" t="s">
        <v>61</v>
      </c>
      <c r="K251" s="13" t="s">
        <v>355</v>
      </c>
      <c r="L251" s="13" t="s">
        <v>229</v>
      </c>
      <c r="M251" s="13" t="s">
        <v>85</v>
      </c>
      <c r="N251" s="20">
        <v>1618.32</v>
      </c>
      <c r="O251" s="20">
        <v>3229.47</v>
      </c>
      <c r="P251" s="21">
        <v>45783</v>
      </c>
      <c r="Q251" s="22"/>
      <c r="R251" s="23">
        <v>3229.47</v>
      </c>
      <c r="S251" s="24"/>
      <c r="T251" s="23"/>
      <c r="U251" s="24"/>
      <c r="V251" s="23"/>
      <c r="W251" s="23"/>
      <c r="X251" s="24"/>
      <c r="Y251" s="23"/>
      <c r="Z251" s="23"/>
      <c r="AA251" s="23"/>
      <c r="AB251" s="23">
        <v>26.360000000000003</v>
      </c>
      <c r="AC251" s="24">
        <v>110.19999999999999</v>
      </c>
      <c r="AD251" s="23">
        <v>326.32</v>
      </c>
      <c r="AE251" s="24">
        <v>1001</v>
      </c>
      <c r="AF251" s="23"/>
      <c r="AG251" s="23"/>
      <c r="AH251" s="23"/>
      <c r="AI251" s="24"/>
      <c r="AJ251" s="25"/>
      <c r="AK251" s="23"/>
      <c r="AL251" s="23"/>
      <c r="AM251" s="24"/>
      <c r="AN251" s="23"/>
      <c r="AO251" s="24"/>
      <c r="AP251" s="23"/>
      <c r="AQ251" s="24"/>
      <c r="AR251" s="23">
        <v>74.62</v>
      </c>
      <c r="AS251" s="23">
        <v>-1384.06</v>
      </c>
      <c r="AT251" s="23"/>
      <c r="AU251" s="24"/>
      <c r="AW251" s="27">
        <f t="shared" si="43"/>
        <v>2.5099999999999998E-4</v>
      </c>
      <c r="AX251" s="27">
        <f t="shared" si="44"/>
        <v>326.32025099999998</v>
      </c>
      <c r="AY251" s="27">
        <f t="shared" si="45"/>
        <v>26.360251000000002</v>
      </c>
      <c r="AZ251" s="27">
        <f t="shared" si="46"/>
        <v>2.5099999999999998E-4</v>
      </c>
    </row>
    <row r="252" spans="1:52" ht="15" customHeight="1" x14ac:dyDescent="0.25">
      <c r="A252" s="13" t="str">
        <f>VLOOKUP(L252,[1]VALIDAÇÃO!$D$13:$E$350,2,0)</f>
        <v>DIRETO</v>
      </c>
      <c r="B252" s="14" t="str">
        <f t="shared" si="48"/>
        <v>56RESERVA DO PAIVA SPE 01 LTDA.</v>
      </c>
      <c r="C252" s="15">
        <f t="shared" si="47"/>
        <v>56</v>
      </c>
      <c r="D252" s="16" t="str">
        <f t="shared" si="49"/>
        <v>15RESERVA DO PAIVA SPE 01 LTDA.</v>
      </c>
      <c r="E252" s="17">
        <f t="shared" si="40"/>
        <v>15</v>
      </c>
      <c r="F252" s="18" t="str">
        <f t="shared" si="50"/>
        <v>56RESERVA DO PAIVA SPE 01 LTDA.</v>
      </c>
      <c r="G252" s="18">
        <f t="shared" si="41"/>
        <v>56</v>
      </c>
      <c r="H252" s="19" t="str">
        <f t="shared" si="51"/>
        <v>63RESERVA DO PAIVA SPE 01 LTDA.</v>
      </c>
      <c r="I252" s="19">
        <f t="shared" si="42"/>
        <v>63</v>
      </c>
      <c r="J252" s="13" t="s">
        <v>68</v>
      </c>
      <c r="K252" s="13" t="s">
        <v>356</v>
      </c>
      <c r="L252" s="13" t="s">
        <v>149</v>
      </c>
      <c r="M252" s="13" t="s">
        <v>55</v>
      </c>
      <c r="N252" s="20">
        <v>1858.19</v>
      </c>
      <c r="O252" s="20">
        <v>1622.13</v>
      </c>
      <c r="P252" s="21">
        <v>45523</v>
      </c>
      <c r="Q252" s="22"/>
      <c r="R252" s="23">
        <v>1622.13</v>
      </c>
      <c r="S252" s="24"/>
      <c r="T252" s="23"/>
      <c r="U252" s="24"/>
      <c r="V252" s="23"/>
      <c r="W252" s="23">
        <v>7.4</v>
      </c>
      <c r="X252" s="24">
        <v>281.14</v>
      </c>
      <c r="Y252" s="23"/>
      <c r="Z252" s="23"/>
      <c r="AA252" s="23">
        <v>13.040000000000001</v>
      </c>
      <c r="AB252" s="23">
        <v>164.45</v>
      </c>
      <c r="AC252" s="24">
        <v>948.57714285714292</v>
      </c>
      <c r="AD252" s="23">
        <v>752.24</v>
      </c>
      <c r="AE252" s="24">
        <v>3705.8714285714286</v>
      </c>
      <c r="AF252" s="23"/>
      <c r="AG252" s="23"/>
      <c r="AH252" s="23">
        <v>59.54</v>
      </c>
      <c r="AI252" s="24">
        <v>0</v>
      </c>
      <c r="AJ252" s="25">
        <v>483.44</v>
      </c>
      <c r="AK252" s="23">
        <v>105.37</v>
      </c>
      <c r="AL252" s="23">
        <v>-1.86</v>
      </c>
      <c r="AM252" s="24">
        <v>14.14</v>
      </c>
      <c r="AN252" s="23"/>
      <c r="AO252" s="24"/>
      <c r="AP252" s="23">
        <v>174.92000000000002</v>
      </c>
      <c r="AQ252" s="24">
        <v>690.75142857142851</v>
      </c>
      <c r="AR252" s="23">
        <v>237.57</v>
      </c>
      <c r="AS252" s="23">
        <v>-791.6</v>
      </c>
      <c r="AT252" s="23"/>
      <c r="AU252" s="24"/>
      <c r="AW252" s="27">
        <f t="shared" si="43"/>
        <v>483.44025199999999</v>
      </c>
      <c r="AX252" s="27">
        <f t="shared" si="44"/>
        <v>752.24025200000005</v>
      </c>
      <c r="AY252" s="27">
        <f t="shared" si="45"/>
        <v>164.45025199999998</v>
      </c>
      <c r="AZ252" s="27">
        <f t="shared" si="46"/>
        <v>174.920252</v>
      </c>
    </row>
    <row r="253" spans="1:52" ht="15" customHeight="1" x14ac:dyDescent="0.25">
      <c r="A253" s="13" t="str">
        <f>VLOOKUP(L253,[1]VALIDAÇÃO!$D$13:$E$350,2,0)</f>
        <v>DIRETO</v>
      </c>
      <c r="B253" s="14" t="str">
        <f t="shared" si="48"/>
        <v>89CONDOMINIO DO EDIFICIO EMPRESARIAL MARIE CURIE</v>
      </c>
      <c r="C253" s="15">
        <f t="shared" si="47"/>
        <v>89</v>
      </c>
      <c r="D253" s="16" t="str">
        <f t="shared" si="49"/>
        <v>44CONDOMINIO DO EDIFICIO EMPRESARIAL MARIE CURIE</v>
      </c>
      <c r="E253" s="17">
        <f t="shared" si="40"/>
        <v>44</v>
      </c>
      <c r="F253" s="18" t="str">
        <f t="shared" si="50"/>
        <v>49CONDOMINIO DO EDIFICIO EMPRESARIAL MARIE CURIE</v>
      </c>
      <c r="G253" s="18">
        <f t="shared" si="41"/>
        <v>49</v>
      </c>
      <c r="H253" s="19" t="str">
        <f t="shared" si="51"/>
        <v>98CONDOMINIO DO EDIFICIO EMPRESARIAL MARIE CURIE</v>
      </c>
      <c r="I253" s="19">
        <f t="shared" si="42"/>
        <v>98</v>
      </c>
      <c r="J253" s="13" t="s">
        <v>57</v>
      </c>
      <c r="K253" s="13" t="s">
        <v>357</v>
      </c>
      <c r="L253" s="13" t="s">
        <v>54</v>
      </c>
      <c r="M253" s="13" t="s">
        <v>60</v>
      </c>
      <c r="N253" s="20">
        <v>806.14</v>
      </c>
      <c r="O253" s="20">
        <v>1622.13</v>
      </c>
      <c r="P253" s="21">
        <v>45708</v>
      </c>
      <c r="Q253" s="22"/>
      <c r="R253" s="23">
        <v>1622.13</v>
      </c>
      <c r="S253" s="24"/>
      <c r="T253" s="23"/>
      <c r="U253" s="24"/>
      <c r="V253" s="23"/>
      <c r="W253" s="23">
        <v>0.11</v>
      </c>
      <c r="X253" s="24">
        <v>4.34</v>
      </c>
      <c r="Y253" s="23"/>
      <c r="Z253" s="23"/>
      <c r="AA253" s="23">
        <v>1.48</v>
      </c>
      <c r="AB253" s="23">
        <v>71.039999999999992</v>
      </c>
      <c r="AC253" s="24">
        <v>335.47571428571433</v>
      </c>
      <c r="AD253" s="23">
        <v>190.04</v>
      </c>
      <c r="AE253" s="24">
        <v>1277.6614285714286</v>
      </c>
      <c r="AF253" s="23"/>
      <c r="AG253" s="23"/>
      <c r="AH253" s="23">
        <v>7.0600000000000005</v>
      </c>
      <c r="AI253" s="24">
        <v>0</v>
      </c>
      <c r="AJ253" s="25">
        <v>199.69</v>
      </c>
      <c r="AK253" s="23">
        <v>43.139999999999993</v>
      </c>
      <c r="AL253" s="23">
        <v>-8.19</v>
      </c>
      <c r="AM253" s="24">
        <v>62.19</v>
      </c>
      <c r="AN253" s="23"/>
      <c r="AO253" s="24"/>
      <c r="AP253" s="23"/>
      <c r="AQ253" s="24"/>
      <c r="AR253" s="23">
        <v>54.51</v>
      </c>
      <c r="AS253" s="23">
        <v>-695.2</v>
      </c>
      <c r="AT253" s="23"/>
      <c r="AU253" s="24"/>
      <c r="AW253" s="27">
        <f t="shared" si="43"/>
        <v>199.69025299999998</v>
      </c>
      <c r="AX253" s="27">
        <f t="shared" si="44"/>
        <v>190.04025299999998</v>
      </c>
      <c r="AY253" s="27">
        <f t="shared" si="45"/>
        <v>71.040252999999993</v>
      </c>
      <c r="AZ253" s="27">
        <f t="shared" si="46"/>
        <v>2.5300000000000002E-4</v>
      </c>
    </row>
    <row r="254" spans="1:52" ht="15" customHeight="1" x14ac:dyDescent="0.25">
      <c r="A254" s="13" t="str">
        <f>VLOOKUP(L254,[1]VALIDAÇÃO!$D$13:$E$350,2,0)</f>
        <v>DIRETO</v>
      </c>
      <c r="B254" s="14" t="str">
        <f t="shared" si="48"/>
        <v>65CONDOMINIO DO EDIFICIO EMPRESARIAL MARIE CURIE</v>
      </c>
      <c r="C254" s="15">
        <f t="shared" si="47"/>
        <v>65</v>
      </c>
      <c r="D254" s="16" t="str">
        <f t="shared" si="49"/>
        <v>61CONDOMINIO DO EDIFICIO EMPRESARIAL MARIE CURIE</v>
      </c>
      <c r="E254" s="17">
        <f t="shared" si="40"/>
        <v>61</v>
      </c>
      <c r="F254" s="18" t="str">
        <f t="shared" si="50"/>
        <v>45CONDOMINIO DO EDIFICIO EMPRESARIAL MARIE CURIE</v>
      </c>
      <c r="G254" s="18">
        <f t="shared" si="41"/>
        <v>45</v>
      </c>
      <c r="H254" s="19" t="str">
        <f t="shared" si="51"/>
        <v>97CONDOMINIO DO EDIFICIO EMPRESARIAL MARIE CURIE</v>
      </c>
      <c r="I254" s="19">
        <f t="shared" si="42"/>
        <v>97</v>
      </c>
      <c r="J254" s="13" t="s">
        <v>57</v>
      </c>
      <c r="K254" s="13" t="s">
        <v>358</v>
      </c>
      <c r="L254" s="13" t="s">
        <v>54</v>
      </c>
      <c r="M254" s="13" t="s">
        <v>60</v>
      </c>
      <c r="N254" s="20">
        <v>1312.37</v>
      </c>
      <c r="O254" s="20">
        <v>1622.13</v>
      </c>
      <c r="P254" s="21">
        <v>45790</v>
      </c>
      <c r="Q254" s="22"/>
      <c r="R254" s="23">
        <v>1622.13</v>
      </c>
      <c r="S254" s="24"/>
      <c r="T254" s="23"/>
      <c r="U254" s="24"/>
      <c r="V254" s="23"/>
      <c r="W254" s="23"/>
      <c r="X254" s="24"/>
      <c r="Y254" s="23"/>
      <c r="Z254" s="23"/>
      <c r="AA254" s="23">
        <v>2.1</v>
      </c>
      <c r="AB254" s="23">
        <v>84.429999999999993</v>
      </c>
      <c r="AC254" s="24">
        <v>443.73285714285714</v>
      </c>
      <c r="AD254" s="23">
        <v>119.93</v>
      </c>
      <c r="AE254" s="24">
        <v>790.11857142857139</v>
      </c>
      <c r="AF254" s="23"/>
      <c r="AG254" s="23"/>
      <c r="AH254" s="23">
        <v>10.02</v>
      </c>
      <c r="AI254" s="24">
        <v>0</v>
      </c>
      <c r="AJ254" s="25">
        <v>355.97</v>
      </c>
      <c r="AK254" s="23">
        <v>76.38</v>
      </c>
      <c r="AL254" s="23"/>
      <c r="AM254" s="24"/>
      <c r="AN254" s="23"/>
      <c r="AO254" s="24"/>
      <c r="AP254" s="23"/>
      <c r="AQ254" s="24"/>
      <c r="AR254" s="23">
        <v>43.19</v>
      </c>
      <c r="AS254" s="23">
        <v>-756.2</v>
      </c>
      <c r="AT254" s="23"/>
      <c r="AU254" s="24"/>
      <c r="AW254" s="27">
        <f t="shared" si="43"/>
        <v>355.97025400000001</v>
      </c>
      <c r="AX254" s="27">
        <f t="shared" si="44"/>
        <v>119.93025400000001</v>
      </c>
      <c r="AY254" s="27">
        <f t="shared" si="45"/>
        <v>84.430253999999991</v>
      </c>
      <c r="AZ254" s="27">
        <f t="shared" si="46"/>
        <v>2.5399999999999999E-4</v>
      </c>
    </row>
    <row r="255" spans="1:52" ht="15" customHeight="1" x14ac:dyDescent="0.25">
      <c r="A255" s="13" t="str">
        <f>VLOOKUP(L255,[1]VALIDAÇÃO!$D$13:$E$350,2,0)</f>
        <v>DIRETO</v>
      </c>
      <c r="B255" s="14" t="str">
        <f t="shared" si="48"/>
        <v>3RIO AVE 130 SPE LTDA</v>
      </c>
      <c r="C255" s="15">
        <f t="shared" si="47"/>
        <v>3</v>
      </c>
      <c r="D255" s="16" t="str">
        <f t="shared" si="49"/>
        <v>39RIO AVE 130 SPE LTDA</v>
      </c>
      <c r="E255" s="17">
        <f t="shared" si="40"/>
        <v>39</v>
      </c>
      <c r="F255" s="18" t="str">
        <f t="shared" si="50"/>
        <v>63RIO AVE 130 SPE LTDA</v>
      </c>
      <c r="G255" s="18">
        <f t="shared" si="41"/>
        <v>63</v>
      </c>
      <c r="H255" s="19" t="str">
        <f t="shared" si="51"/>
        <v>60RIO AVE 130 SPE LTDA</v>
      </c>
      <c r="I255" s="19">
        <f t="shared" si="42"/>
        <v>60</v>
      </c>
      <c r="J255" s="13" t="s">
        <v>102</v>
      </c>
      <c r="K255" s="13" t="s">
        <v>359</v>
      </c>
      <c r="L255" s="13" t="s">
        <v>87</v>
      </c>
      <c r="M255" s="13" t="s">
        <v>55</v>
      </c>
      <c r="N255" s="20">
        <v>1601.75</v>
      </c>
      <c r="O255" s="20">
        <v>2156</v>
      </c>
      <c r="P255" s="21">
        <v>45323</v>
      </c>
      <c r="Q255" s="22"/>
      <c r="R255" s="23">
        <v>2156</v>
      </c>
      <c r="S255" s="24"/>
      <c r="T255" s="23"/>
      <c r="U255" s="24"/>
      <c r="V255" s="23"/>
      <c r="W255" s="23"/>
      <c r="X255" s="24"/>
      <c r="Y255" s="23"/>
      <c r="Z255" s="23"/>
      <c r="AA255" s="23">
        <v>0.95</v>
      </c>
      <c r="AB255" s="23"/>
      <c r="AC255" s="24"/>
      <c r="AD255" s="23">
        <v>28.16</v>
      </c>
      <c r="AE255" s="24">
        <v>127.95714285714286</v>
      </c>
      <c r="AF255" s="23"/>
      <c r="AG255" s="23"/>
      <c r="AH255" s="23">
        <v>3.52</v>
      </c>
      <c r="AI255" s="24">
        <v>0</v>
      </c>
      <c r="AJ255" s="25">
        <v>1296.25</v>
      </c>
      <c r="AK255" s="23">
        <v>285.52999999999997</v>
      </c>
      <c r="AL255" s="23">
        <v>-28.7</v>
      </c>
      <c r="AM255" s="24">
        <v>164</v>
      </c>
      <c r="AN255" s="23"/>
      <c r="AO255" s="24"/>
      <c r="AP255" s="23"/>
      <c r="AQ255" s="24"/>
      <c r="AR255" s="23">
        <v>7.6400000000000006</v>
      </c>
      <c r="AS255" s="23">
        <v>-924</v>
      </c>
      <c r="AT255" s="23"/>
      <c r="AU255" s="24"/>
      <c r="AW255" s="27">
        <f t="shared" si="43"/>
        <v>1296.2502549999999</v>
      </c>
      <c r="AX255" s="27">
        <f t="shared" si="44"/>
        <v>28.160254999999999</v>
      </c>
      <c r="AY255" s="27">
        <f t="shared" si="45"/>
        <v>2.5500000000000002E-4</v>
      </c>
      <c r="AZ255" s="27">
        <f t="shared" si="46"/>
        <v>2.5500000000000002E-4</v>
      </c>
    </row>
    <row r="256" spans="1:52" ht="15" customHeight="1" x14ac:dyDescent="0.25">
      <c r="A256" s="13" t="str">
        <f>VLOOKUP(L256,[1]VALIDAÇÃO!$D$13:$E$350,2,0)</f>
        <v>DIRETO</v>
      </c>
      <c r="B256" s="14" t="str">
        <f t="shared" si="48"/>
        <v>71RIO AVE 200 SPE LTDA.</v>
      </c>
      <c r="C256" s="15">
        <f t="shared" si="47"/>
        <v>71</v>
      </c>
      <c r="D256" s="16" t="str">
        <f t="shared" si="49"/>
        <v>52RIO AVE 200 SPE LTDA.</v>
      </c>
      <c r="E256" s="17">
        <f t="shared" si="40"/>
        <v>52</v>
      </c>
      <c r="F256" s="18" t="str">
        <f t="shared" si="50"/>
        <v>70RIO AVE 200 SPE LTDA.</v>
      </c>
      <c r="G256" s="18">
        <f t="shared" si="41"/>
        <v>70</v>
      </c>
      <c r="H256" s="19" t="str">
        <f t="shared" si="51"/>
        <v>60RIO AVE 200 SPE LTDA.</v>
      </c>
      <c r="I256" s="19">
        <f t="shared" si="42"/>
        <v>60</v>
      </c>
      <c r="J256" s="13" t="s">
        <v>48</v>
      </c>
      <c r="K256" s="13" t="s">
        <v>360</v>
      </c>
      <c r="L256" s="13" t="s">
        <v>63</v>
      </c>
      <c r="M256" s="13" t="s">
        <v>55</v>
      </c>
      <c r="N256" s="20">
        <v>858.49</v>
      </c>
      <c r="O256" s="20">
        <v>1925</v>
      </c>
      <c r="P256" s="21">
        <v>45995</v>
      </c>
      <c r="Q256" s="22"/>
      <c r="R256" s="23">
        <v>1925</v>
      </c>
      <c r="S256" s="24"/>
      <c r="T256" s="23"/>
      <c r="U256" s="24"/>
      <c r="V256" s="23"/>
      <c r="W256" s="23"/>
      <c r="X256" s="24"/>
      <c r="Y256" s="23"/>
      <c r="Z256" s="23"/>
      <c r="AA256" s="23"/>
      <c r="AB256" s="23"/>
      <c r="AC256" s="24"/>
      <c r="AD256" s="23">
        <v>53.55</v>
      </c>
      <c r="AE256" s="24">
        <v>180</v>
      </c>
      <c r="AF256" s="23"/>
      <c r="AG256" s="23"/>
      <c r="AH256" s="23"/>
      <c r="AI256" s="24"/>
      <c r="AJ256" s="25"/>
      <c r="AK256" s="23"/>
      <c r="AL256" s="23"/>
      <c r="AM256" s="24"/>
      <c r="AN256" s="23"/>
      <c r="AO256" s="24"/>
      <c r="AP256" s="23"/>
      <c r="AQ256" s="24"/>
      <c r="AR256" s="23">
        <v>13.39</v>
      </c>
      <c r="AS256" s="23">
        <v>-924</v>
      </c>
      <c r="AT256" s="23"/>
      <c r="AU256" s="24"/>
      <c r="AW256" s="27">
        <f t="shared" si="43"/>
        <v>2.5599999999999999E-4</v>
      </c>
      <c r="AX256" s="27">
        <f t="shared" si="44"/>
        <v>53.550255999999997</v>
      </c>
      <c r="AY256" s="27">
        <f t="shared" si="45"/>
        <v>2.5599999999999999E-4</v>
      </c>
      <c r="AZ256" s="27">
        <f t="shared" si="46"/>
        <v>2.5599999999999999E-4</v>
      </c>
    </row>
    <row r="257" spans="1:52" ht="15" customHeight="1" x14ac:dyDescent="0.25">
      <c r="A257" s="13" t="str">
        <f>VLOOKUP(L257,[1]VALIDAÇÃO!$D$13:$E$350,2,0)</f>
        <v>DIRETO</v>
      </c>
      <c r="B257" s="14" t="str">
        <f t="shared" si="48"/>
        <v>70CONDOMINIO DO EDIFICIO EMPRESARIAL MARIE CURIE</v>
      </c>
      <c r="C257" s="15">
        <f t="shared" si="47"/>
        <v>70</v>
      </c>
      <c r="D257" s="16" t="str">
        <f t="shared" si="49"/>
        <v>109CONDOMINIO DO EDIFICIO EMPRESARIAL MARIE CURIE</v>
      </c>
      <c r="E257" s="17">
        <f t="shared" si="40"/>
        <v>109</v>
      </c>
      <c r="F257" s="18" t="str">
        <f t="shared" si="50"/>
        <v>73CONDOMINIO DO EDIFICIO EMPRESARIAL MARIE CURIE</v>
      </c>
      <c r="G257" s="18">
        <f t="shared" si="41"/>
        <v>73</v>
      </c>
      <c r="H257" s="19" t="str">
        <f t="shared" si="51"/>
        <v>96CONDOMINIO DO EDIFICIO EMPRESARIAL MARIE CURIE</v>
      </c>
      <c r="I257" s="19">
        <f t="shared" si="42"/>
        <v>96</v>
      </c>
      <c r="J257" s="13" t="s">
        <v>57</v>
      </c>
      <c r="K257" s="13" t="s">
        <v>361</v>
      </c>
      <c r="L257" s="13" t="s">
        <v>54</v>
      </c>
      <c r="M257" s="13" t="s">
        <v>60</v>
      </c>
      <c r="N257" s="20">
        <v>787.13</v>
      </c>
      <c r="O257" s="20">
        <v>1622.13</v>
      </c>
      <c r="P257" s="21">
        <v>45567</v>
      </c>
      <c r="Q257" s="22"/>
      <c r="R257" s="23">
        <v>1622.13</v>
      </c>
      <c r="S257" s="24"/>
      <c r="T257" s="23"/>
      <c r="U257" s="24"/>
      <c r="V257" s="23"/>
      <c r="W257" s="23"/>
      <c r="X257" s="24"/>
      <c r="Y257" s="23"/>
      <c r="Z257" s="23"/>
      <c r="AA257" s="23">
        <v>0.16</v>
      </c>
      <c r="AB257" s="23">
        <v>20.339999999999996</v>
      </c>
      <c r="AC257" s="24">
        <v>136.87571428571428</v>
      </c>
      <c r="AD257" s="23">
        <v>9.4700000000000006</v>
      </c>
      <c r="AE257" s="24">
        <v>70.164285714285711</v>
      </c>
      <c r="AF257" s="23"/>
      <c r="AG257" s="23"/>
      <c r="AH257" s="23">
        <v>0.98</v>
      </c>
      <c r="AI257" s="24">
        <v>0</v>
      </c>
      <c r="AJ257" s="25">
        <v>299.16999999999996</v>
      </c>
      <c r="AK257" s="23">
        <v>63.41</v>
      </c>
      <c r="AL257" s="23">
        <v>-33.729999999999997</v>
      </c>
      <c r="AM257" s="24">
        <v>256.19</v>
      </c>
      <c r="AN257" s="23"/>
      <c r="AO257" s="24"/>
      <c r="AP257" s="23"/>
      <c r="AQ257" s="24"/>
      <c r="AR257" s="23">
        <v>4.5999999999999996</v>
      </c>
      <c r="AS257" s="23">
        <v>-695.2</v>
      </c>
      <c r="AT257" s="23"/>
      <c r="AU257" s="24"/>
      <c r="AW257" s="27">
        <f t="shared" si="43"/>
        <v>299.17025699999994</v>
      </c>
      <c r="AX257" s="27">
        <f t="shared" si="44"/>
        <v>9.4702570000000001</v>
      </c>
      <c r="AY257" s="27">
        <f t="shared" si="45"/>
        <v>20.340256999999998</v>
      </c>
      <c r="AZ257" s="27">
        <f t="shared" si="46"/>
        <v>2.5700000000000001E-4</v>
      </c>
    </row>
    <row r="258" spans="1:52" ht="15" customHeight="1" x14ac:dyDescent="0.25">
      <c r="A258" s="13" t="str">
        <f>VLOOKUP(L258,[1]VALIDAÇÃO!$D$13:$E$350,2,0)</f>
        <v>DIRETO</v>
      </c>
      <c r="B258" s="14" t="str">
        <f t="shared" si="48"/>
        <v>79RESERVA DO PAIVA SPE 03 LTDA</v>
      </c>
      <c r="C258" s="15">
        <f t="shared" si="47"/>
        <v>79</v>
      </c>
      <c r="D258" s="16" t="str">
        <f t="shared" si="49"/>
        <v>144RESERVA DO PAIVA SPE 03 LTDA</v>
      </c>
      <c r="E258" s="17">
        <f t="shared" ref="E258:E321" si="52">1+SUMPRODUCT(($J$2:$J$1437=$J258)*(AX$2:AX$1437&gt;AX258))</f>
        <v>144</v>
      </c>
      <c r="F258" s="18" t="str">
        <f t="shared" si="50"/>
        <v>54RESERVA DO PAIVA SPE 03 LTDA</v>
      </c>
      <c r="G258" s="18">
        <f t="shared" ref="G258:G321" si="53">1+SUMPRODUCT(($J$2:$J$1437=$J258)*(AY$2:AY$1437&gt;AY258))</f>
        <v>54</v>
      </c>
      <c r="H258" s="19" t="str">
        <f t="shared" si="51"/>
        <v>39RESERVA DO PAIVA SPE 03 LTDA</v>
      </c>
      <c r="I258" s="19">
        <f t="shared" ref="I258:I321" si="54">1+SUMPRODUCT(($J$2:$J$1437=$J258)*(AZ$2:AZ$1437&gt;AZ258))</f>
        <v>39</v>
      </c>
      <c r="J258" s="13" t="s">
        <v>52</v>
      </c>
      <c r="K258" s="13" t="s">
        <v>362</v>
      </c>
      <c r="L258" s="13" t="s">
        <v>54</v>
      </c>
      <c r="M258" s="13" t="s">
        <v>55</v>
      </c>
      <c r="N258" s="20">
        <v>897.44</v>
      </c>
      <c r="O258" s="20">
        <v>1622.13</v>
      </c>
      <c r="P258" s="21">
        <v>45964</v>
      </c>
      <c r="Q258" s="22"/>
      <c r="R258" s="23">
        <v>1622.13</v>
      </c>
      <c r="S258" s="24"/>
      <c r="T258" s="23"/>
      <c r="U258" s="24"/>
      <c r="V258" s="23"/>
      <c r="W258" s="23"/>
      <c r="X258" s="24"/>
      <c r="Y258" s="23"/>
      <c r="Z258" s="23"/>
      <c r="AA258" s="23">
        <v>2.2600000000000002</v>
      </c>
      <c r="AB258" s="23">
        <v>160.72</v>
      </c>
      <c r="AC258" s="24">
        <v>1338</v>
      </c>
      <c r="AD258" s="23">
        <v>8.9499999999999993</v>
      </c>
      <c r="AE258" s="24">
        <v>40</v>
      </c>
      <c r="AF258" s="23"/>
      <c r="AG258" s="23"/>
      <c r="AH258" s="23">
        <v>10.25</v>
      </c>
      <c r="AI258" s="24">
        <v>0</v>
      </c>
      <c r="AJ258" s="25">
        <v>174.51</v>
      </c>
      <c r="AK258" s="23">
        <v>38.500000000000007</v>
      </c>
      <c r="AL258" s="23"/>
      <c r="AM258" s="24"/>
      <c r="AN258" s="23">
        <v>-173.8</v>
      </c>
      <c r="AO258" s="24">
        <v>3</v>
      </c>
      <c r="AP258" s="23">
        <v>161.07999999999998</v>
      </c>
      <c r="AQ258" s="24">
        <v>1250.4000000000001</v>
      </c>
      <c r="AR258" s="23">
        <v>75.31</v>
      </c>
      <c r="AS258" s="23">
        <v>-695.2</v>
      </c>
      <c r="AT258" s="23">
        <v>-173.8</v>
      </c>
      <c r="AU258" s="24">
        <v>3</v>
      </c>
      <c r="AW258" s="27">
        <f t="shared" ref="AW258:AW321" si="55">AJ258+ROW(C258)/1000000</f>
        <v>174.51025799999999</v>
      </c>
      <c r="AX258" s="27">
        <f t="shared" ref="AX258:AX321" si="56">AD258+ROW(C258)/1000000</f>
        <v>8.9502579999999998</v>
      </c>
      <c r="AY258" s="27">
        <f t="shared" ref="AY258:AY321" si="57">AB258+ROW(A258)/1000000</f>
        <v>160.720258</v>
      </c>
      <c r="AZ258" s="27">
        <f t="shared" ref="AZ258:AZ321" si="58">AP258+ROW(A258)/1000000</f>
        <v>161.08025799999999</v>
      </c>
    </row>
    <row r="259" spans="1:52" ht="15" customHeight="1" x14ac:dyDescent="0.25">
      <c r="A259" s="13" t="str">
        <f>VLOOKUP(L259,[1]VALIDAÇÃO!$D$13:$E$350,2,0)</f>
        <v>INDIRETO</v>
      </c>
      <c r="B259" s="14" t="str">
        <f t="shared" si="48"/>
        <v>3RIO AVE INVESTIMENTOS LTDA</v>
      </c>
      <c r="C259" s="15">
        <f t="shared" ref="C259:C322" si="59">1+SUMPRODUCT(($J$2:$J$1437=J259)*($AW$2:$AW$1437&gt;AW259))</f>
        <v>3</v>
      </c>
      <c r="D259" s="16" t="str">
        <f t="shared" si="49"/>
        <v>6RIO AVE INVESTIMENTOS LTDA</v>
      </c>
      <c r="E259" s="17">
        <f t="shared" si="52"/>
        <v>6</v>
      </c>
      <c r="F259" s="18" t="str">
        <f t="shared" si="50"/>
        <v>3RIO AVE INVESTIMENTOS LTDA</v>
      </c>
      <c r="G259" s="18">
        <f t="shared" si="53"/>
        <v>3</v>
      </c>
      <c r="H259" s="19" t="str">
        <f t="shared" si="51"/>
        <v>6RIO AVE INVESTIMENTOS LTDA</v>
      </c>
      <c r="I259" s="19">
        <f t="shared" si="54"/>
        <v>6</v>
      </c>
      <c r="J259" s="13" t="s">
        <v>304</v>
      </c>
      <c r="K259" s="13" t="s">
        <v>363</v>
      </c>
      <c r="L259" s="13" t="s">
        <v>364</v>
      </c>
      <c r="M259" s="13" t="s">
        <v>306</v>
      </c>
      <c r="N259" s="20">
        <v>2046.66</v>
      </c>
      <c r="O259" s="20">
        <v>2310</v>
      </c>
      <c r="P259" s="21">
        <v>40121</v>
      </c>
      <c r="Q259" s="22"/>
      <c r="R259" s="23">
        <v>2310</v>
      </c>
      <c r="S259" s="24"/>
      <c r="T259" s="23"/>
      <c r="U259" s="24"/>
      <c r="V259" s="23"/>
      <c r="W259" s="23">
        <v>1.18</v>
      </c>
      <c r="X259" s="24">
        <v>33.82</v>
      </c>
      <c r="Y259" s="23"/>
      <c r="Z259" s="23"/>
      <c r="AA259" s="23">
        <v>8</v>
      </c>
      <c r="AB259" s="23">
        <v>205.78</v>
      </c>
      <c r="AC259" s="24">
        <v>691.71</v>
      </c>
      <c r="AD259" s="23">
        <v>388.59</v>
      </c>
      <c r="AE259" s="24">
        <v>1306.21</v>
      </c>
      <c r="AF259" s="23"/>
      <c r="AG259" s="23"/>
      <c r="AH259" s="23">
        <v>41</v>
      </c>
      <c r="AI259" s="24">
        <v>0</v>
      </c>
      <c r="AJ259" s="25">
        <v>772.34999999999991</v>
      </c>
      <c r="AK259" s="23">
        <v>152.14999999999998</v>
      </c>
      <c r="AL259" s="23">
        <v>-16.63</v>
      </c>
      <c r="AM259" s="24">
        <v>95</v>
      </c>
      <c r="AN259" s="23"/>
      <c r="AO259" s="24"/>
      <c r="AP259" s="23">
        <v>38.65</v>
      </c>
      <c r="AQ259" s="24">
        <v>110.43</v>
      </c>
      <c r="AR259" s="23">
        <v>116.65</v>
      </c>
      <c r="AS259" s="23">
        <v>-963.8</v>
      </c>
      <c r="AT259" s="23"/>
      <c r="AU259" s="24"/>
      <c r="AW259" s="27">
        <f t="shared" si="55"/>
        <v>772.35025899999994</v>
      </c>
      <c r="AX259" s="27">
        <f t="shared" si="56"/>
        <v>388.590259</v>
      </c>
      <c r="AY259" s="27">
        <f t="shared" si="57"/>
        <v>205.780259</v>
      </c>
      <c r="AZ259" s="27">
        <f t="shared" si="58"/>
        <v>38.650258999999998</v>
      </c>
    </row>
    <row r="260" spans="1:52" ht="15" customHeight="1" x14ac:dyDescent="0.25">
      <c r="A260" s="13" t="str">
        <f>VLOOKUP(L260,[1]VALIDAÇÃO!$D$13:$E$350,2,0)</f>
        <v>DIRETO</v>
      </c>
      <c r="B260" s="14" t="str">
        <f t="shared" si="48"/>
        <v>15CONDOMINIO DO EDIFICIO EMPRESARIAL MARIE CURIE</v>
      </c>
      <c r="C260" s="15">
        <f t="shared" si="59"/>
        <v>15</v>
      </c>
      <c r="D260" s="16" t="str">
        <f t="shared" si="49"/>
        <v>89CONDOMINIO DO EDIFICIO EMPRESARIAL MARIE CURIE</v>
      </c>
      <c r="E260" s="17">
        <f t="shared" si="52"/>
        <v>89</v>
      </c>
      <c r="F260" s="18" t="str">
        <f t="shared" si="50"/>
        <v>64CONDOMINIO DO EDIFICIO EMPRESARIAL MARIE CURIE</v>
      </c>
      <c r="G260" s="18">
        <f t="shared" si="53"/>
        <v>64</v>
      </c>
      <c r="H260" s="19" t="str">
        <f t="shared" si="51"/>
        <v>95CONDOMINIO DO EDIFICIO EMPRESARIAL MARIE CURIE</v>
      </c>
      <c r="I260" s="19">
        <f t="shared" si="54"/>
        <v>95</v>
      </c>
      <c r="J260" s="13" t="s">
        <v>57</v>
      </c>
      <c r="K260" s="13" t="s">
        <v>365</v>
      </c>
      <c r="L260" s="13" t="s">
        <v>66</v>
      </c>
      <c r="M260" s="13" t="s">
        <v>60</v>
      </c>
      <c r="N260" s="20">
        <v>1779.38</v>
      </c>
      <c r="O260" s="20">
        <v>2156</v>
      </c>
      <c r="P260" s="21">
        <v>45846</v>
      </c>
      <c r="Q260" s="22"/>
      <c r="R260" s="23">
        <v>2156</v>
      </c>
      <c r="S260" s="24"/>
      <c r="T260" s="23"/>
      <c r="U260" s="24"/>
      <c r="V260" s="23"/>
      <c r="W260" s="23"/>
      <c r="X260" s="24"/>
      <c r="Y260" s="23"/>
      <c r="Z260" s="23"/>
      <c r="AA260" s="23">
        <v>2.14</v>
      </c>
      <c r="AB260" s="23">
        <v>42.04</v>
      </c>
      <c r="AC260" s="24">
        <v>336.44285714285712</v>
      </c>
      <c r="AD260" s="23">
        <v>47.389999999999993</v>
      </c>
      <c r="AE260" s="24">
        <v>287.89</v>
      </c>
      <c r="AF260" s="23"/>
      <c r="AG260" s="23"/>
      <c r="AH260" s="23">
        <v>11.049999999999999</v>
      </c>
      <c r="AI260" s="24">
        <v>0</v>
      </c>
      <c r="AJ260" s="25">
        <v>1245.4000000000001</v>
      </c>
      <c r="AK260" s="23">
        <v>266.62</v>
      </c>
      <c r="AL260" s="23"/>
      <c r="AM260" s="24"/>
      <c r="AN260" s="23"/>
      <c r="AO260" s="24"/>
      <c r="AP260" s="23"/>
      <c r="AQ260" s="24"/>
      <c r="AR260" s="23">
        <v>17.37</v>
      </c>
      <c r="AS260" s="23">
        <v>-924</v>
      </c>
      <c r="AT260" s="23"/>
      <c r="AU260" s="24"/>
      <c r="AW260" s="27">
        <f t="shared" si="55"/>
        <v>1245.4002600000001</v>
      </c>
      <c r="AX260" s="27">
        <f t="shared" si="56"/>
        <v>47.390259999999991</v>
      </c>
      <c r="AY260" s="27">
        <f t="shared" si="57"/>
        <v>42.040259999999996</v>
      </c>
      <c r="AZ260" s="27">
        <f t="shared" si="58"/>
        <v>2.5999999999999998E-4</v>
      </c>
    </row>
    <row r="261" spans="1:52" ht="15" customHeight="1" x14ac:dyDescent="0.25">
      <c r="A261" s="13" t="str">
        <f>VLOOKUP(L261,[1]VALIDAÇÃO!$D$13:$E$350,2,0)</f>
        <v>DIRETO</v>
      </c>
      <c r="B261" s="14" t="str">
        <f t="shared" si="48"/>
        <v>25RIO AVE 130 SPE LTDA</v>
      </c>
      <c r="C261" s="15">
        <f t="shared" si="59"/>
        <v>25</v>
      </c>
      <c r="D261" s="16" t="str">
        <f t="shared" si="49"/>
        <v>21RIO AVE 130 SPE LTDA</v>
      </c>
      <c r="E261" s="17">
        <f t="shared" si="52"/>
        <v>21</v>
      </c>
      <c r="F261" s="18" t="str">
        <f t="shared" si="50"/>
        <v>28RIO AVE 130 SPE LTDA</v>
      </c>
      <c r="G261" s="18">
        <f t="shared" si="53"/>
        <v>28</v>
      </c>
      <c r="H261" s="19" t="str">
        <f t="shared" si="51"/>
        <v>22RIO AVE 130 SPE LTDA</v>
      </c>
      <c r="I261" s="19">
        <f t="shared" si="54"/>
        <v>22</v>
      </c>
      <c r="J261" s="13" t="s">
        <v>102</v>
      </c>
      <c r="K261" s="13" t="s">
        <v>366</v>
      </c>
      <c r="L261" s="13" t="s">
        <v>54</v>
      </c>
      <c r="M261" s="13" t="s">
        <v>55</v>
      </c>
      <c r="N261" s="20">
        <v>1460.95</v>
      </c>
      <c r="O261" s="20">
        <v>1622.13</v>
      </c>
      <c r="P261" s="21">
        <v>44998</v>
      </c>
      <c r="Q261" s="22"/>
      <c r="R261" s="23">
        <v>1622.13</v>
      </c>
      <c r="S261" s="24"/>
      <c r="T261" s="23"/>
      <c r="U261" s="24"/>
      <c r="V261" s="23"/>
      <c r="W261" s="23"/>
      <c r="X261" s="24"/>
      <c r="Y261" s="23"/>
      <c r="Z261" s="23"/>
      <c r="AA261" s="23">
        <v>12.9</v>
      </c>
      <c r="AB261" s="23">
        <v>197.55</v>
      </c>
      <c r="AC261" s="24">
        <v>971.87428571428563</v>
      </c>
      <c r="AD261" s="23">
        <v>456.88</v>
      </c>
      <c r="AE261" s="24">
        <v>2204.4728571428573</v>
      </c>
      <c r="AF261" s="23"/>
      <c r="AG261" s="23"/>
      <c r="AH261" s="23">
        <v>59.05</v>
      </c>
      <c r="AI261" s="24">
        <v>0</v>
      </c>
      <c r="AJ261" s="25">
        <v>678.46</v>
      </c>
      <c r="AK261" s="23">
        <v>149.39000000000001</v>
      </c>
      <c r="AL261" s="23">
        <v>-8.56</v>
      </c>
      <c r="AM261" s="24">
        <v>65</v>
      </c>
      <c r="AN261" s="23"/>
      <c r="AO261" s="24"/>
      <c r="AP261" s="23">
        <v>113.65</v>
      </c>
      <c r="AQ261" s="24">
        <v>431.58</v>
      </c>
      <c r="AR261" s="23">
        <v>162.88999999999999</v>
      </c>
      <c r="AS261" s="23">
        <v>-695.2</v>
      </c>
      <c r="AT261" s="23"/>
      <c r="AU261" s="24"/>
      <c r="AW261" s="27">
        <f t="shared" si="55"/>
        <v>678.46026100000006</v>
      </c>
      <c r="AX261" s="27">
        <f t="shared" si="56"/>
        <v>456.88026100000002</v>
      </c>
      <c r="AY261" s="27">
        <f t="shared" si="57"/>
        <v>197.55026100000001</v>
      </c>
      <c r="AZ261" s="27">
        <f t="shared" si="58"/>
        <v>113.650261</v>
      </c>
    </row>
    <row r="262" spans="1:52" ht="15" customHeight="1" x14ac:dyDescent="0.25">
      <c r="A262" s="13" t="str">
        <f>VLOOKUP(L262,[1]VALIDAÇÃO!$D$13:$E$350,2,0)</f>
        <v>DIRETO</v>
      </c>
      <c r="B262" s="14" t="str">
        <f t="shared" si="48"/>
        <v>22CONDOMINIO DO EDIFICIO EMPRESARIAL MARIE CURIE</v>
      </c>
      <c r="C262" s="15">
        <f t="shared" si="59"/>
        <v>22</v>
      </c>
      <c r="D262" s="16" t="str">
        <f t="shared" si="49"/>
        <v>39CONDOMINIO DO EDIFICIO EMPRESARIAL MARIE CURIE</v>
      </c>
      <c r="E262" s="17">
        <f t="shared" si="52"/>
        <v>39</v>
      </c>
      <c r="F262" s="18" t="str">
        <f t="shared" si="50"/>
        <v>58CONDOMINIO DO EDIFICIO EMPRESARIAL MARIE CURIE</v>
      </c>
      <c r="G262" s="18">
        <f t="shared" si="53"/>
        <v>58</v>
      </c>
      <c r="H262" s="19" t="str">
        <f t="shared" si="51"/>
        <v>94CONDOMINIO DO EDIFICIO EMPRESARIAL MARIE CURIE</v>
      </c>
      <c r="I262" s="19">
        <f t="shared" si="54"/>
        <v>94</v>
      </c>
      <c r="J262" s="13" t="s">
        <v>57</v>
      </c>
      <c r="K262" s="13" t="s">
        <v>367</v>
      </c>
      <c r="L262" s="13" t="s">
        <v>59</v>
      </c>
      <c r="M262" s="13" t="s">
        <v>60</v>
      </c>
      <c r="N262" s="20">
        <v>1712.35</v>
      </c>
      <c r="O262" s="20">
        <v>2156</v>
      </c>
      <c r="P262" s="21">
        <v>45341</v>
      </c>
      <c r="Q262" s="22"/>
      <c r="R262" s="23">
        <v>2156</v>
      </c>
      <c r="S262" s="24"/>
      <c r="T262" s="23"/>
      <c r="U262" s="24"/>
      <c r="V262" s="23"/>
      <c r="W262" s="23"/>
      <c r="X262" s="24"/>
      <c r="Y262" s="23"/>
      <c r="Z262" s="23"/>
      <c r="AA262" s="23">
        <v>3.19</v>
      </c>
      <c r="AB262" s="23">
        <v>54.62</v>
      </c>
      <c r="AC262" s="24">
        <v>239.31285714285713</v>
      </c>
      <c r="AD262" s="23">
        <v>198.08999999999997</v>
      </c>
      <c r="AE262" s="24">
        <v>853.98</v>
      </c>
      <c r="AF262" s="23"/>
      <c r="AG262" s="23"/>
      <c r="AH262" s="23">
        <v>15.67</v>
      </c>
      <c r="AI262" s="24">
        <v>0</v>
      </c>
      <c r="AJ262" s="25">
        <v>916.43999999999994</v>
      </c>
      <c r="AK262" s="23">
        <v>196.91</v>
      </c>
      <c r="AL262" s="23"/>
      <c r="AM262" s="24"/>
      <c r="AN262" s="23"/>
      <c r="AO262" s="24"/>
      <c r="AP262" s="23"/>
      <c r="AQ262" s="24"/>
      <c r="AR262" s="23">
        <v>48.940000000000005</v>
      </c>
      <c r="AS262" s="23">
        <v>-994</v>
      </c>
      <c r="AT262" s="23"/>
      <c r="AU262" s="24"/>
      <c r="AW262" s="27">
        <f t="shared" si="55"/>
        <v>916.44026199999996</v>
      </c>
      <c r="AX262" s="27">
        <f t="shared" si="56"/>
        <v>198.09026199999997</v>
      </c>
      <c r="AY262" s="27">
        <f t="shared" si="57"/>
        <v>54.620261999999997</v>
      </c>
      <c r="AZ262" s="27">
        <f t="shared" si="58"/>
        <v>2.6200000000000003E-4</v>
      </c>
    </row>
    <row r="263" spans="1:52" ht="15" customHeight="1" x14ac:dyDescent="0.25">
      <c r="A263" s="13" t="str">
        <f>VLOOKUP(L263,[1]VALIDAÇÃO!$D$13:$E$350,2,0)</f>
        <v>DIRETO</v>
      </c>
      <c r="B263" s="14" t="str">
        <f t="shared" si="48"/>
        <v>70RIO AVE 200 SPE LTDA.</v>
      </c>
      <c r="C263" s="15">
        <f t="shared" si="59"/>
        <v>70</v>
      </c>
      <c r="D263" s="16" t="str">
        <f t="shared" si="49"/>
        <v>56RIO AVE 200 SPE LTDA.</v>
      </c>
      <c r="E263" s="17">
        <f t="shared" si="52"/>
        <v>56</v>
      </c>
      <c r="F263" s="18" t="str">
        <f t="shared" si="50"/>
        <v>69RIO AVE 200 SPE LTDA.</v>
      </c>
      <c r="G263" s="18">
        <f t="shared" si="53"/>
        <v>69</v>
      </c>
      <c r="H263" s="19" t="str">
        <f t="shared" si="51"/>
        <v>59RIO AVE 200 SPE LTDA.</v>
      </c>
      <c r="I263" s="19">
        <f t="shared" si="54"/>
        <v>59</v>
      </c>
      <c r="J263" s="13" t="s">
        <v>48</v>
      </c>
      <c r="K263" s="13" t="s">
        <v>368</v>
      </c>
      <c r="L263" s="13" t="s">
        <v>54</v>
      </c>
      <c r="M263" s="13" t="s">
        <v>55</v>
      </c>
      <c r="N263" s="20">
        <v>1034.07</v>
      </c>
      <c r="O263" s="20">
        <v>1158.67</v>
      </c>
      <c r="P263" s="21">
        <v>46000</v>
      </c>
      <c r="Q263" s="22"/>
      <c r="R263" s="23">
        <v>1158.67</v>
      </c>
      <c r="S263" s="24"/>
      <c r="T263" s="23"/>
      <c r="U263" s="24"/>
      <c r="V263" s="23"/>
      <c r="W263" s="23"/>
      <c r="X263" s="24"/>
      <c r="Y263" s="23"/>
      <c r="Z263" s="23"/>
      <c r="AA263" s="23"/>
      <c r="AB263" s="23"/>
      <c r="AC263" s="24"/>
      <c r="AD263" s="23">
        <v>27.53</v>
      </c>
      <c r="AE263" s="24">
        <v>123</v>
      </c>
      <c r="AF263" s="23"/>
      <c r="AG263" s="23"/>
      <c r="AH263" s="23"/>
      <c r="AI263" s="24"/>
      <c r="AJ263" s="25"/>
      <c r="AK263" s="23"/>
      <c r="AL263" s="23"/>
      <c r="AM263" s="24"/>
      <c r="AN263" s="23"/>
      <c r="AO263" s="24"/>
      <c r="AP263" s="23"/>
      <c r="AQ263" s="24"/>
      <c r="AR263" s="23">
        <v>6.88</v>
      </c>
      <c r="AS263" s="23"/>
      <c r="AT263" s="23"/>
      <c r="AU263" s="24"/>
      <c r="AW263" s="27">
        <f t="shared" si="55"/>
        <v>2.63E-4</v>
      </c>
      <c r="AX263" s="27">
        <f t="shared" si="56"/>
        <v>27.530263000000001</v>
      </c>
      <c r="AY263" s="27">
        <f t="shared" si="57"/>
        <v>2.63E-4</v>
      </c>
      <c r="AZ263" s="27">
        <f t="shared" si="58"/>
        <v>2.63E-4</v>
      </c>
    </row>
    <row r="264" spans="1:52" ht="15" customHeight="1" x14ac:dyDescent="0.25">
      <c r="A264" s="13" t="str">
        <f>VLOOKUP(L264,[1]VALIDAÇÃO!$D$13:$E$350,2,0)</f>
        <v>DIRETO</v>
      </c>
      <c r="B264" s="14" t="str">
        <f t="shared" si="48"/>
        <v>49RESERVA DO PAIVA SPE 01 LTDA.</v>
      </c>
      <c r="C264" s="15">
        <f t="shared" si="59"/>
        <v>49</v>
      </c>
      <c r="D264" s="16" t="str">
        <f t="shared" si="49"/>
        <v>23RESERVA DO PAIVA SPE 01 LTDA.</v>
      </c>
      <c r="E264" s="17">
        <f t="shared" si="52"/>
        <v>23</v>
      </c>
      <c r="F264" s="18" t="str">
        <f t="shared" si="50"/>
        <v>63RESERVA DO PAIVA SPE 01 LTDA.</v>
      </c>
      <c r="G264" s="18">
        <f t="shared" si="53"/>
        <v>63</v>
      </c>
      <c r="H264" s="19" t="str">
        <f t="shared" si="51"/>
        <v>51RESERVA DO PAIVA SPE 01 LTDA.</v>
      </c>
      <c r="I264" s="19">
        <f t="shared" si="54"/>
        <v>51</v>
      </c>
      <c r="J264" s="13" t="s">
        <v>68</v>
      </c>
      <c r="K264" s="13" t="s">
        <v>369</v>
      </c>
      <c r="L264" s="13" t="s">
        <v>131</v>
      </c>
      <c r="M264" s="13" t="s">
        <v>55</v>
      </c>
      <c r="N264" s="20">
        <v>1603.39</v>
      </c>
      <c r="O264" s="20">
        <v>2156</v>
      </c>
      <c r="P264" s="21">
        <v>45355</v>
      </c>
      <c r="Q264" s="22"/>
      <c r="R264" s="23">
        <v>2156</v>
      </c>
      <c r="S264" s="24"/>
      <c r="T264" s="23"/>
      <c r="U264" s="24"/>
      <c r="V264" s="23"/>
      <c r="W264" s="23"/>
      <c r="X264" s="24"/>
      <c r="Y264" s="23"/>
      <c r="Z264" s="23"/>
      <c r="AA264" s="23">
        <v>6.8900000000000006</v>
      </c>
      <c r="AB264" s="23">
        <v>88.48</v>
      </c>
      <c r="AC264" s="24">
        <v>493.61</v>
      </c>
      <c r="AD264" s="23">
        <v>494.74</v>
      </c>
      <c r="AE264" s="24">
        <v>1874.2600000000002</v>
      </c>
      <c r="AF264" s="23"/>
      <c r="AG264" s="23"/>
      <c r="AH264" s="23">
        <v>30.95</v>
      </c>
      <c r="AI264" s="24">
        <v>0</v>
      </c>
      <c r="AJ264" s="25">
        <v>573.79000000000008</v>
      </c>
      <c r="AK264" s="23">
        <v>125.36</v>
      </c>
      <c r="AL264" s="23"/>
      <c r="AM264" s="24"/>
      <c r="AN264" s="23"/>
      <c r="AO264" s="24"/>
      <c r="AP264" s="23">
        <v>251.20000000000002</v>
      </c>
      <c r="AQ264" s="24">
        <v>717.71</v>
      </c>
      <c r="AR264" s="23">
        <v>175.87</v>
      </c>
      <c r="AS264" s="23">
        <v>-924</v>
      </c>
      <c r="AT264" s="23"/>
      <c r="AU264" s="24"/>
      <c r="AW264" s="27">
        <f t="shared" si="55"/>
        <v>573.79026400000009</v>
      </c>
      <c r="AX264" s="27">
        <f t="shared" si="56"/>
        <v>494.74026400000002</v>
      </c>
      <c r="AY264" s="27">
        <f t="shared" si="57"/>
        <v>88.480264000000005</v>
      </c>
      <c r="AZ264" s="27">
        <f t="shared" si="58"/>
        <v>251.200264</v>
      </c>
    </row>
    <row r="265" spans="1:52" ht="15" customHeight="1" x14ac:dyDescent="0.25">
      <c r="A265" s="13" t="str">
        <f>VLOOKUP(L265,[1]VALIDAÇÃO!$D$13:$E$350,2,0)</f>
        <v>DIRETO</v>
      </c>
      <c r="B265" s="14" t="str">
        <f t="shared" si="48"/>
        <v>31RIO AVE 200 SPE LTDA.</v>
      </c>
      <c r="C265" s="15">
        <f t="shared" si="59"/>
        <v>31</v>
      </c>
      <c r="D265" s="16" t="str">
        <f t="shared" si="49"/>
        <v>67RIO AVE 200 SPE LTDA.</v>
      </c>
      <c r="E265" s="17">
        <f t="shared" si="52"/>
        <v>67</v>
      </c>
      <c r="F265" s="18" t="str">
        <f t="shared" si="50"/>
        <v>68RIO AVE 200 SPE LTDA.</v>
      </c>
      <c r="G265" s="18">
        <f t="shared" si="53"/>
        <v>68</v>
      </c>
      <c r="H265" s="19" t="str">
        <f t="shared" si="51"/>
        <v>16RIO AVE 200 SPE LTDA.</v>
      </c>
      <c r="I265" s="19">
        <f t="shared" si="54"/>
        <v>16</v>
      </c>
      <c r="J265" s="13" t="s">
        <v>48</v>
      </c>
      <c r="K265" s="13" t="s">
        <v>370</v>
      </c>
      <c r="L265" s="13" t="s">
        <v>87</v>
      </c>
      <c r="M265" s="13" t="s">
        <v>55</v>
      </c>
      <c r="N265" s="20">
        <v>1238.1099999999999</v>
      </c>
      <c r="O265" s="20">
        <v>2156</v>
      </c>
      <c r="P265" s="21">
        <v>45706</v>
      </c>
      <c r="Q265" s="22"/>
      <c r="R265" s="23">
        <v>2156</v>
      </c>
      <c r="S265" s="24"/>
      <c r="T265" s="23"/>
      <c r="U265" s="24"/>
      <c r="V265" s="23"/>
      <c r="W265" s="23"/>
      <c r="X265" s="24"/>
      <c r="Y265" s="23"/>
      <c r="Z265" s="23"/>
      <c r="AA265" s="23">
        <v>0.18</v>
      </c>
      <c r="AB265" s="23"/>
      <c r="AC265" s="24"/>
      <c r="AD265" s="23">
        <v>2.0500000000000003</v>
      </c>
      <c r="AE265" s="24">
        <v>10.571428571428571</v>
      </c>
      <c r="AF265" s="23"/>
      <c r="AG265" s="23"/>
      <c r="AH265" s="23">
        <v>0.60000000000000009</v>
      </c>
      <c r="AI265" s="24">
        <v>0</v>
      </c>
      <c r="AJ265" s="25">
        <v>456.66</v>
      </c>
      <c r="AK265" s="23">
        <v>98.84</v>
      </c>
      <c r="AL265" s="23"/>
      <c r="AM265" s="24"/>
      <c r="AN265" s="23"/>
      <c r="AO265" s="24"/>
      <c r="AP265" s="23">
        <v>14.959999999999999</v>
      </c>
      <c r="AQ265" s="24">
        <v>65.428571428571416</v>
      </c>
      <c r="AR265" s="23">
        <v>4.95</v>
      </c>
      <c r="AS265" s="23">
        <v>-924</v>
      </c>
      <c r="AT265" s="23"/>
      <c r="AU265" s="24"/>
      <c r="AW265" s="27">
        <f t="shared" si="55"/>
        <v>456.66026500000004</v>
      </c>
      <c r="AX265" s="27">
        <f t="shared" si="56"/>
        <v>2.0502650000000004</v>
      </c>
      <c r="AY265" s="27">
        <f t="shared" si="57"/>
        <v>2.6499999999999999E-4</v>
      </c>
      <c r="AZ265" s="27">
        <f t="shared" si="58"/>
        <v>14.960265</v>
      </c>
    </row>
    <row r="266" spans="1:52" ht="15" customHeight="1" x14ac:dyDescent="0.25">
      <c r="A266" s="13" t="str">
        <f>VLOOKUP(L266,[1]VALIDAÇÃO!$D$13:$E$350,2,0)</f>
        <v>DIRETO</v>
      </c>
      <c r="B266" s="14" t="str">
        <f t="shared" si="48"/>
        <v>9RIO AVE INVESTIMENTOS LTDA</v>
      </c>
      <c r="C266" s="15">
        <f t="shared" si="59"/>
        <v>9</v>
      </c>
      <c r="D266" s="16" t="str">
        <f t="shared" si="49"/>
        <v>3RIO AVE INVESTIMENTOS LTDA</v>
      </c>
      <c r="E266" s="17">
        <f t="shared" si="52"/>
        <v>3</v>
      </c>
      <c r="F266" s="18" t="str">
        <f t="shared" si="50"/>
        <v>5RIO AVE INVESTIMENTOS LTDA</v>
      </c>
      <c r="G266" s="18">
        <f t="shared" si="53"/>
        <v>5</v>
      </c>
      <c r="H266" s="19" t="str">
        <f t="shared" si="51"/>
        <v>5RIO AVE INVESTIMENTOS LTDA</v>
      </c>
      <c r="I266" s="19">
        <f t="shared" si="54"/>
        <v>5</v>
      </c>
      <c r="J266" s="13" t="s">
        <v>304</v>
      </c>
      <c r="K266" s="13" t="s">
        <v>371</v>
      </c>
      <c r="L266" s="13" t="s">
        <v>54</v>
      </c>
      <c r="M266" s="13" t="s">
        <v>306</v>
      </c>
      <c r="N266" s="20">
        <v>616.41999999999996</v>
      </c>
      <c r="O266" s="20"/>
      <c r="P266" s="21">
        <v>45371</v>
      </c>
      <c r="Q266" s="22"/>
      <c r="R266" s="23"/>
      <c r="S266" s="24"/>
      <c r="T266" s="23">
        <v>521.4</v>
      </c>
      <c r="U266" s="24">
        <v>9</v>
      </c>
      <c r="V266" s="23"/>
      <c r="W266" s="23">
        <v>1.7</v>
      </c>
      <c r="X266" s="24">
        <v>70.36</v>
      </c>
      <c r="Y266" s="23"/>
      <c r="Z266" s="23"/>
      <c r="AA266" s="23">
        <v>8.2899999999999991</v>
      </c>
      <c r="AB266" s="23">
        <v>190.2</v>
      </c>
      <c r="AC266" s="24">
        <v>927</v>
      </c>
      <c r="AD266" s="23">
        <v>837.49</v>
      </c>
      <c r="AE266" s="24">
        <v>4015.82</v>
      </c>
      <c r="AF266" s="23"/>
      <c r="AG266" s="23"/>
      <c r="AH266" s="23">
        <v>40.17</v>
      </c>
      <c r="AI266" s="24">
        <v>0</v>
      </c>
      <c r="AJ266" s="25">
        <v>150.41999999999999</v>
      </c>
      <c r="AK266" s="23">
        <v>31.82</v>
      </c>
      <c r="AL266" s="23">
        <v>0</v>
      </c>
      <c r="AM266" s="24">
        <v>16</v>
      </c>
      <c r="AN266" s="23"/>
      <c r="AO266" s="24"/>
      <c r="AP266" s="23">
        <v>92.67</v>
      </c>
      <c r="AQ266" s="24">
        <v>383.91</v>
      </c>
      <c r="AR266" s="23">
        <v>211.89</v>
      </c>
      <c r="AS266" s="23"/>
      <c r="AT266" s="23"/>
      <c r="AU266" s="24"/>
      <c r="AW266" s="27">
        <f t="shared" si="55"/>
        <v>150.420266</v>
      </c>
      <c r="AX266" s="27">
        <f t="shared" si="56"/>
        <v>837.49026600000002</v>
      </c>
      <c r="AY266" s="27">
        <f t="shared" si="57"/>
        <v>190.200266</v>
      </c>
      <c r="AZ266" s="27">
        <f t="shared" si="58"/>
        <v>92.670265999999998</v>
      </c>
    </row>
    <row r="267" spans="1:52" ht="15" customHeight="1" x14ac:dyDescent="0.25">
      <c r="A267" s="13" t="str">
        <f>VLOOKUP(L267,[1]VALIDAÇÃO!$D$13:$E$350,2,0)</f>
        <v>DIRETO</v>
      </c>
      <c r="B267" s="14" t="str">
        <f t="shared" si="48"/>
        <v>73RIO AVE CARNEIROS 01 SPE LTDA.</v>
      </c>
      <c r="C267" s="15">
        <f t="shared" si="59"/>
        <v>73</v>
      </c>
      <c r="D267" s="16" t="str">
        <f t="shared" si="49"/>
        <v>73RIO AVE CARNEIROS 01 SPE LTDA.</v>
      </c>
      <c r="E267" s="17">
        <f t="shared" si="52"/>
        <v>73</v>
      </c>
      <c r="F267" s="18" t="str">
        <f t="shared" si="50"/>
        <v>73RIO AVE CARNEIROS 01 SPE LTDA.</v>
      </c>
      <c r="G267" s="18">
        <f t="shared" si="53"/>
        <v>73</v>
      </c>
      <c r="H267" s="19" t="str">
        <f t="shared" si="51"/>
        <v>77RIO AVE CARNEIROS 01 SPE LTDA.</v>
      </c>
      <c r="I267" s="19">
        <f t="shared" si="54"/>
        <v>77</v>
      </c>
      <c r="J267" s="13" t="s">
        <v>61</v>
      </c>
      <c r="K267" s="13" t="s">
        <v>372</v>
      </c>
      <c r="L267" s="13" t="s">
        <v>54</v>
      </c>
      <c r="M267" s="13" t="s">
        <v>55</v>
      </c>
      <c r="N267" s="20">
        <v>994.91</v>
      </c>
      <c r="O267" s="20">
        <v>1622.13</v>
      </c>
      <c r="P267" s="21">
        <v>45691</v>
      </c>
      <c r="Q267" s="22"/>
      <c r="R267" s="23">
        <v>1622.13</v>
      </c>
      <c r="S267" s="24"/>
      <c r="T267" s="23"/>
      <c r="U267" s="24"/>
      <c r="V267" s="23"/>
      <c r="W267" s="23"/>
      <c r="X267" s="24"/>
      <c r="Y267" s="23"/>
      <c r="Z267" s="23"/>
      <c r="AA267" s="23">
        <v>2.2199999999999998</v>
      </c>
      <c r="AB267" s="23">
        <v>76.53</v>
      </c>
      <c r="AC267" s="24">
        <v>480.42857142857144</v>
      </c>
      <c r="AD267" s="23">
        <v>65.48</v>
      </c>
      <c r="AE267" s="24">
        <v>381.85714285714283</v>
      </c>
      <c r="AF267" s="23"/>
      <c r="AG267" s="23"/>
      <c r="AH267" s="23">
        <v>9.2999999999999989</v>
      </c>
      <c r="AI267" s="24">
        <v>0</v>
      </c>
      <c r="AJ267" s="25">
        <v>358.12</v>
      </c>
      <c r="AK267" s="23">
        <v>78.97</v>
      </c>
      <c r="AL267" s="23"/>
      <c r="AM267" s="24"/>
      <c r="AN267" s="23"/>
      <c r="AO267" s="24"/>
      <c r="AP267" s="23">
        <v>12.82</v>
      </c>
      <c r="AQ267" s="24">
        <v>68.428571428571431</v>
      </c>
      <c r="AR267" s="23">
        <v>36.590000000000003</v>
      </c>
      <c r="AS267" s="23">
        <v>-845.2</v>
      </c>
      <c r="AT267" s="23"/>
      <c r="AU267" s="24"/>
      <c r="AW267" s="27">
        <f t="shared" si="55"/>
        <v>358.12026700000001</v>
      </c>
      <c r="AX267" s="27">
        <f t="shared" si="56"/>
        <v>65.480266999999998</v>
      </c>
      <c r="AY267" s="27">
        <f t="shared" si="57"/>
        <v>76.530266999999995</v>
      </c>
      <c r="AZ267" s="27">
        <f t="shared" si="58"/>
        <v>12.820266999999999</v>
      </c>
    </row>
    <row r="268" spans="1:52" ht="15" customHeight="1" x14ac:dyDescent="0.25">
      <c r="A268" s="13" t="str">
        <f>VLOOKUP(L268,[1]VALIDAÇÃO!$D$13:$E$350,2,0)</f>
        <v>DIRETO</v>
      </c>
      <c r="B268" s="14" t="str">
        <f t="shared" si="48"/>
        <v>142RIO AVE CARNEIROS 01 SPE LTDA.</v>
      </c>
      <c r="C268" s="15">
        <f t="shared" si="59"/>
        <v>142</v>
      </c>
      <c r="D268" s="16" t="str">
        <f t="shared" si="49"/>
        <v>152RIO AVE CARNEIROS 01 SPE LTDA.</v>
      </c>
      <c r="E268" s="17">
        <f t="shared" si="52"/>
        <v>152</v>
      </c>
      <c r="F268" s="18" t="str">
        <f t="shared" si="50"/>
        <v>145RIO AVE CARNEIROS 01 SPE LTDA.</v>
      </c>
      <c r="G268" s="18">
        <f t="shared" si="53"/>
        <v>145</v>
      </c>
      <c r="H268" s="19" t="str">
        <f t="shared" si="51"/>
        <v>131RIO AVE CARNEIROS 01 SPE LTDA.</v>
      </c>
      <c r="I268" s="19">
        <f t="shared" si="54"/>
        <v>131</v>
      </c>
      <c r="J268" s="13" t="s">
        <v>61</v>
      </c>
      <c r="K268" s="13" t="s">
        <v>373</v>
      </c>
      <c r="L268" s="13" t="s">
        <v>63</v>
      </c>
      <c r="M268" s="13" t="s">
        <v>55</v>
      </c>
      <c r="N268" s="20">
        <v>1000.85</v>
      </c>
      <c r="O268" s="20">
        <v>2156</v>
      </c>
      <c r="P268" s="21">
        <v>45992</v>
      </c>
      <c r="Q268" s="22"/>
      <c r="R268" s="23">
        <v>2156</v>
      </c>
      <c r="S268" s="24"/>
      <c r="T268" s="23"/>
      <c r="U268" s="24"/>
      <c r="V268" s="23"/>
      <c r="W268" s="23"/>
      <c r="X268" s="24"/>
      <c r="Y268" s="23"/>
      <c r="Z268" s="23"/>
      <c r="AA268" s="23"/>
      <c r="AB268" s="23"/>
      <c r="AC268" s="24"/>
      <c r="AD268" s="23"/>
      <c r="AE268" s="24"/>
      <c r="AF268" s="23"/>
      <c r="AG268" s="23"/>
      <c r="AH268" s="23"/>
      <c r="AI268" s="24"/>
      <c r="AJ268" s="25"/>
      <c r="AK268" s="23"/>
      <c r="AL268" s="23"/>
      <c r="AM268" s="24"/>
      <c r="AN268" s="23"/>
      <c r="AO268" s="24"/>
      <c r="AP268" s="23"/>
      <c r="AQ268" s="24"/>
      <c r="AR268" s="23"/>
      <c r="AS268" s="23">
        <v>-924</v>
      </c>
      <c r="AT268" s="23"/>
      <c r="AU268" s="24"/>
      <c r="AW268" s="27">
        <f t="shared" si="55"/>
        <v>2.6800000000000001E-4</v>
      </c>
      <c r="AX268" s="27">
        <f t="shared" si="56"/>
        <v>2.6800000000000001E-4</v>
      </c>
      <c r="AY268" s="27">
        <f t="shared" si="57"/>
        <v>2.6800000000000001E-4</v>
      </c>
      <c r="AZ268" s="27">
        <f t="shared" si="58"/>
        <v>2.6800000000000001E-4</v>
      </c>
    </row>
    <row r="269" spans="1:52" ht="15" customHeight="1" x14ac:dyDescent="0.25">
      <c r="A269" s="13" t="str">
        <f>VLOOKUP(L269,[1]VALIDAÇÃO!$D$13:$E$350,2,0)</f>
        <v>DIRETO</v>
      </c>
      <c r="B269" s="14" t="str">
        <f t="shared" si="48"/>
        <v>2RIO AVE PRAIA HOTEL SPE LTDA.</v>
      </c>
      <c r="C269" s="15">
        <f t="shared" si="59"/>
        <v>2</v>
      </c>
      <c r="D269" s="16" t="str">
        <f t="shared" si="49"/>
        <v>16RIO AVE PRAIA HOTEL SPE LTDA.</v>
      </c>
      <c r="E269" s="17">
        <f t="shared" si="52"/>
        <v>16</v>
      </c>
      <c r="F269" s="18" t="str">
        <f t="shared" si="50"/>
        <v>18RIO AVE PRAIA HOTEL SPE LTDA.</v>
      </c>
      <c r="G269" s="18">
        <f t="shared" si="53"/>
        <v>18</v>
      </c>
      <c r="H269" s="19" t="str">
        <f t="shared" si="51"/>
        <v>3RIO AVE PRAIA HOTEL SPE LTDA.</v>
      </c>
      <c r="I269" s="19">
        <f t="shared" si="54"/>
        <v>3</v>
      </c>
      <c r="J269" s="13" t="s">
        <v>80</v>
      </c>
      <c r="K269" s="13" t="s">
        <v>374</v>
      </c>
      <c r="L269" s="13" t="s">
        <v>92</v>
      </c>
      <c r="M269" s="13" t="s">
        <v>82</v>
      </c>
      <c r="N269" s="20">
        <v>2382.0100000000002</v>
      </c>
      <c r="O269" s="20">
        <v>2079</v>
      </c>
      <c r="P269" s="21">
        <v>45572</v>
      </c>
      <c r="Q269" s="22"/>
      <c r="R269" s="23">
        <v>2079</v>
      </c>
      <c r="S269" s="24"/>
      <c r="T269" s="23"/>
      <c r="U269" s="24"/>
      <c r="V269" s="23"/>
      <c r="W269" s="23"/>
      <c r="X269" s="24"/>
      <c r="Y269" s="23"/>
      <c r="Z269" s="23"/>
      <c r="AA269" s="23">
        <v>20.39</v>
      </c>
      <c r="AB269" s="23">
        <v>287.19</v>
      </c>
      <c r="AC269" s="24">
        <v>1098.1257142857144</v>
      </c>
      <c r="AD269" s="23">
        <v>50.199999999999996</v>
      </c>
      <c r="AE269" s="24">
        <v>181.90714285714284</v>
      </c>
      <c r="AF269" s="23"/>
      <c r="AG269" s="23"/>
      <c r="AH269" s="23">
        <v>92.789999999999992</v>
      </c>
      <c r="AI269" s="24">
        <v>0</v>
      </c>
      <c r="AJ269" s="25">
        <v>1197.3400000000001</v>
      </c>
      <c r="AK269" s="23">
        <v>253.56</v>
      </c>
      <c r="AL269" s="23">
        <v>-22.4</v>
      </c>
      <c r="AM269" s="24">
        <v>128</v>
      </c>
      <c r="AN269" s="23"/>
      <c r="AO269" s="24"/>
      <c r="AP269" s="23">
        <v>725.7</v>
      </c>
      <c r="AQ269" s="24">
        <v>2151.9057142857146</v>
      </c>
      <c r="AR269" s="23">
        <v>233.24</v>
      </c>
      <c r="AS269" s="23">
        <v>-924</v>
      </c>
      <c r="AT269" s="23"/>
      <c r="AU269" s="24"/>
      <c r="AW269" s="27">
        <f t="shared" si="55"/>
        <v>1197.340269</v>
      </c>
      <c r="AX269" s="27">
        <f t="shared" si="56"/>
        <v>50.200268999999999</v>
      </c>
      <c r="AY269" s="27">
        <f t="shared" si="57"/>
        <v>287.190269</v>
      </c>
      <c r="AZ269" s="27">
        <f t="shared" si="58"/>
        <v>725.70026900000005</v>
      </c>
    </row>
    <row r="270" spans="1:52" ht="15" customHeight="1" x14ac:dyDescent="0.25">
      <c r="A270" s="13" t="str">
        <f>VLOOKUP(L270,[1]VALIDAÇÃO!$D$13:$E$350,2,0)</f>
        <v>DIRETO</v>
      </c>
      <c r="B270" s="14" t="str">
        <f t="shared" si="48"/>
        <v>7RESERVA DO PAIVA SPE 03 LTDA</v>
      </c>
      <c r="C270" s="15">
        <f t="shared" si="59"/>
        <v>7</v>
      </c>
      <c r="D270" s="16" t="str">
        <f t="shared" si="49"/>
        <v>94RESERVA DO PAIVA SPE 03 LTDA</v>
      </c>
      <c r="E270" s="17">
        <f t="shared" si="52"/>
        <v>94</v>
      </c>
      <c r="F270" s="18" t="str">
        <f t="shared" si="50"/>
        <v>92RESERVA DO PAIVA SPE 03 LTDA</v>
      </c>
      <c r="G270" s="18">
        <f t="shared" si="53"/>
        <v>92</v>
      </c>
      <c r="H270" s="19" t="str">
        <f t="shared" si="51"/>
        <v>136RESERVA DO PAIVA SPE 03 LTDA</v>
      </c>
      <c r="I270" s="19">
        <f t="shared" si="54"/>
        <v>136</v>
      </c>
      <c r="J270" s="13" t="s">
        <v>52</v>
      </c>
      <c r="K270" s="13" t="s">
        <v>375</v>
      </c>
      <c r="L270" s="13" t="s">
        <v>66</v>
      </c>
      <c r="M270" s="13" t="s">
        <v>55</v>
      </c>
      <c r="N270" s="20">
        <v>1761.64</v>
      </c>
      <c r="O270" s="20">
        <v>2156</v>
      </c>
      <c r="P270" s="21">
        <v>45708</v>
      </c>
      <c r="Q270" s="22"/>
      <c r="R270" s="23">
        <v>2156</v>
      </c>
      <c r="S270" s="24"/>
      <c r="T270" s="23"/>
      <c r="U270" s="24"/>
      <c r="V270" s="23"/>
      <c r="W270" s="23"/>
      <c r="X270" s="24"/>
      <c r="Y270" s="23"/>
      <c r="Z270" s="23"/>
      <c r="AA270" s="23">
        <v>5.23</v>
      </c>
      <c r="AB270" s="23">
        <v>66.569999999999993</v>
      </c>
      <c r="AC270" s="24">
        <v>342.52857142857147</v>
      </c>
      <c r="AD270" s="23">
        <v>150.21</v>
      </c>
      <c r="AE270" s="24">
        <v>750.95571428571429</v>
      </c>
      <c r="AF270" s="23"/>
      <c r="AG270" s="23"/>
      <c r="AH270" s="23">
        <v>23.240000000000002</v>
      </c>
      <c r="AI270" s="24">
        <v>0</v>
      </c>
      <c r="AJ270" s="25">
        <v>1370.2</v>
      </c>
      <c r="AK270" s="23">
        <v>305.58</v>
      </c>
      <c r="AL270" s="23"/>
      <c r="AM270" s="24"/>
      <c r="AN270" s="23"/>
      <c r="AO270" s="24"/>
      <c r="AP270" s="23"/>
      <c r="AQ270" s="24"/>
      <c r="AR270" s="23">
        <v>48.190000000000005</v>
      </c>
      <c r="AS270" s="23">
        <v>-924</v>
      </c>
      <c r="AT270" s="23"/>
      <c r="AU270" s="24"/>
      <c r="AW270" s="27">
        <f t="shared" si="55"/>
        <v>1370.20027</v>
      </c>
      <c r="AX270" s="27">
        <f t="shared" si="56"/>
        <v>150.21027000000001</v>
      </c>
      <c r="AY270" s="27">
        <f t="shared" si="57"/>
        <v>66.570269999999994</v>
      </c>
      <c r="AZ270" s="27">
        <f t="shared" si="58"/>
        <v>2.7E-4</v>
      </c>
    </row>
    <row r="271" spans="1:52" ht="15" customHeight="1" x14ac:dyDescent="0.25">
      <c r="A271" s="13" t="str">
        <f>VLOOKUP(L271,[1]VALIDAÇÃO!$D$13:$E$350,2,0)</f>
        <v>DIRETO</v>
      </c>
      <c r="B271" s="14" t="str">
        <f t="shared" si="48"/>
        <v>89RESERVA DO PAIVA SPE 03 LTDA</v>
      </c>
      <c r="C271" s="15">
        <f t="shared" si="59"/>
        <v>89</v>
      </c>
      <c r="D271" s="16" t="str">
        <f t="shared" si="49"/>
        <v>101RESERVA DO PAIVA SPE 03 LTDA</v>
      </c>
      <c r="E271" s="17">
        <f t="shared" si="52"/>
        <v>101</v>
      </c>
      <c r="F271" s="18" t="str">
        <f t="shared" si="50"/>
        <v>153RESERVA DO PAIVA SPE 03 LTDA</v>
      </c>
      <c r="G271" s="18">
        <f t="shared" si="53"/>
        <v>153</v>
      </c>
      <c r="H271" s="19" t="str">
        <f t="shared" si="51"/>
        <v>135RESERVA DO PAIVA SPE 03 LTDA</v>
      </c>
      <c r="I271" s="19">
        <f t="shared" si="54"/>
        <v>135</v>
      </c>
      <c r="J271" s="13" t="s">
        <v>52</v>
      </c>
      <c r="K271" s="13" t="s">
        <v>376</v>
      </c>
      <c r="L271" s="13" t="s">
        <v>149</v>
      </c>
      <c r="M271" s="13" t="s">
        <v>55</v>
      </c>
      <c r="N271" s="20">
        <v>799.71</v>
      </c>
      <c r="O271" s="20">
        <v>1622.13</v>
      </c>
      <c r="P271" s="21">
        <v>45971</v>
      </c>
      <c r="Q271" s="22"/>
      <c r="R271" s="23">
        <v>1622.13</v>
      </c>
      <c r="S271" s="24"/>
      <c r="T271" s="23"/>
      <c r="U271" s="24"/>
      <c r="V271" s="23"/>
      <c r="W271" s="23"/>
      <c r="X271" s="24"/>
      <c r="Y271" s="23"/>
      <c r="Z271" s="23"/>
      <c r="AA271" s="23">
        <v>1.1499999999999999</v>
      </c>
      <c r="AB271" s="23"/>
      <c r="AC271" s="24"/>
      <c r="AD271" s="23">
        <v>135.87</v>
      </c>
      <c r="AE271" s="24">
        <v>607</v>
      </c>
      <c r="AF271" s="23"/>
      <c r="AG271" s="23"/>
      <c r="AH271" s="23">
        <v>5.29</v>
      </c>
      <c r="AI271" s="24">
        <v>0</v>
      </c>
      <c r="AJ271" s="25">
        <v>164.29</v>
      </c>
      <c r="AK271" s="23">
        <v>35.720000000000006</v>
      </c>
      <c r="AL271" s="23"/>
      <c r="AM271" s="24"/>
      <c r="AN271" s="23">
        <v>-57.93</v>
      </c>
      <c r="AO271" s="24">
        <v>1</v>
      </c>
      <c r="AP271" s="23"/>
      <c r="AQ271" s="24"/>
      <c r="AR271" s="23">
        <v>29.54</v>
      </c>
      <c r="AS271" s="23">
        <v>-695.2</v>
      </c>
      <c r="AT271" s="23">
        <v>-115.87</v>
      </c>
      <c r="AU271" s="24">
        <v>2</v>
      </c>
      <c r="AW271" s="27">
        <f t="shared" si="55"/>
        <v>164.29027099999999</v>
      </c>
      <c r="AX271" s="27">
        <f t="shared" si="56"/>
        <v>135.870271</v>
      </c>
      <c r="AY271" s="27">
        <f t="shared" si="57"/>
        <v>2.7099999999999997E-4</v>
      </c>
      <c r="AZ271" s="27">
        <f t="shared" si="58"/>
        <v>2.7099999999999997E-4</v>
      </c>
    </row>
    <row r="272" spans="1:52" ht="15" customHeight="1" x14ac:dyDescent="0.25">
      <c r="A272" s="13" t="str">
        <f>VLOOKUP(L272,[1]VALIDAÇÃO!$D$13:$E$350,2,0)</f>
        <v>DIRETO</v>
      </c>
      <c r="B272" s="14" t="str">
        <f t="shared" si="48"/>
        <v>58CONDOMINIO DO EDIFICIO EMPRESARIAL MARIE CURIE</v>
      </c>
      <c r="C272" s="15">
        <f t="shared" si="59"/>
        <v>58</v>
      </c>
      <c r="D272" s="16" t="str">
        <f t="shared" si="49"/>
        <v>14CONDOMINIO DO EDIFICIO EMPRESARIAL MARIE CURIE</v>
      </c>
      <c r="E272" s="17">
        <f t="shared" si="52"/>
        <v>14</v>
      </c>
      <c r="F272" s="18" t="str">
        <f t="shared" si="50"/>
        <v>41CONDOMINIO DO EDIFICIO EMPRESARIAL MARIE CURIE</v>
      </c>
      <c r="G272" s="18">
        <f t="shared" si="53"/>
        <v>41</v>
      </c>
      <c r="H272" s="19" t="str">
        <f t="shared" si="51"/>
        <v>30CONDOMINIO DO EDIFICIO EMPRESARIAL MARIE CURIE</v>
      </c>
      <c r="I272" s="19">
        <f t="shared" si="54"/>
        <v>30</v>
      </c>
      <c r="J272" s="13" t="s">
        <v>57</v>
      </c>
      <c r="K272" s="13" t="s">
        <v>377</v>
      </c>
      <c r="L272" s="13" t="s">
        <v>378</v>
      </c>
      <c r="M272" s="13" t="s">
        <v>60</v>
      </c>
      <c r="N272" s="20">
        <v>1051.6600000000001</v>
      </c>
      <c r="O272" s="20">
        <v>2156</v>
      </c>
      <c r="P272" s="21">
        <v>45558</v>
      </c>
      <c r="Q272" s="22"/>
      <c r="R272" s="23">
        <v>2156</v>
      </c>
      <c r="S272" s="24"/>
      <c r="T272" s="23"/>
      <c r="U272" s="24"/>
      <c r="V272" s="23"/>
      <c r="W272" s="23"/>
      <c r="X272" s="24"/>
      <c r="Y272" s="23"/>
      <c r="Z272" s="23"/>
      <c r="AA272" s="23">
        <v>3.82</v>
      </c>
      <c r="AB272" s="23">
        <v>102.09</v>
      </c>
      <c r="AC272" s="24">
        <v>437.83285714285711</v>
      </c>
      <c r="AD272" s="23">
        <v>369.22</v>
      </c>
      <c r="AE272" s="24">
        <v>1584.45</v>
      </c>
      <c r="AF272" s="23"/>
      <c r="AG272" s="23"/>
      <c r="AH272" s="23">
        <v>18.420000000000002</v>
      </c>
      <c r="AI272" s="24">
        <v>0</v>
      </c>
      <c r="AJ272" s="25">
        <v>438.7</v>
      </c>
      <c r="AK272" s="23">
        <v>93.100000000000009</v>
      </c>
      <c r="AL272" s="23"/>
      <c r="AM272" s="24"/>
      <c r="AN272" s="23"/>
      <c r="AO272" s="24"/>
      <c r="AP272" s="23">
        <v>13.72</v>
      </c>
      <c r="AQ272" s="24">
        <v>50.018571428571427</v>
      </c>
      <c r="AR272" s="23">
        <v>98.63</v>
      </c>
      <c r="AS272" s="23">
        <v>-924</v>
      </c>
      <c r="AT272" s="23"/>
      <c r="AU272" s="24"/>
      <c r="AW272" s="27">
        <f t="shared" si="55"/>
        <v>438.70027199999998</v>
      </c>
      <c r="AX272" s="27">
        <f t="shared" si="56"/>
        <v>369.22027200000002</v>
      </c>
      <c r="AY272" s="27">
        <f t="shared" si="57"/>
        <v>102.090272</v>
      </c>
      <c r="AZ272" s="27">
        <f t="shared" si="58"/>
        <v>13.720272000000001</v>
      </c>
    </row>
    <row r="273" spans="1:52" ht="15" customHeight="1" x14ac:dyDescent="0.25">
      <c r="A273" s="13" t="str">
        <f>VLOOKUP(L273,[1]VALIDAÇÃO!$D$13:$E$350,2,0)</f>
        <v>DIRETO</v>
      </c>
      <c r="B273" s="14" t="str">
        <f t="shared" si="48"/>
        <v>129RIO AVE CARNEIROS 01 SPE LTDA.</v>
      </c>
      <c r="C273" s="15">
        <f t="shared" si="59"/>
        <v>129</v>
      </c>
      <c r="D273" s="16" t="str">
        <f t="shared" si="49"/>
        <v>137RIO AVE CARNEIROS 01 SPE LTDA.</v>
      </c>
      <c r="E273" s="17">
        <f t="shared" si="52"/>
        <v>137</v>
      </c>
      <c r="F273" s="18" t="str">
        <f t="shared" si="50"/>
        <v>144RIO AVE CARNEIROS 01 SPE LTDA.</v>
      </c>
      <c r="G273" s="18">
        <f t="shared" si="53"/>
        <v>144</v>
      </c>
      <c r="H273" s="19" t="str">
        <f t="shared" si="51"/>
        <v>130RIO AVE CARNEIROS 01 SPE LTDA.</v>
      </c>
      <c r="I273" s="19">
        <f t="shared" si="54"/>
        <v>130</v>
      </c>
      <c r="J273" s="13" t="s">
        <v>61</v>
      </c>
      <c r="K273" s="13" t="s">
        <v>379</v>
      </c>
      <c r="L273" s="13" t="s">
        <v>59</v>
      </c>
      <c r="M273" s="13" t="s">
        <v>55</v>
      </c>
      <c r="N273" s="20">
        <v>0</v>
      </c>
      <c r="O273" s="20"/>
      <c r="P273" s="21">
        <v>45581</v>
      </c>
      <c r="Q273" s="22"/>
      <c r="R273" s="23"/>
      <c r="S273" s="24"/>
      <c r="T273" s="23"/>
      <c r="U273" s="24"/>
      <c r="V273" s="23"/>
      <c r="W273" s="23"/>
      <c r="X273" s="24"/>
      <c r="Y273" s="23"/>
      <c r="Z273" s="23"/>
      <c r="AA273" s="23"/>
      <c r="AB273" s="23"/>
      <c r="AC273" s="24"/>
      <c r="AD273" s="23">
        <v>0.95</v>
      </c>
      <c r="AE273" s="24">
        <v>9.58</v>
      </c>
      <c r="AF273" s="23"/>
      <c r="AG273" s="23"/>
      <c r="AH273" s="23"/>
      <c r="AI273" s="24"/>
      <c r="AJ273" s="25">
        <v>17.940000000000001</v>
      </c>
      <c r="AK273" s="23">
        <v>2.56</v>
      </c>
      <c r="AL273" s="23"/>
      <c r="AM273" s="24"/>
      <c r="AN273" s="23"/>
      <c r="AO273" s="24"/>
      <c r="AP273" s="23"/>
      <c r="AQ273" s="24"/>
      <c r="AR273" s="23">
        <v>0.21</v>
      </c>
      <c r="AS273" s="23"/>
      <c r="AT273" s="23"/>
      <c r="AU273" s="24"/>
      <c r="AW273" s="27">
        <f t="shared" si="55"/>
        <v>17.940273000000001</v>
      </c>
      <c r="AX273" s="27">
        <f t="shared" si="56"/>
        <v>0.95027299999999992</v>
      </c>
      <c r="AY273" s="27">
        <f t="shared" si="57"/>
        <v>2.7300000000000002E-4</v>
      </c>
      <c r="AZ273" s="27">
        <f t="shared" si="58"/>
        <v>2.7300000000000002E-4</v>
      </c>
    </row>
    <row r="274" spans="1:52" ht="15" customHeight="1" x14ac:dyDescent="0.25">
      <c r="A274" s="13" t="str">
        <f>VLOOKUP(L274,[1]VALIDAÇÃO!$D$13:$E$350,2,0)</f>
        <v>DIRETO</v>
      </c>
      <c r="B274" s="14" t="str">
        <f t="shared" si="48"/>
        <v>7RIO AVE CARNEIROS 01 SPE LTDA.</v>
      </c>
      <c r="C274" s="15">
        <f t="shared" si="59"/>
        <v>7</v>
      </c>
      <c r="D274" s="16" t="str">
        <f t="shared" si="49"/>
        <v>47RIO AVE CARNEIROS 01 SPE LTDA.</v>
      </c>
      <c r="E274" s="17">
        <f t="shared" si="52"/>
        <v>47</v>
      </c>
      <c r="F274" s="18" t="str">
        <f t="shared" si="50"/>
        <v>58RIO AVE CARNEIROS 01 SPE LTDA.</v>
      </c>
      <c r="G274" s="18">
        <f t="shared" si="53"/>
        <v>58</v>
      </c>
      <c r="H274" s="19" t="str">
        <f t="shared" si="51"/>
        <v>18RIO AVE CARNEIROS 01 SPE LTDA.</v>
      </c>
      <c r="I274" s="19">
        <f t="shared" si="54"/>
        <v>18</v>
      </c>
      <c r="J274" s="13" t="s">
        <v>61</v>
      </c>
      <c r="K274" s="13" t="s">
        <v>380</v>
      </c>
      <c r="L274" s="13" t="s">
        <v>66</v>
      </c>
      <c r="M274" s="13" t="s">
        <v>55</v>
      </c>
      <c r="N274" s="20">
        <v>1593.82</v>
      </c>
      <c r="O274" s="20">
        <v>2156</v>
      </c>
      <c r="P274" s="21">
        <v>45266</v>
      </c>
      <c r="Q274" s="22"/>
      <c r="R274" s="23">
        <v>2156</v>
      </c>
      <c r="S274" s="24"/>
      <c r="T274" s="23"/>
      <c r="U274" s="24"/>
      <c r="V274" s="23"/>
      <c r="W274" s="23"/>
      <c r="X274" s="24"/>
      <c r="Y274" s="23"/>
      <c r="Z274" s="23"/>
      <c r="AA274" s="23">
        <v>8.34</v>
      </c>
      <c r="AB274" s="23">
        <v>100.88</v>
      </c>
      <c r="AC274" s="24">
        <v>435.95714285714286</v>
      </c>
      <c r="AD274" s="23">
        <v>207.42000000000002</v>
      </c>
      <c r="AE274" s="24">
        <v>813.17142857142858</v>
      </c>
      <c r="AF274" s="23"/>
      <c r="AG274" s="23"/>
      <c r="AH274" s="23">
        <v>37.51</v>
      </c>
      <c r="AI274" s="24">
        <v>0</v>
      </c>
      <c r="AJ274" s="25">
        <v>949.3</v>
      </c>
      <c r="AK274" s="23">
        <v>209.29000000000002</v>
      </c>
      <c r="AL274" s="23">
        <v>-61.78</v>
      </c>
      <c r="AM274" s="24">
        <v>353</v>
      </c>
      <c r="AN274" s="23"/>
      <c r="AO274" s="24"/>
      <c r="AP274" s="23">
        <v>56.279999999999994</v>
      </c>
      <c r="AQ274" s="24">
        <v>208.81428571428569</v>
      </c>
      <c r="AR274" s="23">
        <v>79.41</v>
      </c>
      <c r="AS274" s="23">
        <v>-924</v>
      </c>
      <c r="AT274" s="23"/>
      <c r="AU274" s="24"/>
      <c r="AW274" s="27">
        <f t="shared" si="55"/>
        <v>949.30027399999994</v>
      </c>
      <c r="AX274" s="27">
        <f t="shared" si="56"/>
        <v>207.42027400000001</v>
      </c>
      <c r="AY274" s="27">
        <f t="shared" si="57"/>
        <v>100.880274</v>
      </c>
      <c r="AZ274" s="27">
        <f t="shared" si="58"/>
        <v>56.280273999999991</v>
      </c>
    </row>
    <row r="275" spans="1:52" ht="15" customHeight="1" x14ac:dyDescent="0.25">
      <c r="A275" s="13" t="str">
        <f>VLOOKUP(L275,[1]VALIDAÇÃO!$D$13:$E$350,2,0)</f>
        <v>DIRETO</v>
      </c>
      <c r="B275" s="14" t="str">
        <f t="shared" si="48"/>
        <v>25RESERVA DO PAIVA SPE 03 LTDA</v>
      </c>
      <c r="C275" s="15">
        <f t="shared" si="59"/>
        <v>25</v>
      </c>
      <c r="D275" s="16" t="str">
        <f t="shared" si="49"/>
        <v>21RESERVA DO PAIVA SPE 03 LTDA</v>
      </c>
      <c r="E275" s="17">
        <f t="shared" si="52"/>
        <v>21</v>
      </c>
      <c r="F275" s="18" t="str">
        <f t="shared" si="50"/>
        <v>16RESERVA DO PAIVA SPE 03 LTDA</v>
      </c>
      <c r="G275" s="18">
        <f t="shared" si="53"/>
        <v>16</v>
      </c>
      <c r="H275" s="19" t="str">
        <f t="shared" si="51"/>
        <v>5RESERVA DO PAIVA SPE 03 LTDA</v>
      </c>
      <c r="I275" s="19">
        <f t="shared" si="54"/>
        <v>5</v>
      </c>
      <c r="J275" s="13" t="s">
        <v>52</v>
      </c>
      <c r="K275" s="13" t="s">
        <v>381</v>
      </c>
      <c r="L275" s="13" t="s">
        <v>131</v>
      </c>
      <c r="M275" s="13" t="s">
        <v>55</v>
      </c>
      <c r="N275" s="20">
        <v>3000.82</v>
      </c>
      <c r="O275" s="20">
        <v>2156</v>
      </c>
      <c r="P275" s="21">
        <v>45951</v>
      </c>
      <c r="Q275" s="22"/>
      <c r="R275" s="23">
        <v>2156</v>
      </c>
      <c r="S275" s="24"/>
      <c r="T275" s="23"/>
      <c r="U275" s="24"/>
      <c r="V275" s="23"/>
      <c r="W275" s="23"/>
      <c r="X275" s="24"/>
      <c r="Y275" s="23"/>
      <c r="Z275" s="23"/>
      <c r="AA275" s="23">
        <v>26.91</v>
      </c>
      <c r="AB275" s="23">
        <v>369.7</v>
      </c>
      <c r="AC275" s="24">
        <v>1901.4</v>
      </c>
      <c r="AD275" s="23">
        <v>631.80000000000007</v>
      </c>
      <c r="AE275" s="24">
        <v>3377</v>
      </c>
      <c r="AF275" s="23"/>
      <c r="AG275" s="23"/>
      <c r="AH275" s="23">
        <v>123.28</v>
      </c>
      <c r="AI275" s="24">
        <v>0</v>
      </c>
      <c r="AJ275" s="25">
        <v>496.96000000000004</v>
      </c>
      <c r="AK275" s="23">
        <v>108.39</v>
      </c>
      <c r="AL275" s="23"/>
      <c r="AM275" s="24"/>
      <c r="AN275" s="23"/>
      <c r="AO275" s="24"/>
      <c r="AP275" s="23">
        <v>722.66</v>
      </c>
      <c r="AQ275" s="24">
        <v>3963.4</v>
      </c>
      <c r="AR275" s="23">
        <v>396.26</v>
      </c>
      <c r="AS275" s="23">
        <v>-924</v>
      </c>
      <c r="AT275" s="23"/>
      <c r="AU275" s="24"/>
      <c r="AW275" s="27">
        <f t="shared" si="55"/>
        <v>496.96027500000002</v>
      </c>
      <c r="AX275" s="27">
        <f t="shared" si="56"/>
        <v>631.80027500000006</v>
      </c>
      <c r="AY275" s="27">
        <f t="shared" si="57"/>
        <v>369.70027499999998</v>
      </c>
      <c r="AZ275" s="27">
        <f t="shared" si="58"/>
        <v>722.66027499999996</v>
      </c>
    </row>
    <row r="276" spans="1:52" ht="15" customHeight="1" x14ac:dyDescent="0.25">
      <c r="A276" s="13" t="str">
        <f>VLOOKUP(L276,[1]VALIDAÇÃO!$D$13:$E$350,2,0)</f>
        <v>DIRETO</v>
      </c>
      <c r="B276" s="14" t="str">
        <f t="shared" ref="B276:B339" si="60">C276&amp;J276</f>
        <v>24CONDOMINIO DO EDIFICIO EMPRESARIAL MARIE CURIE</v>
      </c>
      <c r="C276" s="15">
        <f t="shared" si="59"/>
        <v>24</v>
      </c>
      <c r="D276" s="16" t="str">
        <f t="shared" ref="D276:D339" si="61">E276&amp;J276</f>
        <v>80CONDOMINIO DO EDIFICIO EMPRESARIAL MARIE CURIE</v>
      </c>
      <c r="E276" s="17">
        <f t="shared" si="52"/>
        <v>80</v>
      </c>
      <c r="F276" s="18" t="str">
        <f t="shared" ref="F276:F339" si="62">G276&amp;J276</f>
        <v>77CONDOMINIO DO EDIFICIO EMPRESARIAL MARIE CURIE</v>
      </c>
      <c r="G276" s="18">
        <f t="shared" si="53"/>
        <v>77</v>
      </c>
      <c r="H276" s="19" t="str">
        <f t="shared" ref="H276:H339" si="63">I276&amp;J276</f>
        <v>93CONDOMINIO DO EDIFICIO EMPRESARIAL MARIE CURIE</v>
      </c>
      <c r="I276" s="19">
        <f t="shared" si="54"/>
        <v>93</v>
      </c>
      <c r="J276" s="13" t="s">
        <v>57</v>
      </c>
      <c r="K276" s="13" t="s">
        <v>382</v>
      </c>
      <c r="L276" s="13" t="s">
        <v>59</v>
      </c>
      <c r="M276" s="13" t="s">
        <v>60</v>
      </c>
      <c r="N276" s="20">
        <v>1668.09</v>
      </c>
      <c r="O276" s="20">
        <v>2156</v>
      </c>
      <c r="P276" s="21">
        <v>45706</v>
      </c>
      <c r="Q276" s="22"/>
      <c r="R276" s="23">
        <v>2156</v>
      </c>
      <c r="S276" s="24"/>
      <c r="T276" s="23"/>
      <c r="U276" s="24"/>
      <c r="V276" s="23"/>
      <c r="W276" s="23"/>
      <c r="X276" s="24"/>
      <c r="Y276" s="23"/>
      <c r="Z276" s="23"/>
      <c r="AA276" s="23">
        <v>1.23</v>
      </c>
      <c r="AB276" s="23">
        <v>17.63</v>
      </c>
      <c r="AC276" s="24">
        <v>90.714285714285708</v>
      </c>
      <c r="AD276" s="23">
        <v>64.67</v>
      </c>
      <c r="AE276" s="24">
        <v>332.71428571428572</v>
      </c>
      <c r="AF276" s="23"/>
      <c r="AG276" s="23"/>
      <c r="AH276" s="23">
        <v>6.16</v>
      </c>
      <c r="AI276" s="24">
        <v>0</v>
      </c>
      <c r="AJ276" s="25">
        <v>876.22</v>
      </c>
      <c r="AK276" s="23">
        <v>189.85</v>
      </c>
      <c r="AL276" s="23"/>
      <c r="AM276" s="24"/>
      <c r="AN276" s="23"/>
      <c r="AO276" s="24"/>
      <c r="AP276" s="23"/>
      <c r="AQ276" s="24"/>
      <c r="AR276" s="23">
        <v>16.23</v>
      </c>
      <c r="AS276" s="23">
        <v>-950</v>
      </c>
      <c r="AT276" s="23"/>
      <c r="AU276" s="24"/>
      <c r="AW276" s="27">
        <f t="shared" si="55"/>
        <v>876.22027600000001</v>
      </c>
      <c r="AX276" s="27">
        <f t="shared" si="56"/>
        <v>64.670276000000001</v>
      </c>
      <c r="AY276" s="27">
        <f t="shared" si="57"/>
        <v>17.630275999999999</v>
      </c>
      <c r="AZ276" s="27">
        <f t="shared" si="58"/>
        <v>2.7599999999999999E-4</v>
      </c>
    </row>
    <row r="277" spans="1:52" ht="15" customHeight="1" x14ac:dyDescent="0.25">
      <c r="A277" s="13" t="str">
        <f>VLOOKUP(L277,[1]VALIDAÇÃO!$D$13:$E$350,2,0)</f>
        <v>DIRETO</v>
      </c>
      <c r="B277" s="14" t="str">
        <f t="shared" si="60"/>
        <v>62RIO AVE CARNEIROS 01 SPE LTDA.</v>
      </c>
      <c r="C277" s="15">
        <f t="shared" si="59"/>
        <v>62</v>
      </c>
      <c r="D277" s="16" t="str">
        <f t="shared" si="61"/>
        <v>20RIO AVE CARNEIROS 01 SPE LTDA.</v>
      </c>
      <c r="E277" s="17">
        <f t="shared" si="52"/>
        <v>20</v>
      </c>
      <c r="F277" s="18" t="str">
        <f t="shared" si="62"/>
        <v>132RIO AVE CARNEIROS 01 SPE LTDA.</v>
      </c>
      <c r="G277" s="18">
        <f t="shared" si="53"/>
        <v>132</v>
      </c>
      <c r="H277" s="19" t="str">
        <f t="shared" si="63"/>
        <v>129RIO AVE CARNEIROS 01 SPE LTDA.</v>
      </c>
      <c r="I277" s="19">
        <f t="shared" si="54"/>
        <v>129</v>
      </c>
      <c r="J277" s="13" t="s">
        <v>61</v>
      </c>
      <c r="K277" s="13" t="s">
        <v>383</v>
      </c>
      <c r="L277" s="13" t="s">
        <v>54</v>
      </c>
      <c r="M277" s="13" t="s">
        <v>55</v>
      </c>
      <c r="N277" s="20">
        <v>1171.7</v>
      </c>
      <c r="O277" s="20">
        <v>1622.13</v>
      </c>
      <c r="P277" s="21">
        <v>45453</v>
      </c>
      <c r="Q277" s="22"/>
      <c r="R277" s="23">
        <v>1622.13</v>
      </c>
      <c r="S277" s="24"/>
      <c r="T277" s="23"/>
      <c r="U277" s="24"/>
      <c r="V277" s="23"/>
      <c r="W277" s="23"/>
      <c r="X277" s="24"/>
      <c r="Y277" s="23"/>
      <c r="Z277" s="23"/>
      <c r="AA277" s="23">
        <v>4.6400000000000006</v>
      </c>
      <c r="AB277" s="23">
        <v>2.46</v>
      </c>
      <c r="AC277" s="24">
        <v>11</v>
      </c>
      <c r="AD277" s="23">
        <v>403.83000000000004</v>
      </c>
      <c r="AE277" s="24">
        <v>1884.9014285714286</v>
      </c>
      <c r="AF277" s="23"/>
      <c r="AG277" s="23"/>
      <c r="AH277" s="23">
        <v>21.33</v>
      </c>
      <c r="AI277" s="24">
        <v>0</v>
      </c>
      <c r="AJ277" s="25">
        <v>397.85</v>
      </c>
      <c r="AK277" s="23">
        <v>87.38</v>
      </c>
      <c r="AL277" s="23"/>
      <c r="AM277" s="24"/>
      <c r="AN277" s="23"/>
      <c r="AO277" s="24"/>
      <c r="AP277" s="23"/>
      <c r="AQ277" s="24"/>
      <c r="AR277" s="23">
        <v>88.399999999999991</v>
      </c>
      <c r="AS277" s="23">
        <v>-695.2</v>
      </c>
      <c r="AT277" s="23"/>
      <c r="AU277" s="24"/>
      <c r="AW277" s="27">
        <f t="shared" si="55"/>
        <v>397.85027700000001</v>
      </c>
      <c r="AX277" s="27">
        <f t="shared" si="56"/>
        <v>403.83027700000002</v>
      </c>
      <c r="AY277" s="27">
        <f t="shared" si="57"/>
        <v>2.460277</v>
      </c>
      <c r="AZ277" s="27">
        <f t="shared" si="58"/>
        <v>2.7700000000000001E-4</v>
      </c>
    </row>
    <row r="278" spans="1:52" ht="15" customHeight="1" x14ac:dyDescent="0.25">
      <c r="A278" s="13" t="str">
        <f>VLOOKUP(L278,[1]VALIDAÇÃO!$D$13:$E$350,2,0)</f>
        <v>DIRETO</v>
      </c>
      <c r="B278" s="14" t="str">
        <f t="shared" si="60"/>
        <v>53RESERVA DO PAIVA SPE 03 LTDA</v>
      </c>
      <c r="C278" s="15">
        <f t="shared" si="59"/>
        <v>53</v>
      </c>
      <c r="D278" s="16" t="str">
        <f t="shared" si="61"/>
        <v>141RESERVA DO PAIVA SPE 03 LTDA</v>
      </c>
      <c r="E278" s="17">
        <f t="shared" si="52"/>
        <v>141</v>
      </c>
      <c r="F278" s="18" t="str">
        <f t="shared" si="62"/>
        <v>152RESERVA DO PAIVA SPE 03 LTDA</v>
      </c>
      <c r="G278" s="18">
        <f t="shared" si="53"/>
        <v>152</v>
      </c>
      <c r="H278" s="19" t="str">
        <f t="shared" si="63"/>
        <v>61RESERVA DO PAIVA SPE 03 LTDA</v>
      </c>
      <c r="I278" s="19">
        <f t="shared" si="54"/>
        <v>61</v>
      </c>
      <c r="J278" s="13" t="s">
        <v>52</v>
      </c>
      <c r="K278" s="13" t="s">
        <v>384</v>
      </c>
      <c r="L278" s="13" t="s">
        <v>63</v>
      </c>
      <c r="M278" s="13" t="s">
        <v>55</v>
      </c>
      <c r="N278" s="20">
        <v>1291.8800000000001</v>
      </c>
      <c r="O278" s="20">
        <v>2156</v>
      </c>
      <c r="P278" s="21">
        <v>45964</v>
      </c>
      <c r="Q278" s="22"/>
      <c r="R278" s="23">
        <v>2156</v>
      </c>
      <c r="S278" s="24"/>
      <c r="T278" s="23"/>
      <c r="U278" s="24"/>
      <c r="V278" s="23"/>
      <c r="W278" s="23"/>
      <c r="X278" s="24"/>
      <c r="Y278" s="23"/>
      <c r="Z278" s="23"/>
      <c r="AA278" s="23">
        <v>0.26</v>
      </c>
      <c r="AB278" s="23"/>
      <c r="AC278" s="24"/>
      <c r="AD278" s="23">
        <v>12.5</v>
      </c>
      <c r="AE278" s="24">
        <v>42</v>
      </c>
      <c r="AF278" s="23"/>
      <c r="AG278" s="23"/>
      <c r="AH278" s="23">
        <v>1.07</v>
      </c>
      <c r="AI278" s="24">
        <v>0</v>
      </c>
      <c r="AJ278" s="25">
        <v>271.53000000000003</v>
      </c>
      <c r="AK278" s="23">
        <v>60.16</v>
      </c>
      <c r="AL278" s="23"/>
      <c r="AM278" s="24"/>
      <c r="AN278" s="23"/>
      <c r="AO278" s="24"/>
      <c r="AP278" s="23">
        <v>44.61</v>
      </c>
      <c r="AQ278" s="24">
        <v>764.80000000000007</v>
      </c>
      <c r="AR278" s="23">
        <v>14.89</v>
      </c>
      <c r="AS278" s="23">
        <v>-924</v>
      </c>
      <c r="AT278" s="23"/>
      <c r="AU278" s="24"/>
      <c r="AW278" s="27">
        <f t="shared" si="55"/>
        <v>271.53027800000001</v>
      </c>
      <c r="AX278" s="27">
        <f t="shared" si="56"/>
        <v>12.500278</v>
      </c>
      <c r="AY278" s="27">
        <f t="shared" si="57"/>
        <v>2.7799999999999998E-4</v>
      </c>
      <c r="AZ278" s="27">
        <f t="shared" si="58"/>
        <v>44.610278000000001</v>
      </c>
    </row>
    <row r="279" spans="1:52" ht="15" customHeight="1" x14ac:dyDescent="0.25">
      <c r="A279" s="13" t="str">
        <f>VLOOKUP(L279,[1]VALIDAÇÃO!$D$13:$E$350,2,0)</f>
        <v>DIRETO</v>
      </c>
      <c r="B279" s="14" t="str">
        <f t="shared" si="60"/>
        <v>84CONDOMINIO DO EDIFICIO EMPRESARIAL MARIE CURIE</v>
      </c>
      <c r="C279" s="15">
        <f t="shared" si="59"/>
        <v>84</v>
      </c>
      <c r="D279" s="16" t="str">
        <f t="shared" si="61"/>
        <v>11CONDOMINIO DO EDIFICIO EMPRESARIAL MARIE CURIE</v>
      </c>
      <c r="E279" s="17">
        <f t="shared" si="52"/>
        <v>11</v>
      </c>
      <c r="F279" s="18" t="str">
        <f t="shared" si="62"/>
        <v>71CONDOMINIO DO EDIFICIO EMPRESARIAL MARIE CURIE</v>
      </c>
      <c r="G279" s="18">
        <f t="shared" si="53"/>
        <v>71</v>
      </c>
      <c r="H279" s="19" t="str">
        <f t="shared" si="63"/>
        <v>92CONDOMINIO DO EDIFICIO EMPRESARIAL MARIE CURIE</v>
      </c>
      <c r="I279" s="19">
        <f t="shared" si="54"/>
        <v>92</v>
      </c>
      <c r="J279" s="13" t="s">
        <v>57</v>
      </c>
      <c r="K279" s="13" t="s">
        <v>385</v>
      </c>
      <c r="L279" s="13" t="s">
        <v>189</v>
      </c>
      <c r="M279" s="13" t="s">
        <v>60</v>
      </c>
      <c r="N279" s="20">
        <v>1437.69</v>
      </c>
      <c r="O279" s="20">
        <v>2156</v>
      </c>
      <c r="P279" s="21">
        <v>45692</v>
      </c>
      <c r="Q279" s="22"/>
      <c r="R279" s="23">
        <v>2156</v>
      </c>
      <c r="S279" s="24"/>
      <c r="T279" s="23"/>
      <c r="U279" s="24"/>
      <c r="V279" s="23"/>
      <c r="W279" s="23">
        <v>0.02</v>
      </c>
      <c r="X279" s="24">
        <v>0.52</v>
      </c>
      <c r="Y279" s="23"/>
      <c r="Z279" s="23"/>
      <c r="AA279" s="23">
        <v>2.52</v>
      </c>
      <c r="AB279" s="23">
        <v>25.05</v>
      </c>
      <c r="AC279" s="24">
        <v>128.88571428571427</v>
      </c>
      <c r="AD279" s="23">
        <v>458.21999999999997</v>
      </c>
      <c r="AE279" s="24">
        <v>1947.232857142857</v>
      </c>
      <c r="AF279" s="23"/>
      <c r="AG279" s="23"/>
      <c r="AH279" s="23">
        <v>11.290000000000001</v>
      </c>
      <c r="AI279" s="24">
        <v>0</v>
      </c>
      <c r="AJ279" s="25">
        <v>215.84</v>
      </c>
      <c r="AK279" s="23">
        <v>48.3</v>
      </c>
      <c r="AL279" s="23">
        <v>-3.18</v>
      </c>
      <c r="AM279" s="24">
        <v>18.190000000000001</v>
      </c>
      <c r="AN279" s="23"/>
      <c r="AO279" s="24"/>
      <c r="AP279" s="23"/>
      <c r="AQ279" s="24"/>
      <c r="AR279" s="23">
        <v>104.58</v>
      </c>
      <c r="AS279" s="23">
        <v>-974</v>
      </c>
      <c r="AT279" s="23"/>
      <c r="AU279" s="24"/>
      <c r="AW279" s="27">
        <f t="shared" si="55"/>
        <v>215.84027900000001</v>
      </c>
      <c r="AX279" s="27">
        <f t="shared" si="56"/>
        <v>458.22027899999995</v>
      </c>
      <c r="AY279" s="27">
        <f t="shared" si="57"/>
        <v>25.050279</v>
      </c>
      <c r="AZ279" s="27">
        <f t="shared" si="58"/>
        <v>2.7900000000000001E-4</v>
      </c>
    </row>
    <row r="280" spans="1:52" ht="15" customHeight="1" x14ac:dyDescent="0.25">
      <c r="A280" s="13" t="str">
        <f>VLOOKUP(L280,[1]VALIDAÇÃO!$D$13:$E$350,2,0)</f>
        <v>DIRETO</v>
      </c>
      <c r="B280" s="14" t="str">
        <f t="shared" si="60"/>
        <v>79RIO AVE CARNEIROS 01 SPE LTDA.</v>
      </c>
      <c r="C280" s="15">
        <f t="shared" si="59"/>
        <v>79</v>
      </c>
      <c r="D280" s="16" t="str">
        <f t="shared" si="61"/>
        <v>51RIO AVE CARNEIROS 01 SPE LTDA.</v>
      </c>
      <c r="E280" s="17">
        <f t="shared" si="52"/>
        <v>51</v>
      </c>
      <c r="F280" s="18" t="str">
        <f t="shared" si="62"/>
        <v>107RIO AVE CARNEIROS 01 SPE LTDA.</v>
      </c>
      <c r="G280" s="18">
        <f t="shared" si="53"/>
        <v>107</v>
      </c>
      <c r="H280" s="19" t="str">
        <f t="shared" si="63"/>
        <v>47RIO AVE CARNEIROS 01 SPE LTDA.</v>
      </c>
      <c r="I280" s="19">
        <f t="shared" si="54"/>
        <v>47</v>
      </c>
      <c r="J280" s="13" t="s">
        <v>61</v>
      </c>
      <c r="K280" s="13" t="s">
        <v>386</v>
      </c>
      <c r="L280" s="13" t="s">
        <v>54</v>
      </c>
      <c r="M280" s="13" t="s">
        <v>55</v>
      </c>
      <c r="N280" s="20">
        <v>1183.72</v>
      </c>
      <c r="O280" s="20">
        <v>1622.13</v>
      </c>
      <c r="P280" s="21">
        <v>45964</v>
      </c>
      <c r="Q280" s="22"/>
      <c r="R280" s="23">
        <v>1622.13</v>
      </c>
      <c r="S280" s="24"/>
      <c r="T280" s="23"/>
      <c r="U280" s="24"/>
      <c r="V280" s="23"/>
      <c r="W280" s="23"/>
      <c r="X280" s="24"/>
      <c r="Y280" s="23"/>
      <c r="Z280" s="23"/>
      <c r="AA280" s="23">
        <v>3.84</v>
      </c>
      <c r="AB280" s="23">
        <v>28.24</v>
      </c>
      <c r="AC280" s="24">
        <v>756.80000000000007</v>
      </c>
      <c r="AD280" s="23">
        <v>169.26000000000002</v>
      </c>
      <c r="AE280" s="24">
        <v>1972.2</v>
      </c>
      <c r="AF280" s="23"/>
      <c r="AG280" s="23"/>
      <c r="AH280" s="23">
        <v>15.379999999999999</v>
      </c>
      <c r="AI280" s="24">
        <v>0</v>
      </c>
      <c r="AJ280" s="25">
        <v>322</v>
      </c>
      <c r="AK280" s="23">
        <v>75.09</v>
      </c>
      <c r="AL280" s="23"/>
      <c r="AM280" s="24"/>
      <c r="AN280" s="23"/>
      <c r="AO280" s="24"/>
      <c r="AP280" s="23">
        <v>33.979999999999997</v>
      </c>
      <c r="AQ280" s="24">
        <v>774.40000000000009</v>
      </c>
      <c r="AR280" s="23">
        <v>56.78</v>
      </c>
      <c r="AS280" s="23">
        <v>-775.2</v>
      </c>
      <c r="AT280" s="23"/>
      <c r="AU280" s="24"/>
      <c r="AW280" s="27">
        <f t="shared" si="55"/>
        <v>322.00027999999998</v>
      </c>
      <c r="AX280" s="27">
        <f t="shared" si="56"/>
        <v>169.26028000000002</v>
      </c>
      <c r="AY280" s="27">
        <f t="shared" si="57"/>
        <v>28.240279999999998</v>
      </c>
      <c r="AZ280" s="27">
        <f t="shared" si="58"/>
        <v>33.980279999999993</v>
      </c>
    </row>
    <row r="281" spans="1:52" ht="15" customHeight="1" x14ac:dyDescent="0.25">
      <c r="A281" s="13" t="str">
        <f>VLOOKUP(L281,[1]VALIDAÇÃO!$D$13:$E$350,2,0)</f>
        <v>DIRETO</v>
      </c>
      <c r="B281" s="14" t="str">
        <f t="shared" si="60"/>
        <v>10RIO AVE PRAIA HOTEL SPE LTDA.</v>
      </c>
      <c r="C281" s="15">
        <f t="shared" si="59"/>
        <v>10</v>
      </c>
      <c r="D281" s="16" t="str">
        <f t="shared" si="61"/>
        <v>6RIO AVE PRAIA HOTEL SPE LTDA.</v>
      </c>
      <c r="E281" s="17">
        <f t="shared" si="52"/>
        <v>6</v>
      </c>
      <c r="F281" s="18" t="str">
        <f t="shared" si="62"/>
        <v>10RIO AVE PRAIA HOTEL SPE LTDA.</v>
      </c>
      <c r="G281" s="18">
        <f t="shared" si="53"/>
        <v>10</v>
      </c>
      <c r="H281" s="19" t="str">
        <f t="shared" si="63"/>
        <v>15RIO AVE PRAIA HOTEL SPE LTDA.</v>
      </c>
      <c r="I281" s="19">
        <f t="shared" si="54"/>
        <v>15</v>
      </c>
      <c r="J281" s="13" t="s">
        <v>80</v>
      </c>
      <c r="K281" s="13" t="s">
        <v>387</v>
      </c>
      <c r="L281" s="13" t="s">
        <v>54</v>
      </c>
      <c r="M281" s="13" t="s">
        <v>82</v>
      </c>
      <c r="N281" s="20">
        <v>1505.94</v>
      </c>
      <c r="O281" s="20">
        <v>1564.2</v>
      </c>
      <c r="P281" s="21">
        <v>45383</v>
      </c>
      <c r="Q281" s="22"/>
      <c r="R281" s="23">
        <v>1564.2</v>
      </c>
      <c r="S281" s="24"/>
      <c r="T281" s="23"/>
      <c r="U281" s="24"/>
      <c r="V281" s="23"/>
      <c r="W281" s="23"/>
      <c r="X281" s="24"/>
      <c r="Y281" s="23"/>
      <c r="Z281" s="23"/>
      <c r="AA281" s="23">
        <v>10.050000000000001</v>
      </c>
      <c r="AB281" s="23">
        <v>367.26</v>
      </c>
      <c r="AC281" s="24">
        <v>1787.0471428571427</v>
      </c>
      <c r="AD281" s="23">
        <v>396.03999999999996</v>
      </c>
      <c r="AE281" s="24">
        <v>1921.94</v>
      </c>
      <c r="AF281" s="23"/>
      <c r="AG281" s="23"/>
      <c r="AH281" s="23">
        <v>47.39</v>
      </c>
      <c r="AI281" s="24">
        <v>0</v>
      </c>
      <c r="AJ281" s="25">
        <v>427.65</v>
      </c>
      <c r="AK281" s="23">
        <v>89.82</v>
      </c>
      <c r="AL281" s="23"/>
      <c r="AM281" s="24"/>
      <c r="AN281" s="23"/>
      <c r="AO281" s="24"/>
      <c r="AP281" s="23">
        <v>290.92</v>
      </c>
      <c r="AQ281" s="24">
        <v>1104.73</v>
      </c>
      <c r="AR281" s="23">
        <v>221.76999999999998</v>
      </c>
      <c r="AS281" s="23">
        <v>-695.2</v>
      </c>
      <c r="AT281" s="23"/>
      <c r="AU281" s="24"/>
      <c r="AW281" s="27">
        <f t="shared" si="55"/>
        <v>427.65028099999995</v>
      </c>
      <c r="AX281" s="27">
        <f t="shared" si="56"/>
        <v>396.04028099999994</v>
      </c>
      <c r="AY281" s="27">
        <f t="shared" si="57"/>
        <v>367.26028099999996</v>
      </c>
      <c r="AZ281" s="27">
        <f t="shared" si="58"/>
        <v>290.92028099999999</v>
      </c>
    </row>
    <row r="282" spans="1:52" ht="15" customHeight="1" x14ac:dyDescent="0.25">
      <c r="A282" s="13" t="str">
        <f>VLOOKUP(L282,[1]VALIDAÇÃO!$D$13:$E$350,2,0)</f>
        <v>DIRETO</v>
      </c>
      <c r="B282" s="14" t="str">
        <f t="shared" si="60"/>
        <v>64RESERVA DO PAIVA SPE 01 LTDA.</v>
      </c>
      <c r="C282" s="15">
        <f t="shared" si="59"/>
        <v>64</v>
      </c>
      <c r="D282" s="16" t="str">
        <f t="shared" si="61"/>
        <v>48RESERVA DO PAIVA SPE 01 LTDA.</v>
      </c>
      <c r="E282" s="17">
        <f t="shared" si="52"/>
        <v>48</v>
      </c>
      <c r="F282" s="18" t="str">
        <f t="shared" si="62"/>
        <v>24RESERVA DO PAIVA SPE 01 LTDA.</v>
      </c>
      <c r="G282" s="18">
        <f t="shared" si="53"/>
        <v>24</v>
      </c>
      <c r="H282" s="19" t="str">
        <f t="shared" si="63"/>
        <v>59RESERVA DO PAIVA SPE 01 LTDA.</v>
      </c>
      <c r="I282" s="19">
        <f t="shared" si="54"/>
        <v>59</v>
      </c>
      <c r="J282" s="13" t="s">
        <v>68</v>
      </c>
      <c r="K282" s="13" t="s">
        <v>388</v>
      </c>
      <c r="L282" s="13" t="s">
        <v>54</v>
      </c>
      <c r="M282" s="13" t="s">
        <v>55</v>
      </c>
      <c r="N282" s="20">
        <v>1008.05</v>
      </c>
      <c r="O282" s="20">
        <v>1622.13</v>
      </c>
      <c r="P282" s="21">
        <v>45222</v>
      </c>
      <c r="Q282" s="22"/>
      <c r="R282" s="23">
        <v>1622.13</v>
      </c>
      <c r="S282" s="24"/>
      <c r="T282" s="23"/>
      <c r="U282" s="24"/>
      <c r="V282" s="23"/>
      <c r="W282" s="23"/>
      <c r="X282" s="24"/>
      <c r="Y282" s="23"/>
      <c r="Z282" s="23"/>
      <c r="AA282" s="23">
        <v>6.58</v>
      </c>
      <c r="AB282" s="23">
        <v>398.81</v>
      </c>
      <c r="AC282" s="24">
        <v>2018.2957142857142</v>
      </c>
      <c r="AD282" s="23">
        <v>154.51</v>
      </c>
      <c r="AE282" s="24">
        <v>889.22142857142865</v>
      </c>
      <c r="AF282" s="23"/>
      <c r="AG282" s="23"/>
      <c r="AH282" s="23">
        <v>29.96</v>
      </c>
      <c r="AI282" s="24">
        <v>0</v>
      </c>
      <c r="AJ282" s="25">
        <v>385.71000000000004</v>
      </c>
      <c r="AK282" s="23">
        <v>82.49</v>
      </c>
      <c r="AL282" s="23">
        <v>-18.579999999999998</v>
      </c>
      <c r="AM282" s="24">
        <v>141.13999999999999</v>
      </c>
      <c r="AN282" s="23">
        <v>-115.87</v>
      </c>
      <c r="AO282" s="24">
        <v>2</v>
      </c>
      <c r="AP282" s="23">
        <v>205.41000000000003</v>
      </c>
      <c r="AQ282" s="24">
        <v>831.85142857142853</v>
      </c>
      <c r="AR282" s="23">
        <v>155.5</v>
      </c>
      <c r="AS282" s="23">
        <v>-695.2</v>
      </c>
      <c r="AT282" s="23">
        <v>-115.87</v>
      </c>
      <c r="AU282" s="24">
        <v>2</v>
      </c>
      <c r="AW282" s="27">
        <f t="shared" si="55"/>
        <v>385.71028200000006</v>
      </c>
      <c r="AX282" s="27">
        <f t="shared" si="56"/>
        <v>154.51028199999999</v>
      </c>
      <c r="AY282" s="27">
        <f t="shared" si="57"/>
        <v>398.81028200000003</v>
      </c>
      <c r="AZ282" s="27">
        <f t="shared" si="58"/>
        <v>205.41028200000002</v>
      </c>
    </row>
    <row r="283" spans="1:52" ht="15" customHeight="1" x14ac:dyDescent="0.25">
      <c r="A283" s="13" t="str">
        <f>VLOOKUP(L283,[1]VALIDAÇÃO!$D$13:$E$350,2,0)</f>
        <v>DIRETO</v>
      </c>
      <c r="B283" s="14" t="str">
        <f t="shared" si="60"/>
        <v>75CONDOMINIO DO EDIFICIO EMPRESARIAL MARIE CURIE</v>
      </c>
      <c r="C283" s="15">
        <f t="shared" si="59"/>
        <v>75</v>
      </c>
      <c r="D283" s="16" t="str">
        <f t="shared" si="61"/>
        <v>43CONDOMINIO DO EDIFICIO EMPRESARIAL MARIE CURIE</v>
      </c>
      <c r="E283" s="17">
        <f t="shared" si="52"/>
        <v>43</v>
      </c>
      <c r="F283" s="18" t="str">
        <f t="shared" si="62"/>
        <v>76CONDOMINIO DO EDIFICIO EMPRESARIAL MARIE CURIE</v>
      </c>
      <c r="G283" s="18">
        <f t="shared" si="53"/>
        <v>76</v>
      </c>
      <c r="H283" s="19" t="str">
        <f t="shared" si="63"/>
        <v>33CONDOMINIO DO EDIFICIO EMPRESARIAL MARIE CURIE</v>
      </c>
      <c r="I283" s="19">
        <f t="shared" si="54"/>
        <v>33</v>
      </c>
      <c r="J283" s="13" t="s">
        <v>57</v>
      </c>
      <c r="K283" s="13" t="s">
        <v>389</v>
      </c>
      <c r="L283" s="13" t="s">
        <v>149</v>
      </c>
      <c r="M283" s="13" t="s">
        <v>60</v>
      </c>
      <c r="N283" s="20">
        <v>1047.5899999999999</v>
      </c>
      <c r="O283" s="20">
        <v>1622.13</v>
      </c>
      <c r="P283" s="21">
        <v>45839</v>
      </c>
      <c r="Q283" s="22"/>
      <c r="R283" s="23">
        <v>1622.13</v>
      </c>
      <c r="S283" s="24"/>
      <c r="T283" s="23"/>
      <c r="U283" s="24"/>
      <c r="V283" s="23"/>
      <c r="W283" s="23">
        <v>0.02</v>
      </c>
      <c r="X283" s="24">
        <v>1.8</v>
      </c>
      <c r="Y283" s="23"/>
      <c r="Z283" s="23"/>
      <c r="AA283" s="23">
        <v>2.0700000000000003</v>
      </c>
      <c r="AB283" s="23">
        <v>18.509999999999998</v>
      </c>
      <c r="AC283" s="24">
        <v>196.85714285714286</v>
      </c>
      <c r="AD283" s="23">
        <v>192.63</v>
      </c>
      <c r="AE283" s="24">
        <v>1018.9857142857143</v>
      </c>
      <c r="AF283" s="23"/>
      <c r="AG283" s="23"/>
      <c r="AH283" s="23">
        <v>9.7999999999999989</v>
      </c>
      <c r="AI283" s="24">
        <v>0</v>
      </c>
      <c r="AJ283" s="25">
        <v>281.18</v>
      </c>
      <c r="AK283" s="23">
        <v>61.02</v>
      </c>
      <c r="AL283" s="23"/>
      <c r="AM283" s="24"/>
      <c r="AN283" s="23"/>
      <c r="AO283" s="24"/>
      <c r="AP283" s="23">
        <v>9.1</v>
      </c>
      <c r="AQ283" s="24">
        <v>82.285714285714278</v>
      </c>
      <c r="AR283" s="23">
        <v>45.38</v>
      </c>
      <c r="AS283" s="23">
        <v>-695.2</v>
      </c>
      <c r="AT283" s="23"/>
      <c r="AU283" s="24"/>
      <c r="AW283" s="27">
        <f t="shared" si="55"/>
        <v>281.18028300000003</v>
      </c>
      <c r="AX283" s="27">
        <f t="shared" si="56"/>
        <v>192.63028299999999</v>
      </c>
      <c r="AY283" s="27">
        <f t="shared" si="57"/>
        <v>18.510282999999998</v>
      </c>
      <c r="AZ283" s="27">
        <f t="shared" si="58"/>
        <v>9.1002829999999992</v>
      </c>
    </row>
    <row r="284" spans="1:52" ht="15" customHeight="1" x14ac:dyDescent="0.25">
      <c r="A284" s="13" t="str">
        <f>VLOOKUP(L284,[1]VALIDAÇÃO!$D$13:$E$350,2,0)</f>
        <v>INDIRETO</v>
      </c>
      <c r="B284" s="14" t="str">
        <f t="shared" si="60"/>
        <v>141RIO AVE CARNEIROS 01 SPE LTDA.</v>
      </c>
      <c r="C284" s="15">
        <f t="shared" si="59"/>
        <v>141</v>
      </c>
      <c r="D284" s="16" t="str">
        <f t="shared" si="61"/>
        <v>10RIO AVE CARNEIROS 01 SPE LTDA.</v>
      </c>
      <c r="E284" s="17">
        <f t="shared" si="52"/>
        <v>10</v>
      </c>
      <c r="F284" s="18" t="str">
        <f t="shared" si="62"/>
        <v>91RIO AVE CARNEIROS 01 SPE LTDA.</v>
      </c>
      <c r="G284" s="18">
        <f t="shared" si="53"/>
        <v>91</v>
      </c>
      <c r="H284" s="19" t="str">
        <f t="shared" si="63"/>
        <v>4RIO AVE CARNEIROS 01 SPE LTDA.</v>
      </c>
      <c r="I284" s="19">
        <f t="shared" si="54"/>
        <v>4</v>
      </c>
      <c r="J284" s="13" t="s">
        <v>61</v>
      </c>
      <c r="K284" s="13" t="s">
        <v>390</v>
      </c>
      <c r="L284" s="13" t="s">
        <v>162</v>
      </c>
      <c r="M284" s="13" t="s">
        <v>85</v>
      </c>
      <c r="N284" s="20">
        <v>2137.21</v>
      </c>
      <c r="O284" s="20">
        <v>4047.56</v>
      </c>
      <c r="P284" s="21">
        <v>45938</v>
      </c>
      <c r="Q284" s="22"/>
      <c r="R284" s="23">
        <v>4047.56</v>
      </c>
      <c r="S284" s="24"/>
      <c r="T284" s="23"/>
      <c r="U284" s="24"/>
      <c r="V284" s="23"/>
      <c r="W284" s="23"/>
      <c r="X284" s="24"/>
      <c r="Y284" s="23"/>
      <c r="Z284" s="23"/>
      <c r="AA284" s="23"/>
      <c r="AB284" s="23">
        <v>46.03</v>
      </c>
      <c r="AC284" s="24">
        <v>336.42857142857144</v>
      </c>
      <c r="AD284" s="23">
        <v>654.59</v>
      </c>
      <c r="AE284" s="24">
        <v>2112</v>
      </c>
      <c r="AF284" s="23"/>
      <c r="AG284" s="23"/>
      <c r="AH284" s="23"/>
      <c r="AI284" s="24"/>
      <c r="AJ284" s="25"/>
      <c r="AK284" s="23"/>
      <c r="AL284" s="23">
        <v>-36.14</v>
      </c>
      <c r="AM284" s="24">
        <v>110</v>
      </c>
      <c r="AN284" s="23"/>
      <c r="AO284" s="24"/>
      <c r="AP284" s="23">
        <v>145.21</v>
      </c>
      <c r="AQ284" s="24">
        <v>221</v>
      </c>
      <c r="AR284" s="23">
        <v>197.88</v>
      </c>
      <c r="AS284" s="23">
        <v>-1734.67</v>
      </c>
      <c r="AT284" s="23"/>
      <c r="AU284" s="24"/>
      <c r="AW284" s="27">
        <f t="shared" si="55"/>
        <v>2.8400000000000002E-4</v>
      </c>
      <c r="AX284" s="27">
        <f t="shared" si="56"/>
        <v>654.590284</v>
      </c>
      <c r="AY284" s="27">
        <f t="shared" si="57"/>
        <v>46.030284000000002</v>
      </c>
      <c r="AZ284" s="27">
        <f t="shared" si="58"/>
        <v>145.210284</v>
      </c>
    </row>
    <row r="285" spans="1:52" ht="15" customHeight="1" x14ac:dyDescent="0.25">
      <c r="A285" s="13" t="str">
        <f>VLOOKUP(L285,[1]VALIDAÇÃO!$D$13:$E$350,2,0)</f>
        <v>DIRETO</v>
      </c>
      <c r="B285" s="14" t="str">
        <f t="shared" si="60"/>
        <v>54RESERVA DO PAIVA SPE 03 LTDA</v>
      </c>
      <c r="C285" s="15">
        <f t="shared" si="59"/>
        <v>54</v>
      </c>
      <c r="D285" s="16" t="str">
        <f t="shared" si="61"/>
        <v>12RESERVA DO PAIVA SPE 03 LTDA</v>
      </c>
      <c r="E285" s="17">
        <f t="shared" si="52"/>
        <v>12</v>
      </c>
      <c r="F285" s="18" t="str">
        <f t="shared" si="62"/>
        <v>9RESERVA DO PAIVA SPE 03 LTDA</v>
      </c>
      <c r="G285" s="18">
        <f t="shared" si="53"/>
        <v>9</v>
      </c>
      <c r="H285" s="19" t="str">
        <f t="shared" si="63"/>
        <v>18RESERVA DO PAIVA SPE 03 LTDA</v>
      </c>
      <c r="I285" s="19">
        <f t="shared" si="54"/>
        <v>18</v>
      </c>
      <c r="J285" s="13" t="s">
        <v>52</v>
      </c>
      <c r="K285" s="13" t="s">
        <v>391</v>
      </c>
      <c r="L285" s="13" t="s">
        <v>54</v>
      </c>
      <c r="M285" s="13" t="s">
        <v>55</v>
      </c>
      <c r="N285" s="20">
        <v>1990.29</v>
      </c>
      <c r="O285" s="20">
        <v>1622.13</v>
      </c>
      <c r="P285" s="21">
        <v>45603</v>
      </c>
      <c r="Q285" s="22"/>
      <c r="R285" s="23">
        <v>1622.13</v>
      </c>
      <c r="S285" s="24"/>
      <c r="T285" s="23"/>
      <c r="U285" s="24"/>
      <c r="V285" s="23"/>
      <c r="W285" s="23"/>
      <c r="X285" s="24"/>
      <c r="Y285" s="23"/>
      <c r="Z285" s="23"/>
      <c r="AA285" s="23">
        <v>10.34</v>
      </c>
      <c r="AB285" s="23">
        <v>437.48</v>
      </c>
      <c r="AC285" s="24">
        <v>2197.5471428571427</v>
      </c>
      <c r="AD285" s="23">
        <v>752.22</v>
      </c>
      <c r="AE285" s="24">
        <v>3893.0771428571429</v>
      </c>
      <c r="AF285" s="23"/>
      <c r="AG285" s="23"/>
      <c r="AH285" s="23">
        <v>46.519999999999996</v>
      </c>
      <c r="AI285" s="24">
        <v>0</v>
      </c>
      <c r="AJ285" s="25">
        <v>262.14999999999998</v>
      </c>
      <c r="AK285" s="23">
        <v>57.15</v>
      </c>
      <c r="AL285" s="23"/>
      <c r="AM285" s="24"/>
      <c r="AN285" s="23"/>
      <c r="AO285" s="24"/>
      <c r="AP285" s="23">
        <v>366.36</v>
      </c>
      <c r="AQ285" s="24">
        <v>1527.3214285714284</v>
      </c>
      <c r="AR285" s="23">
        <v>342.84</v>
      </c>
      <c r="AS285" s="23">
        <v>-795.2</v>
      </c>
      <c r="AT285" s="23"/>
      <c r="AU285" s="24"/>
      <c r="AW285" s="27">
        <f t="shared" si="55"/>
        <v>262.150285</v>
      </c>
      <c r="AX285" s="27">
        <f t="shared" si="56"/>
        <v>752.22028499999999</v>
      </c>
      <c r="AY285" s="27">
        <f t="shared" si="57"/>
        <v>437.48028500000004</v>
      </c>
      <c r="AZ285" s="27">
        <f t="shared" si="58"/>
        <v>366.36028500000003</v>
      </c>
    </row>
    <row r="286" spans="1:52" ht="15" customHeight="1" x14ac:dyDescent="0.25">
      <c r="A286" s="13" t="str">
        <f>VLOOKUP(L286,[1]VALIDAÇÃO!$D$13:$E$350,2,0)</f>
        <v>DIRETO</v>
      </c>
      <c r="B286" s="14" t="str">
        <f t="shared" si="60"/>
        <v>26RIO AVE CARNEIROS 01 SPE LTDA.</v>
      </c>
      <c r="C286" s="15">
        <f t="shared" si="59"/>
        <v>26</v>
      </c>
      <c r="D286" s="16" t="str">
        <f t="shared" si="61"/>
        <v>108RIO AVE CARNEIROS 01 SPE LTDA.</v>
      </c>
      <c r="E286" s="17">
        <f t="shared" si="52"/>
        <v>108</v>
      </c>
      <c r="F286" s="18" t="str">
        <f t="shared" si="62"/>
        <v>14RIO AVE CARNEIROS 01 SPE LTDA.</v>
      </c>
      <c r="G286" s="18">
        <f t="shared" si="53"/>
        <v>14</v>
      </c>
      <c r="H286" s="19" t="str">
        <f t="shared" si="63"/>
        <v>3RIO AVE CARNEIROS 01 SPE LTDA.</v>
      </c>
      <c r="I286" s="19">
        <f t="shared" si="54"/>
        <v>3</v>
      </c>
      <c r="J286" s="13" t="s">
        <v>61</v>
      </c>
      <c r="K286" s="13" t="s">
        <v>392</v>
      </c>
      <c r="L286" s="13" t="s">
        <v>63</v>
      </c>
      <c r="M286" s="13" t="s">
        <v>55</v>
      </c>
      <c r="N286" s="20">
        <v>1720</v>
      </c>
      <c r="O286" s="20">
        <v>2156</v>
      </c>
      <c r="P286" s="21">
        <v>45792</v>
      </c>
      <c r="Q286" s="22"/>
      <c r="R286" s="23">
        <v>2156</v>
      </c>
      <c r="S286" s="24"/>
      <c r="T286" s="23"/>
      <c r="U286" s="24"/>
      <c r="V286" s="23"/>
      <c r="W286" s="23"/>
      <c r="X286" s="24"/>
      <c r="Y286" s="23"/>
      <c r="Z286" s="23"/>
      <c r="AA286" s="23">
        <v>5.05</v>
      </c>
      <c r="AB286" s="23">
        <v>216.05</v>
      </c>
      <c r="AC286" s="24">
        <v>956.9571428571428</v>
      </c>
      <c r="AD286" s="23">
        <v>14.15</v>
      </c>
      <c r="AE286" s="24">
        <v>79.157142857142858</v>
      </c>
      <c r="AF286" s="23"/>
      <c r="AG286" s="23"/>
      <c r="AH286" s="23">
        <v>23.42</v>
      </c>
      <c r="AI286" s="24">
        <v>0</v>
      </c>
      <c r="AJ286" s="25">
        <v>608.87</v>
      </c>
      <c r="AK286" s="23">
        <v>131.41</v>
      </c>
      <c r="AL286" s="23"/>
      <c r="AM286" s="24"/>
      <c r="AN286" s="23"/>
      <c r="AO286" s="24"/>
      <c r="AP286" s="23">
        <v>166.95</v>
      </c>
      <c r="AQ286" s="24">
        <v>477</v>
      </c>
      <c r="AR286" s="23">
        <v>86.429999999999993</v>
      </c>
      <c r="AS286" s="23">
        <v>-924</v>
      </c>
      <c r="AT286" s="23"/>
      <c r="AU286" s="24"/>
      <c r="AW286" s="27">
        <f t="shared" si="55"/>
        <v>608.87028599999996</v>
      </c>
      <c r="AX286" s="27">
        <f t="shared" si="56"/>
        <v>14.150285999999999</v>
      </c>
      <c r="AY286" s="27">
        <f t="shared" si="57"/>
        <v>216.050286</v>
      </c>
      <c r="AZ286" s="27">
        <f t="shared" si="58"/>
        <v>166.95028599999998</v>
      </c>
    </row>
    <row r="287" spans="1:52" ht="15" customHeight="1" x14ac:dyDescent="0.25">
      <c r="A287" s="13" t="str">
        <f>VLOOKUP(L287,[1]VALIDAÇÃO!$D$13:$E$350,2,0)</f>
        <v>DIRETO</v>
      </c>
      <c r="B287" s="14" t="str">
        <f t="shared" si="60"/>
        <v>29RIO AVE 200 SPE LTDA.</v>
      </c>
      <c r="C287" s="15">
        <f t="shared" si="59"/>
        <v>29</v>
      </c>
      <c r="D287" s="16" t="str">
        <f t="shared" si="61"/>
        <v>10RIO AVE 200 SPE LTDA.</v>
      </c>
      <c r="E287" s="17">
        <f t="shared" si="52"/>
        <v>10</v>
      </c>
      <c r="F287" s="18" t="str">
        <f t="shared" si="62"/>
        <v>5RIO AVE 200 SPE LTDA.</v>
      </c>
      <c r="G287" s="18">
        <f t="shared" si="53"/>
        <v>5</v>
      </c>
      <c r="H287" s="19" t="str">
        <f t="shared" si="63"/>
        <v>5RIO AVE 200 SPE LTDA.</v>
      </c>
      <c r="I287" s="19">
        <f t="shared" si="54"/>
        <v>5</v>
      </c>
      <c r="J287" s="13" t="s">
        <v>48</v>
      </c>
      <c r="K287" s="13" t="s">
        <v>393</v>
      </c>
      <c r="L287" s="13" t="s">
        <v>54</v>
      </c>
      <c r="M287" s="13" t="s">
        <v>55</v>
      </c>
      <c r="N287" s="20">
        <v>1530.8</v>
      </c>
      <c r="O287" s="20">
        <v>1622.13</v>
      </c>
      <c r="P287" s="21">
        <v>45839</v>
      </c>
      <c r="Q287" s="22"/>
      <c r="R287" s="23">
        <v>1622.13</v>
      </c>
      <c r="S287" s="24"/>
      <c r="T287" s="23"/>
      <c r="U287" s="24"/>
      <c r="V287" s="23"/>
      <c r="W287" s="23"/>
      <c r="X287" s="24"/>
      <c r="Y287" s="23"/>
      <c r="Z287" s="23"/>
      <c r="AA287" s="23">
        <v>10.69</v>
      </c>
      <c r="AB287" s="23">
        <v>209.19000000000003</v>
      </c>
      <c r="AC287" s="24">
        <v>1562.2857142857142</v>
      </c>
      <c r="AD287" s="23">
        <v>318.27</v>
      </c>
      <c r="AE287" s="24">
        <v>2211.7142857142858</v>
      </c>
      <c r="AF287" s="23"/>
      <c r="AG287" s="23"/>
      <c r="AH287" s="23">
        <v>47.86</v>
      </c>
      <c r="AI287" s="24">
        <v>0</v>
      </c>
      <c r="AJ287" s="25">
        <v>497.22</v>
      </c>
      <c r="AK287" s="23">
        <v>109.56</v>
      </c>
      <c r="AL287" s="23"/>
      <c r="AM287" s="24"/>
      <c r="AN287" s="23"/>
      <c r="AO287" s="24"/>
      <c r="AP287" s="23">
        <v>129.25</v>
      </c>
      <c r="AQ287" s="24">
        <v>588.57142857142856</v>
      </c>
      <c r="AR287" s="23">
        <v>141.9</v>
      </c>
      <c r="AS287" s="23">
        <v>-695.2</v>
      </c>
      <c r="AT287" s="23"/>
      <c r="AU287" s="24"/>
      <c r="AW287" s="27">
        <f t="shared" si="55"/>
        <v>497.22028700000004</v>
      </c>
      <c r="AX287" s="27">
        <f t="shared" si="56"/>
        <v>318.270287</v>
      </c>
      <c r="AY287" s="27">
        <f t="shared" si="57"/>
        <v>209.19028700000001</v>
      </c>
      <c r="AZ287" s="27">
        <f t="shared" si="58"/>
        <v>129.25028699999999</v>
      </c>
    </row>
    <row r="288" spans="1:52" ht="15" customHeight="1" x14ac:dyDescent="0.25">
      <c r="A288" s="13" t="str">
        <f>VLOOKUP(L288,[1]VALIDAÇÃO!$D$13:$E$350,2,0)</f>
        <v>INDIRETO</v>
      </c>
      <c r="B288" s="14" t="str">
        <f t="shared" si="60"/>
        <v>120CONDOMINIO DO EDIFICIO EMPRESARIAL MARIE CURIE</v>
      </c>
      <c r="C288" s="15">
        <f t="shared" si="59"/>
        <v>120</v>
      </c>
      <c r="D288" s="16" t="str">
        <f t="shared" si="61"/>
        <v>126CONDOMINIO DO EDIFICIO EMPRESARIAL MARIE CURIE</v>
      </c>
      <c r="E288" s="17">
        <f t="shared" si="52"/>
        <v>126</v>
      </c>
      <c r="F288" s="18" t="str">
        <f t="shared" si="62"/>
        <v>114CONDOMINIO DO EDIFICIO EMPRESARIAL MARIE CURIE</v>
      </c>
      <c r="G288" s="18">
        <f t="shared" si="53"/>
        <v>114</v>
      </c>
      <c r="H288" s="19" t="str">
        <f t="shared" si="63"/>
        <v>91CONDOMINIO DO EDIFICIO EMPRESARIAL MARIE CURIE</v>
      </c>
      <c r="I288" s="19">
        <f t="shared" si="54"/>
        <v>91</v>
      </c>
      <c r="J288" s="13" t="s">
        <v>57</v>
      </c>
      <c r="K288" s="13" t="s">
        <v>394</v>
      </c>
      <c r="L288" s="13" t="s">
        <v>89</v>
      </c>
      <c r="M288" s="13" t="s">
        <v>60</v>
      </c>
      <c r="N288" s="20">
        <v>1688.97</v>
      </c>
      <c r="O288" s="20"/>
      <c r="P288" s="21">
        <v>45737</v>
      </c>
      <c r="Q288" s="22"/>
      <c r="R288" s="23"/>
      <c r="S288" s="24"/>
      <c r="T288" s="23"/>
      <c r="U288" s="24"/>
      <c r="V288" s="23"/>
      <c r="W288" s="23"/>
      <c r="X288" s="24"/>
      <c r="Y288" s="23"/>
      <c r="Z288" s="23"/>
      <c r="AA288" s="23"/>
      <c r="AB288" s="23"/>
      <c r="AC288" s="24"/>
      <c r="AD288" s="23"/>
      <c r="AE288" s="24"/>
      <c r="AF288" s="23"/>
      <c r="AG288" s="23"/>
      <c r="AH288" s="23"/>
      <c r="AI288" s="24"/>
      <c r="AJ288" s="25"/>
      <c r="AK288" s="23"/>
      <c r="AL288" s="23"/>
      <c r="AM288" s="24"/>
      <c r="AN288" s="23"/>
      <c r="AO288" s="24"/>
      <c r="AP288" s="23"/>
      <c r="AQ288" s="24"/>
      <c r="AR288" s="23"/>
      <c r="AS288" s="23">
        <v>-680</v>
      </c>
      <c r="AT288" s="23"/>
      <c r="AU288" s="24"/>
      <c r="AW288" s="27">
        <f t="shared" si="55"/>
        <v>2.8800000000000001E-4</v>
      </c>
      <c r="AX288" s="27">
        <f t="shared" si="56"/>
        <v>2.8800000000000001E-4</v>
      </c>
      <c r="AY288" s="27">
        <f t="shared" si="57"/>
        <v>2.8800000000000001E-4</v>
      </c>
      <c r="AZ288" s="27">
        <f t="shared" si="58"/>
        <v>2.8800000000000001E-4</v>
      </c>
    </row>
    <row r="289" spans="1:52" ht="15" customHeight="1" x14ac:dyDescent="0.25">
      <c r="A289" s="13" t="str">
        <f>VLOOKUP(L289,[1]VALIDAÇÃO!$D$13:$E$350,2,0)</f>
        <v>DIRETO</v>
      </c>
      <c r="B289" s="14" t="str">
        <f t="shared" si="60"/>
        <v>109RIO AVE CARNEIROS 01 SPE LTDA.</v>
      </c>
      <c r="C289" s="15">
        <f t="shared" si="59"/>
        <v>109</v>
      </c>
      <c r="D289" s="16" t="str">
        <f t="shared" si="61"/>
        <v>124RIO AVE CARNEIROS 01 SPE LTDA.</v>
      </c>
      <c r="E289" s="17">
        <f t="shared" si="52"/>
        <v>124</v>
      </c>
      <c r="F289" s="18" t="str">
        <f t="shared" si="62"/>
        <v>52RIO AVE CARNEIROS 01 SPE LTDA.</v>
      </c>
      <c r="G289" s="18">
        <f t="shared" si="53"/>
        <v>52</v>
      </c>
      <c r="H289" s="19" t="str">
        <f t="shared" si="63"/>
        <v>45RIO AVE CARNEIROS 01 SPE LTDA.</v>
      </c>
      <c r="I289" s="19">
        <f t="shared" si="54"/>
        <v>45</v>
      </c>
      <c r="J289" s="13" t="s">
        <v>61</v>
      </c>
      <c r="K289" s="13" t="s">
        <v>395</v>
      </c>
      <c r="L289" s="13" t="s">
        <v>54</v>
      </c>
      <c r="M289" s="13" t="s">
        <v>55</v>
      </c>
      <c r="N289" s="20">
        <v>1030.6400000000001</v>
      </c>
      <c r="O289" s="20">
        <v>1622.13</v>
      </c>
      <c r="P289" s="21">
        <v>45964</v>
      </c>
      <c r="Q289" s="22"/>
      <c r="R289" s="23">
        <v>1622.13</v>
      </c>
      <c r="S289" s="24"/>
      <c r="T289" s="23"/>
      <c r="U289" s="24"/>
      <c r="V289" s="23"/>
      <c r="W289" s="23"/>
      <c r="X289" s="24"/>
      <c r="Y289" s="23"/>
      <c r="Z289" s="23"/>
      <c r="AA289" s="23">
        <v>0.97</v>
      </c>
      <c r="AB289" s="23">
        <v>112.36</v>
      </c>
      <c r="AC289" s="24">
        <v>502</v>
      </c>
      <c r="AD289" s="23">
        <v>4.1900000000000004</v>
      </c>
      <c r="AE289" s="24">
        <v>57.400000000000006</v>
      </c>
      <c r="AF289" s="23"/>
      <c r="AG289" s="23"/>
      <c r="AH289" s="23">
        <v>4.47</v>
      </c>
      <c r="AI289" s="24">
        <v>0</v>
      </c>
      <c r="AJ289" s="25">
        <v>164.3</v>
      </c>
      <c r="AK289" s="23">
        <v>35.72</v>
      </c>
      <c r="AL289" s="23"/>
      <c r="AM289" s="24"/>
      <c r="AN289" s="23"/>
      <c r="AO289" s="24"/>
      <c r="AP289" s="23">
        <v>34.19</v>
      </c>
      <c r="AQ289" s="24">
        <v>779.2</v>
      </c>
      <c r="AR289" s="23">
        <v>34.75</v>
      </c>
      <c r="AS289" s="23">
        <v>-695.2</v>
      </c>
      <c r="AT289" s="23"/>
      <c r="AU289" s="24"/>
      <c r="AW289" s="27">
        <f t="shared" si="55"/>
        <v>164.30028900000002</v>
      </c>
      <c r="AX289" s="27">
        <f t="shared" si="56"/>
        <v>4.1902890000000008</v>
      </c>
      <c r="AY289" s="27">
        <f t="shared" si="57"/>
        <v>112.36028899999999</v>
      </c>
      <c r="AZ289" s="27">
        <f t="shared" si="58"/>
        <v>34.190289</v>
      </c>
    </row>
    <row r="290" spans="1:52" ht="15" customHeight="1" x14ac:dyDescent="0.25">
      <c r="A290" s="13" t="str">
        <f>VLOOKUP(L290,[1]VALIDAÇÃO!$D$13:$E$350,2,0)</f>
        <v>DIRETO</v>
      </c>
      <c r="B290" s="14" t="str">
        <f t="shared" si="60"/>
        <v>22RESERVA DO PAIVA SPE 03 LTDA</v>
      </c>
      <c r="C290" s="15">
        <f t="shared" si="59"/>
        <v>22</v>
      </c>
      <c r="D290" s="16" t="str">
        <f t="shared" si="61"/>
        <v>29RESERVA DO PAIVA SPE 03 LTDA</v>
      </c>
      <c r="E290" s="17">
        <f t="shared" si="52"/>
        <v>29</v>
      </c>
      <c r="F290" s="18" t="str">
        <f t="shared" si="62"/>
        <v>69RESERVA DO PAIVA SPE 03 LTDA</v>
      </c>
      <c r="G290" s="18">
        <f t="shared" si="53"/>
        <v>69</v>
      </c>
      <c r="H290" s="19" t="str">
        <f t="shared" si="63"/>
        <v>58RESERVA DO PAIVA SPE 03 LTDA</v>
      </c>
      <c r="I290" s="19">
        <f t="shared" si="54"/>
        <v>58</v>
      </c>
      <c r="J290" s="13" t="s">
        <v>52</v>
      </c>
      <c r="K290" s="13" t="s">
        <v>396</v>
      </c>
      <c r="L290" s="13" t="s">
        <v>54</v>
      </c>
      <c r="M290" s="13" t="s">
        <v>55</v>
      </c>
      <c r="N290" s="20">
        <v>1237.8900000000001</v>
      </c>
      <c r="O290" s="20">
        <v>1622.13</v>
      </c>
      <c r="P290" s="21">
        <v>45600</v>
      </c>
      <c r="Q290" s="22"/>
      <c r="R290" s="23">
        <v>1622.13</v>
      </c>
      <c r="S290" s="24"/>
      <c r="T290" s="23"/>
      <c r="U290" s="24"/>
      <c r="V290" s="23"/>
      <c r="W290" s="23">
        <v>1.7799999999999998</v>
      </c>
      <c r="X290" s="24">
        <v>61.8</v>
      </c>
      <c r="Y290" s="23"/>
      <c r="Z290" s="23"/>
      <c r="AA290" s="23">
        <v>4.3599999999999994</v>
      </c>
      <c r="AB290" s="23">
        <v>112.66999999999999</v>
      </c>
      <c r="AC290" s="24">
        <v>654.34571428571428</v>
      </c>
      <c r="AD290" s="23">
        <v>472.58000000000004</v>
      </c>
      <c r="AE290" s="24">
        <v>2662.6285714285714</v>
      </c>
      <c r="AF290" s="23"/>
      <c r="AG290" s="23"/>
      <c r="AH290" s="23">
        <v>15.95</v>
      </c>
      <c r="AI290" s="24">
        <v>0</v>
      </c>
      <c r="AJ290" s="25">
        <v>539.09</v>
      </c>
      <c r="AK290" s="23">
        <v>125.09</v>
      </c>
      <c r="AL290" s="23">
        <v>-9.08</v>
      </c>
      <c r="AM290" s="24">
        <v>69</v>
      </c>
      <c r="AN290" s="23"/>
      <c r="AO290" s="24"/>
      <c r="AP290" s="23">
        <v>46.75</v>
      </c>
      <c r="AQ290" s="24">
        <v>226.46428571428572</v>
      </c>
      <c r="AR290" s="23">
        <v>132.91999999999999</v>
      </c>
      <c r="AS290" s="23">
        <v>-695.2</v>
      </c>
      <c r="AT290" s="23"/>
      <c r="AU290" s="24"/>
      <c r="AW290" s="27">
        <f t="shared" si="55"/>
        <v>539.09028999999998</v>
      </c>
      <c r="AX290" s="27">
        <f t="shared" si="56"/>
        <v>472.58029000000005</v>
      </c>
      <c r="AY290" s="27">
        <f t="shared" si="57"/>
        <v>112.67028999999999</v>
      </c>
      <c r="AZ290" s="27">
        <f t="shared" si="58"/>
        <v>46.75029</v>
      </c>
    </row>
    <row r="291" spans="1:52" ht="15" customHeight="1" x14ac:dyDescent="0.25">
      <c r="A291" s="13" t="str">
        <f>VLOOKUP(L291,[1]VALIDAÇÃO!$D$13:$E$350,2,0)</f>
        <v>DIRETO</v>
      </c>
      <c r="B291" s="14" t="str">
        <f t="shared" si="60"/>
        <v>4CONDOMINIO DO EDIFICIO EMPRESARIAL MARIE CURIE</v>
      </c>
      <c r="C291" s="15">
        <f t="shared" si="59"/>
        <v>4</v>
      </c>
      <c r="D291" s="16" t="str">
        <f t="shared" si="61"/>
        <v>87CONDOMINIO DO EDIFICIO EMPRESARIAL MARIE CURIE</v>
      </c>
      <c r="E291" s="17">
        <f t="shared" si="52"/>
        <v>87</v>
      </c>
      <c r="F291" s="18" t="str">
        <f t="shared" si="62"/>
        <v>93CONDOMINIO DO EDIFICIO EMPRESARIAL MARIE CURIE</v>
      </c>
      <c r="G291" s="18">
        <f t="shared" si="53"/>
        <v>93</v>
      </c>
      <c r="H291" s="19" t="str">
        <f t="shared" si="63"/>
        <v>90CONDOMINIO DO EDIFICIO EMPRESARIAL MARIE CURIE</v>
      </c>
      <c r="I291" s="19">
        <f t="shared" si="54"/>
        <v>90</v>
      </c>
      <c r="J291" s="13" t="s">
        <v>57</v>
      </c>
      <c r="K291" s="13" t="s">
        <v>397</v>
      </c>
      <c r="L291" s="13" t="s">
        <v>66</v>
      </c>
      <c r="M291" s="13" t="s">
        <v>60</v>
      </c>
      <c r="N291" s="20">
        <v>886.53</v>
      </c>
      <c r="O291" s="20">
        <v>693</v>
      </c>
      <c r="P291" s="21">
        <v>45238</v>
      </c>
      <c r="Q291" s="22"/>
      <c r="R291" s="23">
        <v>693</v>
      </c>
      <c r="S291" s="24"/>
      <c r="T291" s="23"/>
      <c r="U291" s="24"/>
      <c r="V291" s="23"/>
      <c r="W291" s="23"/>
      <c r="X291" s="24"/>
      <c r="Y291" s="23"/>
      <c r="Z291" s="23"/>
      <c r="AA291" s="23">
        <v>0.94000000000000006</v>
      </c>
      <c r="AB291" s="23">
        <v>0.76</v>
      </c>
      <c r="AC291" s="24">
        <v>2.5499999999999998</v>
      </c>
      <c r="AD291" s="23">
        <v>48.629999999999995</v>
      </c>
      <c r="AE291" s="24">
        <v>163.45666666666665</v>
      </c>
      <c r="AF291" s="23"/>
      <c r="AG291" s="23"/>
      <c r="AH291" s="23">
        <v>5.67</v>
      </c>
      <c r="AI291" s="24">
        <v>0</v>
      </c>
      <c r="AJ291" s="25">
        <v>1711.37</v>
      </c>
      <c r="AK291" s="23">
        <v>302.14999999999998</v>
      </c>
      <c r="AL291" s="23"/>
      <c r="AM291" s="24"/>
      <c r="AN291" s="23">
        <v>-77</v>
      </c>
      <c r="AO291" s="24">
        <v>1</v>
      </c>
      <c r="AP291" s="23"/>
      <c r="AQ291" s="24"/>
      <c r="AR291" s="23">
        <v>8.08</v>
      </c>
      <c r="AS291" s="23">
        <v>-246.4</v>
      </c>
      <c r="AT291" s="23">
        <v>-77</v>
      </c>
      <c r="AU291" s="24">
        <v>1</v>
      </c>
      <c r="AW291" s="27">
        <f t="shared" si="55"/>
        <v>1711.370291</v>
      </c>
      <c r="AX291" s="27">
        <f t="shared" si="56"/>
        <v>48.630290999999993</v>
      </c>
      <c r="AY291" s="27">
        <f t="shared" si="57"/>
        <v>0.76029100000000005</v>
      </c>
      <c r="AZ291" s="27">
        <f t="shared" si="58"/>
        <v>2.9100000000000003E-4</v>
      </c>
    </row>
    <row r="292" spans="1:52" ht="15" customHeight="1" x14ac:dyDescent="0.25">
      <c r="A292" s="13" t="str">
        <f>VLOOKUP(L292,[1]VALIDAÇÃO!$D$13:$E$350,2,0)</f>
        <v>DIRETO</v>
      </c>
      <c r="B292" s="14" t="str">
        <f t="shared" si="60"/>
        <v>4RIO AVE INVESTIMENTOS LTDA</v>
      </c>
      <c r="C292" s="15">
        <f t="shared" si="59"/>
        <v>4</v>
      </c>
      <c r="D292" s="16" t="str">
        <f t="shared" si="61"/>
        <v>8RIO AVE INVESTIMENTOS LTDA</v>
      </c>
      <c r="E292" s="17">
        <f t="shared" si="52"/>
        <v>8</v>
      </c>
      <c r="F292" s="18" t="str">
        <f t="shared" si="62"/>
        <v>9RIO AVE INVESTIMENTOS LTDA</v>
      </c>
      <c r="G292" s="18">
        <f t="shared" si="53"/>
        <v>9</v>
      </c>
      <c r="H292" s="19" t="str">
        <f t="shared" si="63"/>
        <v>7RIO AVE INVESTIMENTOS LTDA</v>
      </c>
      <c r="I292" s="19">
        <f t="shared" si="54"/>
        <v>7</v>
      </c>
      <c r="J292" s="13" t="s">
        <v>304</v>
      </c>
      <c r="K292" s="13" t="s">
        <v>398</v>
      </c>
      <c r="L292" s="13" t="s">
        <v>87</v>
      </c>
      <c r="M292" s="13" t="s">
        <v>306</v>
      </c>
      <c r="N292" s="20">
        <v>1196.45</v>
      </c>
      <c r="O292" s="20">
        <v>2310</v>
      </c>
      <c r="P292" s="21">
        <v>43619</v>
      </c>
      <c r="Q292" s="22"/>
      <c r="R292" s="23">
        <v>2310</v>
      </c>
      <c r="S292" s="24"/>
      <c r="T292" s="23"/>
      <c r="U292" s="24"/>
      <c r="V292" s="23"/>
      <c r="W292" s="23">
        <v>0.32</v>
      </c>
      <c r="X292" s="24">
        <v>9</v>
      </c>
      <c r="Y292" s="23"/>
      <c r="Z292" s="23"/>
      <c r="AA292" s="23">
        <v>3.9699999999999998</v>
      </c>
      <c r="AB292" s="23">
        <v>47.1</v>
      </c>
      <c r="AC292" s="24">
        <v>158.32</v>
      </c>
      <c r="AD292" s="23">
        <v>320.2</v>
      </c>
      <c r="AE292" s="24">
        <v>1076.31</v>
      </c>
      <c r="AF292" s="23"/>
      <c r="AG292" s="23"/>
      <c r="AH292" s="23">
        <v>19.45</v>
      </c>
      <c r="AI292" s="24">
        <v>0</v>
      </c>
      <c r="AJ292" s="25">
        <v>587.99</v>
      </c>
      <c r="AK292" s="23">
        <v>116.41</v>
      </c>
      <c r="AL292" s="23">
        <v>-12.95</v>
      </c>
      <c r="AM292" s="24">
        <v>74</v>
      </c>
      <c r="AN292" s="23"/>
      <c r="AO292" s="24"/>
      <c r="AP292" s="23">
        <v>14.89</v>
      </c>
      <c r="AQ292" s="24">
        <v>42.55</v>
      </c>
      <c r="AR292" s="23">
        <v>75.400000000000006</v>
      </c>
      <c r="AS292" s="23">
        <v>-924</v>
      </c>
      <c r="AT292" s="23"/>
      <c r="AU292" s="24"/>
      <c r="AW292" s="27">
        <f t="shared" si="55"/>
        <v>587.99029199999995</v>
      </c>
      <c r="AX292" s="27">
        <f t="shared" si="56"/>
        <v>320.20029199999999</v>
      </c>
      <c r="AY292" s="27">
        <f t="shared" si="57"/>
        <v>47.100292000000003</v>
      </c>
      <c r="AZ292" s="27">
        <f t="shared" si="58"/>
        <v>14.890292000000001</v>
      </c>
    </row>
    <row r="293" spans="1:52" ht="15" customHeight="1" x14ac:dyDescent="0.25">
      <c r="A293" s="13" t="str">
        <f>VLOOKUP(L293,[1]VALIDAÇÃO!$D$13:$E$350,2,0)</f>
        <v>DIRETO</v>
      </c>
      <c r="B293" s="14" t="str">
        <f t="shared" si="60"/>
        <v>102RESERVA DO PAIVA SPE 03 LTDA</v>
      </c>
      <c r="C293" s="15">
        <f t="shared" si="59"/>
        <v>102</v>
      </c>
      <c r="D293" s="16" t="str">
        <f t="shared" si="61"/>
        <v>40RESERVA DO PAIVA SPE 03 LTDA</v>
      </c>
      <c r="E293" s="17">
        <f t="shared" si="52"/>
        <v>40</v>
      </c>
      <c r="F293" s="18" t="str">
        <f t="shared" si="62"/>
        <v>48RESERVA DO PAIVA SPE 03 LTDA</v>
      </c>
      <c r="G293" s="18">
        <f t="shared" si="53"/>
        <v>48</v>
      </c>
      <c r="H293" s="19" t="str">
        <f t="shared" si="63"/>
        <v>22RESERVA DO PAIVA SPE 03 LTDA</v>
      </c>
      <c r="I293" s="19">
        <f t="shared" si="54"/>
        <v>22</v>
      </c>
      <c r="J293" s="13" t="s">
        <v>52</v>
      </c>
      <c r="K293" s="13" t="s">
        <v>399</v>
      </c>
      <c r="L293" s="13" t="s">
        <v>54</v>
      </c>
      <c r="M293" s="13" t="s">
        <v>55</v>
      </c>
      <c r="N293" s="20">
        <v>1103.26</v>
      </c>
      <c r="O293" s="20">
        <v>1622.13</v>
      </c>
      <c r="P293" s="21">
        <v>45705</v>
      </c>
      <c r="Q293" s="22"/>
      <c r="R293" s="23">
        <v>1622.13</v>
      </c>
      <c r="S293" s="24"/>
      <c r="T293" s="23"/>
      <c r="U293" s="24"/>
      <c r="V293" s="23"/>
      <c r="W293" s="23">
        <v>1.1299999999999999</v>
      </c>
      <c r="X293" s="24">
        <v>46.23</v>
      </c>
      <c r="Y293" s="23"/>
      <c r="Z293" s="23"/>
      <c r="AA293" s="23">
        <v>2.8</v>
      </c>
      <c r="AB293" s="23">
        <v>208.07</v>
      </c>
      <c r="AC293" s="24">
        <v>1159.0557142857142</v>
      </c>
      <c r="AD293" s="23">
        <v>367.73</v>
      </c>
      <c r="AE293" s="24">
        <v>2277.8128571428574</v>
      </c>
      <c r="AF293" s="23"/>
      <c r="AG293" s="23"/>
      <c r="AH293" s="23">
        <v>12.399999999999999</v>
      </c>
      <c r="AI293" s="24">
        <v>0</v>
      </c>
      <c r="AJ293" s="25">
        <v>114.82000000000001</v>
      </c>
      <c r="AK293" s="23">
        <v>26.04</v>
      </c>
      <c r="AL293" s="23">
        <v>-4.0999999999999996</v>
      </c>
      <c r="AM293" s="24">
        <v>31.17</v>
      </c>
      <c r="AN293" s="23">
        <v>-115.87</v>
      </c>
      <c r="AO293" s="24">
        <v>2</v>
      </c>
      <c r="AP293" s="23">
        <v>253.54999999999998</v>
      </c>
      <c r="AQ293" s="24">
        <v>989.77</v>
      </c>
      <c r="AR293" s="23">
        <v>184.19</v>
      </c>
      <c r="AS293" s="23">
        <v>-695.2</v>
      </c>
      <c r="AT293" s="23">
        <v>-115.87</v>
      </c>
      <c r="AU293" s="24">
        <v>2</v>
      </c>
      <c r="AW293" s="27">
        <f t="shared" si="55"/>
        <v>114.82029300000001</v>
      </c>
      <c r="AX293" s="27">
        <f t="shared" si="56"/>
        <v>367.73029300000002</v>
      </c>
      <c r="AY293" s="27">
        <f t="shared" si="57"/>
        <v>208.07029299999999</v>
      </c>
      <c r="AZ293" s="27">
        <f t="shared" si="58"/>
        <v>253.55029299999998</v>
      </c>
    </row>
    <row r="294" spans="1:52" ht="15" customHeight="1" x14ac:dyDescent="0.25">
      <c r="A294" s="13" t="str">
        <f>VLOOKUP(L294,[1]VALIDAÇÃO!$D$13:$E$350,2,0)</f>
        <v>INDIRETO</v>
      </c>
      <c r="B294" s="14" t="str">
        <f t="shared" si="60"/>
        <v>119CONDOMINIO DO EDIFICIO EMPRESARIAL MARIE CURIE</v>
      </c>
      <c r="C294" s="15">
        <f t="shared" si="59"/>
        <v>119</v>
      </c>
      <c r="D294" s="16" t="str">
        <f t="shared" si="61"/>
        <v>125CONDOMINIO DO EDIFICIO EMPRESARIAL MARIE CURIE</v>
      </c>
      <c r="E294" s="17">
        <f t="shared" si="52"/>
        <v>125</v>
      </c>
      <c r="F294" s="18" t="str">
        <f t="shared" si="62"/>
        <v>113CONDOMINIO DO EDIFICIO EMPRESARIAL MARIE CURIE</v>
      </c>
      <c r="G294" s="18">
        <f t="shared" si="53"/>
        <v>113</v>
      </c>
      <c r="H294" s="19" t="str">
        <f t="shared" si="63"/>
        <v>89CONDOMINIO DO EDIFICIO EMPRESARIAL MARIE CURIE</v>
      </c>
      <c r="I294" s="19">
        <f t="shared" si="54"/>
        <v>89</v>
      </c>
      <c r="J294" s="13" t="s">
        <v>57</v>
      </c>
      <c r="K294" s="13" t="s">
        <v>400</v>
      </c>
      <c r="L294" s="13" t="s">
        <v>336</v>
      </c>
      <c r="M294" s="13" t="s">
        <v>60</v>
      </c>
      <c r="N294" s="20">
        <v>4002.77</v>
      </c>
      <c r="O294" s="20">
        <v>7972.48</v>
      </c>
      <c r="P294" s="21">
        <v>45246</v>
      </c>
      <c r="Q294" s="22"/>
      <c r="R294" s="23">
        <v>7972.48</v>
      </c>
      <c r="S294" s="24"/>
      <c r="T294" s="23"/>
      <c r="U294" s="24"/>
      <c r="V294" s="23"/>
      <c r="W294" s="23"/>
      <c r="X294" s="24"/>
      <c r="Y294" s="23"/>
      <c r="Z294" s="23"/>
      <c r="AA294" s="23"/>
      <c r="AB294" s="23"/>
      <c r="AC294" s="24"/>
      <c r="AD294" s="23"/>
      <c r="AE294" s="24"/>
      <c r="AF294" s="23"/>
      <c r="AG294" s="23"/>
      <c r="AH294" s="23"/>
      <c r="AI294" s="24"/>
      <c r="AJ294" s="25"/>
      <c r="AK294" s="23"/>
      <c r="AL294" s="23"/>
      <c r="AM294" s="24"/>
      <c r="AN294" s="23"/>
      <c r="AO294" s="24"/>
      <c r="AP294" s="23"/>
      <c r="AQ294" s="24"/>
      <c r="AR294" s="23"/>
      <c r="AS294" s="23">
        <v>-3416.78</v>
      </c>
      <c r="AT294" s="23"/>
      <c r="AU294" s="24"/>
      <c r="AW294" s="27">
        <f t="shared" si="55"/>
        <v>2.9399999999999999E-4</v>
      </c>
      <c r="AX294" s="27">
        <f t="shared" si="56"/>
        <v>2.9399999999999999E-4</v>
      </c>
      <c r="AY294" s="27">
        <f t="shared" si="57"/>
        <v>2.9399999999999999E-4</v>
      </c>
      <c r="AZ294" s="27">
        <f t="shared" si="58"/>
        <v>2.9399999999999999E-4</v>
      </c>
    </row>
    <row r="295" spans="1:52" ht="15" customHeight="1" x14ac:dyDescent="0.25">
      <c r="A295" s="13" t="str">
        <f>VLOOKUP(L295,[1]VALIDAÇÃO!$D$13:$E$350,2,0)</f>
        <v>DIRETO</v>
      </c>
      <c r="B295" s="14" t="str">
        <f t="shared" si="60"/>
        <v>59RIO AVE CARNEIROS 01 SPE LTDA.</v>
      </c>
      <c r="C295" s="15">
        <f t="shared" si="59"/>
        <v>59</v>
      </c>
      <c r="D295" s="16" t="str">
        <f t="shared" si="61"/>
        <v>45RIO AVE CARNEIROS 01 SPE LTDA.</v>
      </c>
      <c r="E295" s="17">
        <f t="shared" si="52"/>
        <v>45</v>
      </c>
      <c r="F295" s="18" t="str">
        <f t="shared" si="62"/>
        <v>86RIO AVE CARNEIROS 01 SPE LTDA.</v>
      </c>
      <c r="G295" s="18">
        <f t="shared" si="53"/>
        <v>86</v>
      </c>
      <c r="H295" s="19" t="str">
        <f t="shared" si="63"/>
        <v>80RIO AVE CARNEIROS 01 SPE LTDA.</v>
      </c>
      <c r="I295" s="19">
        <f t="shared" si="54"/>
        <v>80</v>
      </c>
      <c r="J295" s="13" t="s">
        <v>61</v>
      </c>
      <c r="K295" s="13" t="s">
        <v>401</v>
      </c>
      <c r="L295" s="13" t="s">
        <v>54</v>
      </c>
      <c r="M295" s="13" t="s">
        <v>55</v>
      </c>
      <c r="N295" s="20">
        <v>1011.33</v>
      </c>
      <c r="O295" s="20">
        <v>1622.13</v>
      </c>
      <c r="P295" s="21">
        <v>45505</v>
      </c>
      <c r="Q295" s="22"/>
      <c r="R295" s="23">
        <v>1622.13</v>
      </c>
      <c r="S295" s="24"/>
      <c r="T295" s="23"/>
      <c r="U295" s="24"/>
      <c r="V295" s="23"/>
      <c r="W295" s="23"/>
      <c r="X295" s="24"/>
      <c r="Y295" s="23"/>
      <c r="Z295" s="23"/>
      <c r="AA295" s="23">
        <v>3.44</v>
      </c>
      <c r="AB295" s="23">
        <v>57.6</v>
      </c>
      <c r="AC295" s="24">
        <v>296.41999999999996</v>
      </c>
      <c r="AD295" s="23">
        <v>211.04</v>
      </c>
      <c r="AE295" s="24">
        <v>1013.8214285714286</v>
      </c>
      <c r="AF295" s="23"/>
      <c r="AG295" s="23"/>
      <c r="AH295" s="23">
        <v>15.02</v>
      </c>
      <c r="AI295" s="24">
        <v>0</v>
      </c>
      <c r="AJ295" s="25">
        <v>410.70000000000005</v>
      </c>
      <c r="AK295" s="23">
        <v>90.990000000000009</v>
      </c>
      <c r="AL295" s="23">
        <v>-7.77</v>
      </c>
      <c r="AM295" s="24">
        <v>59</v>
      </c>
      <c r="AN295" s="23">
        <v>-57.93</v>
      </c>
      <c r="AO295" s="24">
        <v>1</v>
      </c>
      <c r="AP295" s="23">
        <v>10.6</v>
      </c>
      <c r="AQ295" s="24">
        <v>40.25</v>
      </c>
      <c r="AR295" s="23">
        <v>61.940000000000005</v>
      </c>
      <c r="AS295" s="23">
        <v>-695.2</v>
      </c>
      <c r="AT295" s="23">
        <v>-57.93</v>
      </c>
      <c r="AU295" s="24">
        <v>1</v>
      </c>
      <c r="AW295" s="27">
        <f t="shared" si="55"/>
        <v>410.70029500000004</v>
      </c>
      <c r="AX295" s="27">
        <f t="shared" si="56"/>
        <v>211.04029499999999</v>
      </c>
      <c r="AY295" s="27">
        <f t="shared" si="57"/>
        <v>57.600295000000003</v>
      </c>
      <c r="AZ295" s="27">
        <f t="shared" si="58"/>
        <v>10.600294999999999</v>
      </c>
    </row>
    <row r="296" spans="1:52" ht="15" customHeight="1" x14ac:dyDescent="0.25">
      <c r="A296" s="13" t="str">
        <f>VLOOKUP(L296,[1]VALIDAÇÃO!$D$13:$E$350,2,0)</f>
        <v>DIRETO</v>
      </c>
      <c r="B296" s="14" t="str">
        <f t="shared" si="60"/>
        <v>62RESERVA DO PAIVA SPE 03 LTDA</v>
      </c>
      <c r="C296" s="15">
        <f t="shared" si="59"/>
        <v>62</v>
      </c>
      <c r="D296" s="16" t="str">
        <f t="shared" si="61"/>
        <v>23RESERVA DO PAIVA SPE 03 LTDA</v>
      </c>
      <c r="E296" s="17">
        <f t="shared" si="52"/>
        <v>23</v>
      </c>
      <c r="F296" s="18" t="str">
        <f t="shared" si="62"/>
        <v>45RESERVA DO PAIVA SPE 03 LTDA</v>
      </c>
      <c r="G296" s="18">
        <f t="shared" si="53"/>
        <v>45</v>
      </c>
      <c r="H296" s="19" t="str">
        <f t="shared" si="63"/>
        <v>32RESERVA DO PAIVA SPE 03 LTDA</v>
      </c>
      <c r="I296" s="19">
        <f t="shared" si="54"/>
        <v>32</v>
      </c>
      <c r="J296" s="13" t="s">
        <v>52</v>
      </c>
      <c r="K296" s="13" t="s">
        <v>402</v>
      </c>
      <c r="L296" s="13" t="s">
        <v>54</v>
      </c>
      <c r="M296" s="13" t="s">
        <v>55</v>
      </c>
      <c r="N296" s="20">
        <v>1799.4</v>
      </c>
      <c r="O296" s="20">
        <v>1622.13</v>
      </c>
      <c r="P296" s="21">
        <v>45873</v>
      </c>
      <c r="Q296" s="22"/>
      <c r="R296" s="23">
        <v>1622.13</v>
      </c>
      <c r="S296" s="24"/>
      <c r="T296" s="23"/>
      <c r="U296" s="24"/>
      <c r="V296" s="23"/>
      <c r="W296" s="23"/>
      <c r="X296" s="24"/>
      <c r="Y296" s="23"/>
      <c r="Z296" s="23"/>
      <c r="AA296" s="23">
        <v>7.5100000000000007</v>
      </c>
      <c r="AB296" s="23">
        <v>214.58999999999997</v>
      </c>
      <c r="AC296" s="24">
        <v>1755.9285714285713</v>
      </c>
      <c r="AD296" s="23">
        <v>579.67000000000007</v>
      </c>
      <c r="AE296" s="24">
        <v>4107.1428571428569</v>
      </c>
      <c r="AF296" s="23"/>
      <c r="AG296" s="23"/>
      <c r="AH296" s="23">
        <v>33.480000000000004</v>
      </c>
      <c r="AI296" s="24">
        <v>0</v>
      </c>
      <c r="AJ296" s="25">
        <v>216.68</v>
      </c>
      <c r="AK296" s="23">
        <v>48.050000000000004</v>
      </c>
      <c r="AL296" s="23"/>
      <c r="AM296" s="24"/>
      <c r="AN296" s="23"/>
      <c r="AO296" s="24"/>
      <c r="AP296" s="23">
        <v>185.15</v>
      </c>
      <c r="AQ296" s="24">
        <v>1035</v>
      </c>
      <c r="AR296" s="23">
        <v>217.54000000000002</v>
      </c>
      <c r="AS296" s="23">
        <v>-765.2</v>
      </c>
      <c r="AT296" s="23"/>
      <c r="AU296" s="24"/>
      <c r="AW296" s="27">
        <f t="shared" si="55"/>
        <v>216.680296</v>
      </c>
      <c r="AX296" s="27">
        <f t="shared" si="56"/>
        <v>579.67029600000012</v>
      </c>
      <c r="AY296" s="27">
        <f t="shared" si="57"/>
        <v>214.59029599999997</v>
      </c>
      <c r="AZ296" s="27">
        <f t="shared" si="58"/>
        <v>185.150296</v>
      </c>
    </row>
    <row r="297" spans="1:52" ht="15" customHeight="1" x14ac:dyDescent="0.25">
      <c r="A297" s="13" t="str">
        <f>VLOOKUP(L297,[1]VALIDAÇÃO!$D$13:$E$350,2,0)</f>
        <v>INDIRETO</v>
      </c>
      <c r="B297" s="14" t="str">
        <f t="shared" si="60"/>
        <v>10RIO AVE SUBHOLDING INCORPORACAO LTDA</v>
      </c>
      <c r="C297" s="15">
        <f t="shared" si="59"/>
        <v>10</v>
      </c>
      <c r="D297" s="16" t="str">
        <f t="shared" si="61"/>
        <v>10RIO AVE SUBHOLDING INCORPORACAO LTDA</v>
      </c>
      <c r="E297" s="17">
        <f t="shared" si="52"/>
        <v>10</v>
      </c>
      <c r="F297" s="18" t="str">
        <f t="shared" si="62"/>
        <v>10RIO AVE SUBHOLDING INCORPORACAO LTDA</v>
      </c>
      <c r="G297" s="18">
        <f t="shared" si="53"/>
        <v>10</v>
      </c>
      <c r="H297" s="19" t="str">
        <f t="shared" si="63"/>
        <v>9RIO AVE SUBHOLDING INCORPORACAO LTDA</v>
      </c>
      <c r="I297" s="19">
        <f t="shared" si="54"/>
        <v>9</v>
      </c>
      <c r="J297" s="13" t="s">
        <v>124</v>
      </c>
      <c r="K297" s="13" t="s">
        <v>403</v>
      </c>
      <c r="L297" s="13" t="s">
        <v>89</v>
      </c>
      <c r="M297" s="13" t="s">
        <v>181</v>
      </c>
      <c r="N297" s="20">
        <v>1844.8</v>
      </c>
      <c r="O297" s="20"/>
      <c r="P297" s="21">
        <v>45496</v>
      </c>
      <c r="Q297" s="22"/>
      <c r="R297" s="23"/>
      <c r="S297" s="24"/>
      <c r="T297" s="23"/>
      <c r="U297" s="24"/>
      <c r="V297" s="23"/>
      <c r="W297" s="23"/>
      <c r="X297" s="24"/>
      <c r="Y297" s="23"/>
      <c r="Z297" s="23"/>
      <c r="AA297" s="23"/>
      <c r="AB297" s="23"/>
      <c r="AC297" s="24"/>
      <c r="AD297" s="23"/>
      <c r="AE297" s="24"/>
      <c r="AF297" s="23"/>
      <c r="AG297" s="23"/>
      <c r="AH297" s="23"/>
      <c r="AI297" s="24"/>
      <c r="AJ297" s="25"/>
      <c r="AK297" s="23"/>
      <c r="AL297" s="23"/>
      <c r="AM297" s="24"/>
      <c r="AN297" s="23"/>
      <c r="AO297" s="24"/>
      <c r="AP297" s="23"/>
      <c r="AQ297" s="24"/>
      <c r="AR297" s="23"/>
      <c r="AS297" s="23">
        <v>-680</v>
      </c>
      <c r="AT297" s="23"/>
      <c r="AU297" s="24"/>
      <c r="AW297" s="27">
        <f t="shared" si="55"/>
        <v>2.9700000000000001E-4</v>
      </c>
      <c r="AX297" s="27">
        <f t="shared" si="56"/>
        <v>2.9700000000000001E-4</v>
      </c>
      <c r="AY297" s="27">
        <f t="shared" si="57"/>
        <v>2.9700000000000001E-4</v>
      </c>
      <c r="AZ297" s="27">
        <f t="shared" si="58"/>
        <v>2.9700000000000001E-4</v>
      </c>
    </row>
    <row r="298" spans="1:52" ht="15" customHeight="1" x14ac:dyDescent="0.25">
      <c r="A298" s="13" t="str">
        <f>VLOOKUP(L298,[1]VALIDAÇÃO!$D$13:$E$350,2,0)</f>
        <v>INDIRETO</v>
      </c>
      <c r="B298" s="14" t="str">
        <f t="shared" si="60"/>
        <v>152RESERVA DO PAIVA SPE 03 LTDA</v>
      </c>
      <c r="C298" s="15">
        <f t="shared" si="59"/>
        <v>152</v>
      </c>
      <c r="D298" s="16" t="str">
        <f t="shared" si="61"/>
        <v>160RESERVA DO PAIVA SPE 03 LTDA</v>
      </c>
      <c r="E298" s="17">
        <f t="shared" si="52"/>
        <v>160</v>
      </c>
      <c r="F298" s="18" t="str">
        <f t="shared" si="62"/>
        <v>151RESERVA DO PAIVA SPE 03 LTDA</v>
      </c>
      <c r="G298" s="18">
        <f t="shared" si="53"/>
        <v>151</v>
      </c>
      <c r="H298" s="19" t="str">
        <f t="shared" si="63"/>
        <v>134RESERVA DO PAIVA SPE 03 LTDA</v>
      </c>
      <c r="I298" s="19">
        <f t="shared" si="54"/>
        <v>134</v>
      </c>
      <c r="J298" s="13" t="s">
        <v>52</v>
      </c>
      <c r="K298" s="13" t="s">
        <v>404</v>
      </c>
      <c r="L298" s="13" t="s">
        <v>405</v>
      </c>
      <c r="M298" s="13" t="s">
        <v>85</v>
      </c>
      <c r="N298" s="20">
        <v>2312.9299999999998</v>
      </c>
      <c r="O298" s="20">
        <v>7285.62</v>
      </c>
      <c r="P298" s="21">
        <v>45673</v>
      </c>
      <c r="Q298" s="22"/>
      <c r="R298" s="23">
        <v>7285.62</v>
      </c>
      <c r="S298" s="24"/>
      <c r="T298" s="23"/>
      <c r="U298" s="24"/>
      <c r="V298" s="23"/>
      <c r="W298" s="23"/>
      <c r="X298" s="24"/>
      <c r="Y298" s="23"/>
      <c r="Z298" s="23"/>
      <c r="AA298" s="23"/>
      <c r="AB298" s="23"/>
      <c r="AC298" s="24"/>
      <c r="AD298" s="23"/>
      <c r="AE298" s="24"/>
      <c r="AF298" s="23"/>
      <c r="AG298" s="23"/>
      <c r="AH298" s="23"/>
      <c r="AI298" s="24"/>
      <c r="AJ298" s="25"/>
      <c r="AK298" s="23"/>
      <c r="AL298" s="23"/>
      <c r="AM298" s="24"/>
      <c r="AN298" s="23"/>
      <c r="AO298" s="24"/>
      <c r="AP298" s="23"/>
      <c r="AQ298" s="24"/>
      <c r="AR298" s="23"/>
      <c r="AS298" s="23">
        <v>-3122.41</v>
      </c>
      <c r="AT298" s="23"/>
      <c r="AU298" s="24"/>
      <c r="AW298" s="27">
        <f t="shared" si="55"/>
        <v>2.9799999999999998E-4</v>
      </c>
      <c r="AX298" s="27">
        <f t="shared" si="56"/>
        <v>2.9799999999999998E-4</v>
      </c>
      <c r="AY298" s="27">
        <f t="shared" si="57"/>
        <v>2.9799999999999998E-4</v>
      </c>
      <c r="AZ298" s="27">
        <f t="shared" si="58"/>
        <v>2.9799999999999998E-4</v>
      </c>
    </row>
    <row r="299" spans="1:52" ht="15" customHeight="1" x14ac:dyDescent="0.25">
      <c r="A299" s="13" t="str">
        <f>VLOOKUP(L299,[1]VALIDAÇÃO!$D$13:$E$350,2,0)</f>
        <v>DIRETO</v>
      </c>
      <c r="B299" s="14" t="str">
        <f t="shared" si="60"/>
        <v>110RIO AVE CARNEIROS 01 SPE LTDA.</v>
      </c>
      <c r="C299" s="15">
        <f t="shared" si="59"/>
        <v>110</v>
      </c>
      <c r="D299" s="16" t="str">
        <f t="shared" si="61"/>
        <v>113RIO AVE CARNEIROS 01 SPE LTDA.</v>
      </c>
      <c r="E299" s="17">
        <f t="shared" si="52"/>
        <v>113</v>
      </c>
      <c r="F299" s="18" t="str">
        <f t="shared" si="62"/>
        <v>143RIO AVE CARNEIROS 01 SPE LTDA.</v>
      </c>
      <c r="G299" s="18">
        <f t="shared" si="53"/>
        <v>143</v>
      </c>
      <c r="H299" s="19" t="str">
        <f t="shared" si="63"/>
        <v>128RIO AVE CARNEIROS 01 SPE LTDA.</v>
      </c>
      <c r="I299" s="19">
        <f t="shared" si="54"/>
        <v>128</v>
      </c>
      <c r="J299" s="13" t="s">
        <v>61</v>
      </c>
      <c r="K299" s="13" t="s">
        <v>406</v>
      </c>
      <c r="L299" s="13" t="s">
        <v>54</v>
      </c>
      <c r="M299" s="13" t="s">
        <v>55</v>
      </c>
      <c r="N299" s="20">
        <v>694.21</v>
      </c>
      <c r="O299" s="20">
        <v>1622.13</v>
      </c>
      <c r="P299" s="21">
        <v>45453</v>
      </c>
      <c r="Q299" s="22"/>
      <c r="R299" s="23">
        <v>1622.13</v>
      </c>
      <c r="S299" s="24"/>
      <c r="T299" s="23"/>
      <c r="U299" s="24"/>
      <c r="V299" s="23"/>
      <c r="W299" s="23"/>
      <c r="X299" s="24"/>
      <c r="Y299" s="23"/>
      <c r="Z299" s="23"/>
      <c r="AA299" s="23">
        <v>0.05</v>
      </c>
      <c r="AB299" s="23"/>
      <c r="AC299" s="24"/>
      <c r="AD299" s="23">
        <v>10.52</v>
      </c>
      <c r="AE299" s="24">
        <v>50.212857142857146</v>
      </c>
      <c r="AF299" s="23"/>
      <c r="AG299" s="23"/>
      <c r="AH299" s="23">
        <v>0.24000000000000002</v>
      </c>
      <c r="AI299" s="24">
        <v>0</v>
      </c>
      <c r="AJ299" s="25">
        <v>152.38</v>
      </c>
      <c r="AK299" s="23">
        <v>34.620000000000005</v>
      </c>
      <c r="AL299" s="23"/>
      <c r="AM299" s="24"/>
      <c r="AN299" s="23">
        <v>-57.93</v>
      </c>
      <c r="AO299" s="24">
        <v>1</v>
      </c>
      <c r="AP299" s="23"/>
      <c r="AQ299" s="24"/>
      <c r="AR299" s="23">
        <v>2.38</v>
      </c>
      <c r="AS299" s="23">
        <v>-695.2</v>
      </c>
      <c r="AT299" s="23">
        <v>-115.87</v>
      </c>
      <c r="AU299" s="24">
        <v>2</v>
      </c>
      <c r="AW299" s="27">
        <f t="shared" si="55"/>
        <v>152.38029900000001</v>
      </c>
      <c r="AX299" s="27">
        <f t="shared" si="56"/>
        <v>10.520299</v>
      </c>
      <c r="AY299" s="27">
        <f t="shared" si="57"/>
        <v>2.99E-4</v>
      </c>
      <c r="AZ299" s="27">
        <f t="shared" si="58"/>
        <v>2.99E-4</v>
      </c>
    </row>
    <row r="300" spans="1:52" ht="15" customHeight="1" x14ac:dyDescent="0.25">
      <c r="A300" s="13" t="str">
        <f>VLOOKUP(L300,[1]VALIDAÇÃO!$D$13:$E$350,2,0)</f>
        <v>DIRETO</v>
      </c>
      <c r="B300" s="14" t="str">
        <f t="shared" si="60"/>
        <v>18RESERVA DO PAIVA SPE 01 LTDA.</v>
      </c>
      <c r="C300" s="15">
        <f t="shared" si="59"/>
        <v>18</v>
      </c>
      <c r="D300" s="16" t="str">
        <f t="shared" si="61"/>
        <v>12RESERVA DO PAIVA SPE 01 LTDA.</v>
      </c>
      <c r="E300" s="17">
        <f t="shared" si="52"/>
        <v>12</v>
      </c>
      <c r="F300" s="18" t="str">
        <f t="shared" si="62"/>
        <v>14RESERVA DO PAIVA SPE 01 LTDA.</v>
      </c>
      <c r="G300" s="18">
        <f t="shared" si="53"/>
        <v>14</v>
      </c>
      <c r="H300" s="19" t="str">
        <f t="shared" si="63"/>
        <v>9RESERVA DO PAIVA SPE 01 LTDA.</v>
      </c>
      <c r="I300" s="19">
        <f t="shared" si="54"/>
        <v>9</v>
      </c>
      <c r="J300" s="13" t="s">
        <v>68</v>
      </c>
      <c r="K300" s="13" t="s">
        <v>407</v>
      </c>
      <c r="L300" s="13" t="s">
        <v>71</v>
      </c>
      <c r="M300" s="13" t="s">
        <v>55</v>
      </c>
      <c r="N300" s="20">
        <v>3295.51</v>
      </c>
      <c r="O300" s="20">
        <v>1622.13</v>
      </c>
      <c r="P300" s="21">
        <v>45119</v>
      </c>
      <c r="Q300" s="22"/>
      <c r="R300" s="23">
        <v>1622.13</v>
      </c>
      <c r="S300" s="24"/>
      <c r="T300" s="23"/>
      <c r="U300" s="24"/>
      <c r="V300" s="23"/>
      <c r="W300" s="23">
        <v>7.56</v>
      </c>
      <c r="X300" s="24">
        <v>287.14</v>
      </c>
      <c r="Y300" s="23"/>
      <c r="Z300" s="23"/>
      <c r="AA300" s="23">
        <v>60.949999999999996</v>
      </c>
      <c r="AB300" s="23">
        <v>469.36</v>
      </c>
      <c r="AC300" s="24">
        <v>2340.5571428571429</v>
      </c>
      <c r="AD300" s="23">
        <v>815.42000000000007</v>
      </c>
      <c r="AE300" s="24">
        <v>3885.212857142857</v>
      </c>
      <c r="AF300" s="23"/>
      <c r="AG300" s="23"/>
      <c r="AH300" s="23">
        <v>276.56</v>
      </c>
      <c r="AI300" s="24">
        <v>0</v>
      </c>
      <c r="AJ300" s="25">
        <v>963.32999999999993</v>
      </c>
      <c r="AK300" s="23">
        <v>210.81</v>
      </c>
      <c r="AL300" s="23"/>
      <c r="AM300" s="24"/>
      <c r="AN300" s="23"/>
      <c r="AO300" s="24"/>
      <c r="AP300" s="23">
        <v>841.76</v>
      </c>
      <c r="AQ300" s="24">
        <v>3196.54</v>
      </c>
      <c r="AR300" s="23">
        <v>467.22</v>
      </c>
      <c r="AS300" s="23">
        <v>-695.2</v>
      </c>
      <c r="AT300" s="23"/>
      <c r="AU300" s="24"/>
      <c r="AW300" s="27">
        <f t="shared" si="55"/>
        <v>963.33029999999997</v>
      </c>
      <c r="AX300" s="27">
        <f t="shared" si="56"/>
        <v>815.42030000000011</v>
      </c>
      <c r="AY300" s="27">
        <f t="shared" si="57"/>
        <v>469.3603</v>
      </c>
      <c r="AZ300" s="27">
        <f t="shared" si="58"/>
        <v>841.76030000000003</v>
      </c>
    </row>
    <row r="301" spans="1:52" ht="15" customHeight="1" x14ac:dyDescent="0.25">
      <c r="A301" s="13" t="str">
        <f>VLOOKUP(L301,[1]VALIDAÇÃO!$D$13:$E$350,2,0)</f>
        <v>DIRETO</v>
      </c>
      <c r="B301" s="14" t="str">
        <f t="shared" si="60"/>
        <v>128RESERVA DO PAIVA SPE 03 LTDA</v>
      </c>
      <c r="C301" s="15">
        <f t="shared" si="59"/>
        <v>128</v>
      </c>
      <c r="D301" s="16" t="str">
        <f t="shared" si="61"/>
        <v>133RESERVA DO PAIVA SPE 03 LTDA</v>
      </c>
      <c r="E301" s="17">
        <f t="shared" si="52"/>
        <v>133</v>
      </c>
      <c r="F301" s="18" t="str">
        <f t="shared" si="62"/>
        <v>123RESERVA DO PAIVA SPE 03 LTDA</v>
      </c>
      <c r="G301" s="18">
        <f t="shared" si="53"/>
        <v>123</v>
      </c>
      <c r="H301" s="19" t="str">
        <f t="shared" si="63"/>
        <v>133RESERVA DO PAIVA SPE 03 LTDA</v>
      </c>
      <c r="I301" s="19">
        <f t="shared" si="54"/>
        <v>133</v>
      </c>
      <c r="J301" s="13" t="s">
        <v>52</v>
      </c>
      <c r="K301" s="13" t="s">
        <v>408</v>
      </c>
      <c r="L301" s="13" t="s">
        <v>66</v>
      </c>
      <c r="M301" s="13" t="s">
        <v>55</v>
      </c>
      <c r="N301" s="20">
        <v>0</v>
      </c>
      <c r="O301" s="20"/>
      <c r="P301" s="21">
        <v>45735</v>
      </c>
      <c r="Q301" s="22"/>
      <c r="R301" s="23"/>
      <c r="S301" s="24"/>
      <c r="T301" s="23"/>
      <c r="U301" s="24"/>
      <c r="V301" s="23"/>
      <c r="W301" s="23"/>
      <c r="X301" s="24"/>
      <c r="Y301" s="23"/>
      <c r="Z301" s="23"/>
      <c r="AA301" s="23">
        <v>0.21</v>
      </c>
      <c r="AB301" s="23">
        <v>7.56</v>
      </c>
      <c r="AC301" s="24">
        <v>101.7</v>
      </c>
      <c r="AD301" s="23">
        <v>21.8</v>
      </c>
      <c r="AE301" s="24">
        <v>293.06</v>
      </c>
      <c r="AF301" s="23"/>
      <c r="AG301" s="23"/>
      <c r="AH301" s="23">
        <v>1</v>
      </c>
      <c r="AI301" s="24">
        <v>0</v>
      </c>
      <c r="AJ301" s="25">
        <v>12.53</v>
      </c>
      <c r="AK301" s="23">
        <v>2.59</v>
      </c>
      <c r="AL301" s="23"/>
      <c r="AM301" s="24"/>
      <c r="AN301" s="23"/>
      <c r="AO301" s="24"/>
      <c r="AP301" s="23"/>
      <c r="AQ301" s="24"/>
      <c r="AR301" s="23">
        <v>6.49</v>
      </c>
      <c r="AS301" s="23"/>
      <c r="AT301" s="23"/>
      <c r="AU301" s="24"/>
      <c r="AW301" s="27">
        <f t="shared" si="55"/>
        <v>12.530301</v>
      </c>
      <c r="AX301" s="27">
        <f t="shared" si="56"/>
        <v>21.800301000000001</v>
      </c>
      <c r="AY301" s="27">
        <f t="shared" si="57"/>
        <v>7.5603009999999999</v>
      </c>
      <c r="AZ301" s="27">
        <f t="shared" si="58"/>
        <v>3.01E-4</v>
      </c>
    </row>
    <row r="302" spans="1:52" ht="15" customHeight="1" x14ac:dyDescent="0.25">
      <c r="A302" s="13" t="str">
        <f>VLOOKUP(L302,[1]VALIDAÇÃO!$D$13:$E$350,2,0)</f>
        <v>DIRETO</v>
      </c>
      <c r="B302" s="14" t="str">
        <f t="shared" si="60"/>
        <v>39RESERVA DO PAIVA SPE 01 LTDA.</v>
      </c>
      <c r="C302" s="15">
        <f t="shared" si="59"/>
        <v>39</v>
      </c>
      <c r="D302" s="16" t="str">
        <f t="shared" si="61"/>
        <v>31RESERVA DO PAIVA SPE 01 LTDA.</v>
      </c>
      <c r="E302" s="17">
        <f t="shared" si="52"/>
        <v>31</v>
      </c>
      <c r="F302" s="18" t="str">
        <f t="shared" si="62"/>
        <v>53RESERVA DO PAIVA SPE 01 LTDA.</v>
      </c>
      <c r="G302" s="18">
        <f t="shared" si="53"/>
        <v>53</v>
      </c>
      <c r="H302" s="19" t="str">
        <f t="shared" si="63"/>
        <v>32RESERVA DO PAIVA SPE 01 LTDA.</v>
      </c>
      <c r="I302" s="19">
        <f t="shared" si="54"/>
        <v>32</v>
      </c>
      <c r="J302" s="13" t="s">
        <v>68</v>
      </c>
      <c r="K302" s="13" t="s">
        <v>409</v>
      </c>
      <c r="L302" s="13" t="s">
        <v>54</v>
      </c>
      <c r="M302" s="13" t="s">
        <v>55</v>
      </c>
      <c r="N302" s="20">
        <v>2260.98</v>
      </c>
      <c r="O302" s="20">
        <v>1622.13</v>
      </c>
      <c r="P302" s="21">
        <v>45936</v>
      </c>
      <c r="Q302" s="22"/>
      <c r="R302" s="23">
        <v>1622.13</v>
      </c>
      <c r="S302" s="24"/>
      <c r="T302" s="23"/>
      <c r="U302" s="24"/>
      <c r="V302" s="23"/>
      <c r="W302" s="23">
        <v>0.9</v>
      </c>
      <c r="X302" s="24">
        <v>34</v>
      </c>
      <c r="Y302" s="23"/>
      <c r="Z302" s="23"/>
      <c r="AA302" s="23">
        <v>26.77</v>
      </c>
      <c r="AB302" s="23">
        <v>171.04999999999998</v>
      </c>
      <c r="AC302" s="24">
        <v>1251.7142857142858</v>
      </c>
      <c r="AD302" s="23">
        <v>409.88</v>
      </c>
      <c r="AE302" s="24">
        <v>2734.4285714285716</v>
      </c>
      <c r="AF302" s="23"/>
      <c r="AG302" s="23"/>
      <c r="AH302" s="23">
        <v>118.19</v>
      </c>
      <c r="AI302" s="24">
        <v>0</v>
      </c>
      <c r="AJ302" s="25">
        <v>710.5</v>
      </c>
      <c r="AK302" s="23">
        <v>159.37</v>
      </c>
      <c r="AL302" s="23"/>
      <c r="AM302" s="24"/>
      <c r="AN302" s="23"/>
      <c r="AO302" s="24"/>
      <c r="AP302" s="23">
        <v>369.94</v>
      </c>
      <c r="AQ302" s="24">
        <v>2581.5714285714284</v>
      </c>
      <c r="AR302" s="23">
        <v>224.43</v>
      </c>
      <c r="AS302" s="23">
        <v>-695.2</v>
      </c>
      <c r="AT302" s="23"/>
      <c r="AU302" s="24"/>
      <c r="AW302" s="27">
        <f t="shared" si="55"/>
        <v>710.50030200000003</v>
      </c>
      <c r="AX302" s="27">
        <f t="shared" si="56"/>
        <v>409.88030199999997</v>
      </c>
      <c r="AY302" s="27">
        <f t="shared" si="57"/>
        <v>171.05030199999999</v>
      </c>
      <c r="AZ302" s="27">
        <f t="shared" si="58"/>
        <v>369.94030199999997</v>
      </c>
    </row>
    <row r="303" spans="1:52" ht="15" customHeight="1" x14ac:dyDescent="0.25">
      <c r="A303" s="13" t="str">
        <f>VLOOKUP(L303,[1]VALIDAÇÃO!$D$13:$E$350,2,0)</f>
        <v>INDIRETO</v>
      </c>
      <c r="B303" s="14" t="str">
        <f t="shared" si="60"/>
        <v>118CONDOMINIO DO EDIFICIO EMPRESARIAL MARIE CURIE</v>
      </c>
      <c r="C303" s="15">
        <f t="shared" si="59"/>
        <v>118</v>
      </c>
      <c r="D303" s="16" t="str">
        <f t="shared" si="61"/>
        <v>15CONDOMINIO DO EDIFICIO EMPRESARIAL MARIE CURIE</v>
      </c>
      <c r="E303" s="17">
        <f t="shared" si="52"/>
        <v>15</v>
      </c>
      <c r="F303" s="18" t="str">
        <f t="shared" si="62"/>
        <v>46CONDOMINIO DO EDIFICIO EMPRESARIAL MARIE CURIE</v>
      </c>
      <c r="G303" s="18">
        <f t="shared" si="53"/>
        <v>46</v>
      </c>
      <c r="H303" s="19" t="str">
        <f t="shared" si="63"/>
        <v>88CONDOMINIO DO EDIFICIO EMPRESARIAL MARIE CURIE</v>
      </c>
      <c r="I303" s="19">
        <f t="shared" si="54"/>
        <v>88</v>
      </c>
      <c r="J303" s="13" t="s">
        <v>57</v>
      </c>
      <c r="K303" s="13" t="s">
        <v>410</v>
      </c>
      <c r="L303" s="13" t="s">
        <v>141</v>
      </c>
      <c r="M303" s="13" t="s">
        <v>60</v>
      </c>
      <c r="N303" s="20">
        <v>1426.85</v>
      </c>
      <c r="O303" s="20">
        <v>3533.34</v>
      </c>
      <c r="P303" s="21">
        <v>45278</v>
      </c>
      <c r="Q303" s="22"/>
      <c r="R303" s="23">
        <v>3533.34</v>
      </c>
      <c r="S303" s="24"/>
      <c r="T303" s="23"/>
      <c r="U303" s="24"/>
      <c r="V303" s="23"/>
      <c r="W303" s="23"/>
      <c r="X303" s="24"/>
      <c r="Y303" s="23"/>
      <c r="Z303" s="23"/>
      <c r="AA303" s="23"/>
      <c r="AB303" s="23">
        <v>83.72</v>
      </c>
      <c r="AC303" s="24">
        <v>224.53571428571428</v>
      </c>
      <c r="AD303" s="23">
        <v>353.04</v>
      </c>
      <c r="AE303" s="24">
        <v>896.27857142857147</v>
      </c>
      <c r="AF303" s="23"/>
      <c r="AG303" s="23"/>
      <c r="AH303" s="23"/>
      <c r="AI303" s="24"/>
      <c r="AJ303" s="25"/>
      <c r="AK303" s="23"/>
      <c r="AL303" s="23"/>
      <c r="AM303" s="24"/>
      <c r="AN303" s="23"/>
      <c r="AO303" s="24"/>
      <c r="AP303" s="23"/>
      <c r="AQ303" s="24"/>
      <c r="AR303" s="23">
        <v>86.600000000000009</v>
      </c>
      <c r="AS303" s="23">
        <v>-1514.29</v>
      </c>
      <c r="AT303" s="23"/>
      <c r="AU303" s="24"/>
      <c r="AW303" s="27">
        <f t="shared" si="55"/>
        <v>3.0299999999999999E-4</v>
      </c>
      <c r="AX303" s="27">
        <f t="shared" si="56"/>
        <v>353.04030299999999</v>
      </c>
      <c r="AY303" s="27">
        <f t="shared" si="57"/>
        <v>83.720303000000001</v>
      </c>
      <c r="AZ303" s="27">
        <f t="shared" si="58"/>
        <v>3.0299999999999999E-4</v>
      </c>
    </row>
    <row r="304" spans="1:52" ht="15" customHeight="1" x14ac:dyDescent="0.25">
      <c r="A304" s="13" t="str">
        <f>VLOOKUP(L304,[1]VALIDAÇÃO!$D$13:$E$350,2,0)</f>
        <v>INDIRETO</v>
      </c>
      <c r="B304" s="14" t="str">
        <f t="shared" si="60"/>
        <v>69RIO AVE 200 SPE LTDA.</v>
      </c>
      <c r="C304" s="15">
        <f t="shared" si="59"/>
        <v>69</v>
      </c>
      <c r="D304" s="16" t="str">
        <f t="shared" si="61"/>
        <v>7RIO AVE 200 SPE LTDA.</v>
      </c>
      <c r="E304" s="17">
        <f t="shared" si="52"/>
        <v>7</v>
      </c>
      <c r="F304" s="18" t="str">
        <f t="shared" si="62"/>
        <v>19RIO AVE 200 SPE LTDA.</v>
      </c>
      <c r="G304" s="18">
        <f t="shared" si="53"/>
        <v>19</v>
      </c>
      <c r="H304" s="19" t="str">
        <f t="shared" si="63"/>
        <v>58RIO AVE 200 SPE LTDA.</v>
      </c>
      <c r="I304" s="19">
        <f t="shared" si="54"/>
        <v>58</v>
      </c>
      <c r="J304" s="13" t="s">
        <v>48</v>
      </c>
      <c r="K304" s="13" t="s">
        <v>411</v>
      </c>
      <c r="L304" s="13" t="s">
        <v>141</v>
      </c>
      <c r="M304" s="13" t="s">
        <v>51</v>
      </c>
      <c r="N304" s="20">
        <v>1353.25</v>
      </c>
      <c r="O304" s="20">
        <v>3238.04</v>
      </c>
      <c r="P304" s="21">
        <v>45870</v>
      </c>
      <c r="Q304" s="22"/>
      <c r="R304" s="23">
        <v>3238.04</v>
      </c>
      <c r="S304" s="24"/>
      <c r="T304" s="23"/>
      <c r="U304" s="24"/>
      <c r="V304" s="23"/>
      <c r="W304" s="23"/>
      <c r="X304" s="24"/>
      <c r="Y304" s="23"/>
      <c r="Z304" s="23"/>
      <c r="AA304" s="23"/>
      <c r="AB304" s="23">
        <v>77.679999999999993</v>
      </c>
      <c r="AC304" s="24">
        <v>480.71428571428567</v>
      </c>
      <c r="AD304" s="23">
        <v>399.74</v>
      </c>
      <c r="AE304" s="24">
        <v>1635.3571428571429</v>
      </c>
      <c r="AF304" s="23"/>
      <c r="AG304" s="23"/>
      <c r="AH304" s="23"/>
      <c r="AI304" s="24"/>
      <c r="AJ304" s="25"/>
      <c r="AK304" s="23"/>
      <c r="AL304" s="23"/>
      <c r="AM304" s="24"/>
      <c r="AN304" s="23"/>
      <c r="AO304" s="24"/>
      <c r="AP304" s="23"/>
      <c r="AQ304" s="24"/>
      <c r="AR304" s="23">
        <v>100.08</v>
      </c>
      <c r="AS304" s="23">
        <v>-1387.73</v>
      </c>
      <c r="AT304" s="23"/>
      <c r="AU304" s="24"/>
      <c r="AW304" s="27">
        <f t="shared" si="55"/>
        <v>3.0400000000000002E-4</v>
      </c>
      <c r="AX304" s="27">
        <f t="shared" si="56"/>
        <v>399.74030400000004</v>
      </c>
      <c r="AY304" s="27">
        <f t="shared" si="57"/>
        <v>77.680303999999992</v>
      </c>
      <c r="AZ304" s="27">
        <f t="shared" si="58"/>
        <v>3.0400000000000002E-4</v>
      </c>
    </row>
    <row r="305" spans="1:52" ht="15" customHeight="1" x14ac:dyDescent="0.25">
      <c r="A305" s="13" t="str">
        <f>VLOOKUP(L305,[1]VALIDAÇÃO!$D$13:$E$350,2,0)</f>
        <v>DIRETO</v>
      </c>
      <c r="B305" s="14" t="str">
        <f t="shared" si="60"/>
        <v>84RIO AVE CARNEIROS 01 SPE LTDA.</v>
      </c>
      <c r="C305" s="15">
        <f t="shared" si="59"/>
        <v>84</v>
      </c>
      <c r="D305" s="16" t="str">
        <f t="shared" si="61"/>
        <v>80RIO AVE CARNEIROS 01 SPE LTDA.</v>
      </c>
      <c r="E305" s="17">
        <f t="shared" si="52"/>
        <v>80</v>
      </c>
      <c r="F305" s="18" t="str">
        <f t="shared" si="62"/>
        <v>25RIO AVE CARNEIROS 01 SPE LTDA.</v>
      </c>
      <c r="G305" s="18">
        <f t="shared" si="53"/>
        <v>25</v>
      </c>
      <c r="H305" s="19" t="str">
        <f t="shared" si="63"/>
        <v>127RIO AVE CARNEIROS 01 SPE LTDA.</v>
      </c>
      <c r="I305" s="19">
        <f t="shared" si="54"/>
        <v>127</v>
      </c>
      <c r="J305" s="13" t="s">
        <v>61</v>
      </c>
      <c r="K305" s="13" t="s">
        <v>412</v>
      </c>
      <c r="L305" s="13" t="s">
        <v>63</v>
      </c>
      <c r="M305" s="13" t="s">
        <v>55</v>
      </c>
      <c r="N305" s="20">
        <v>1539.83</v>
      </c>
      <c r="O305" s="20">
        <v>2156</v>
      </c>
      <c r="P305" s="21">
        <v>45964</v>
      </c>
      <c r="Q305" s="22"/>
      <c r="R305" s="23">
        <v>2156</v>
      </c>
      <c r="S305" s="24"/>
      <c r="T305" s="23"/>
      <c r="U305" s="24"/>
      <c r="V305" s="23"/>
      <c r="W305" s="23"/>
      <c r="X305" s="24"/>
      <c r="Y305" s="23"/>
      <c r="Z305" s="23"/>
      <c r="AA305" s="23">
        <v>2.02</v>
      </c>
      <c r="AB305" s="23">
        <v>173.82</v>
      </c>
      <c r="AC305" s="24">
        <v>1225.5999999999999</v>
      </c>
      <c r="AD305" s="23">
        <v>46.78</v>
      </c>
      <c r="AE305" s="24">
        <v>173.2</v>
      </c>
      <c r="AF305" s="23"/>
      <c r="AG305" s="23"/>
      <c r="AH305" s="23">
        <v>8.82</v>
      </c>
      <c r="AI305" s="24">
        <v>0</v>
      </c>
      <c r="AJ305" s="25">
        <v>286.73</v>
      </c>
      <c r="AK305" s="23">
        <v>66.31</v>
      </c>
      <c r="AL305" s="23"/>
      <c r="AM305" s="24"/>
      <c r="AN305" s="23"/>
      <c r="AO305" s="24"/>
      <c r="AP305" s="23"/>
      <c r="AQ305" s="24"/>
      <c r="AR305" s="23">
        <v>50.120000000000005</v>
      </c>
      <c r="AS305" s="23">
        <v>-1024</v>
      </c>
      <c r="AT305" s="23"/>
      <c r="AU305" s="24"/>
      <c r="AW305" s="27">
        <f t="shared" si="55"/>
        <v>286.73030500000004</v>
      </c>
      <c r="AX305" s="27">
        <f t="shared" si="56"/>
        <v>46.780304999999998</v>
      </c>
      <c r="AY305" s="27">
        <f t="shared" si="57"/>
        <v>173.82030499999999</v>
      </c>
      <c r="AZ305" s="27">
        <f t="shared" si="58"/>
        <v>3.0499999999999999E-4</v>
      </c>
    </row>
    <row r="306" spans="1:52" ht="15" customHeight="1" x14ac:dyDescent="0.25">
      <c r="A306" s="13" t="str">
        <f>VLOOKUP(L306,[1]VALIDAÇÃO!$D$13:$E$350,2,0)</f>
        <v>DIRETO</v>
      </c>
      <c r="B306" s="14" t="str">
        <f t="shared" si="60"/>
        <v>17RIO AVE CARNEIROS 01 SPE LTDA.</v>
      </c>
      <c r="C306" s="15">
        <f t="shared" si="59"/>
        <v>17</v>
      </c>
      <c r="D306" s="16" t="str">
        <f t="shared" si="61"/>
        <v>99RIO AVE CARNEIROS 01 SPE LTDA.</v>
      </c>
      <c r="E306" s="17">
        <f t="shared" si="52"/>
        <v>99</v>
      </c>
      <c r="F306" s="18" t="str">
        <f t="shared" si="62"/>
        <v>94RIO AVE CARNEIROS 01 SPE LTDA.</v>
      </c>
      <c r="G306" s="18">
        <f t="shared" si="53"/>
        <v>94</v>
      </c>
      <c r="H306" s="19" t="str">
        <f t="shared" si="63"/>
        <v>126RIO AVE CARNEIROS 01 SPE LTDA.</v>
      </c>
      <c r="I306" s="19">
        <f t="shared" si="54"/>
        <v>126</v>
      </c>
      <c r="J306" s="13" t="s">
        <v>61</v>
      </c>
      <c r="K306" s="13" t="s">
        <v>413</v>
      </c>
      <c r="L306" s="13" t="s">
        <v>87</v>
      </c>
      <c r="M306" s="13" t="s">
        <v>55</v>
      </c>
      <c r="N306" s="20">
        <v>1642.63</v>
      </c>
      <c r="O306" s="20">
        <v>2156</v>
      </c>
      <c r="P306" s="21">
        <v>45910</v>
      </c>
      <c r="Q306" s="22"/>
      <c r="R306" s="23">
        <v>2156</v>
      </c>
      <c r="S306" s="24"/>
      <c r="T306" s="23"/>
      <c r="U306" s="24"/>
      <c r="V306" s="23"/>
      <c r="W306" s="23"/>
      <c r="X306" s="24"/>
      <c r="Y306" s="23"/>
      <c r="Z306" s="23"/>
      <c r="AA306" s="23">
        <v>1.35</v>
      </c>
      <c r="AB306" s="23">
        <v>43.36</v>
      </c>
      <c r="AC306" s="24">
        <v>450.61428571428564</v>
      </c>
      <c r="AD306" s="23">
        <v>27.480000000000004</v>
      </c>
      <c r="AE306" s="24">
        <v>198.85714285714286</v>
      </c>
      <c r="AF306" s="23"/>
      <c r="AG306" s="23"/>
      <c r="AH306" s="23">
        <v>6.49</v>
      </c>
      <c r="AI306" s="24">
        <v>0</v>
      </c>
      <c r="AJ306" s="25">
        <v>732.47</v>
      </c>
      <c r="AK306" s="23">
        <v>161.78</v>
      </c>
      <c r="AL306" s="23">
        <v>-72.8</v>
      </c>
      <c r="AM306" s="24">
        <v>416</v>
      </c>
      <c r="AN306" s="23"/>
      <c r="AO306" s="24"/>
      <c r="AP306" s="23"/>
      <c r="AQ306" s="24"/>
      <c r="AR306" s="23">
        <v>14.75</v>
      </c>
      <c r="AS306" s="23">
        <v>-1014</v>
      </c>
      <c r="AT306" s="23"/>
      <c r="AU306" s="24"/>
      <c r="AW306" s="27">
        <f t="shared" si="55"/>
        <v>732.47030600000005</v>
      </c>
      <c r="AX306" s="27">
        <f t="shared" si="56"/>
        <v>27.480306000000002</v>
      </c>
      <c r="AY306" s="27">
        <f t="shared" si="57"/>
        <v>43.360306000000001</v>
      </c>
      <c r="AZ306" s="27">
        <f t="shared" si="58"/>
        <v>3.0600000000000001E-4</v>
      </c>
    </row>
    <row r="307" spans="1:52" ht="15" customHeight="1" x14ac:dyDescent="0.25">
      <c r="A307" s="13" t="str">
        <f>VLOOKUP(L307,[1]VALIDAÇÃO!$D$13:$E$350,2,0)</f>
        <v>INDIRETO</v>
      </c>
      <c r="B307" s="14" t="str">
        <f t="shared" si="60"/>
        <v>78RESERVA DO PAIVA SPE 01 LTDA.</v>
      </c>
      <c r="C307" s="15">
        <f t="shared" si="59"/>
        <v>78</v>
      </c>
      <c r="D307" s="16" t="str">
        <f t="shared" si="61"/>
        <v>3RESERVA DO PAIVA SPE 01 LTDA.</v>
      </c>
      <c r="E307" s="17">
        <f t="shared" si="52"/>
        <v>3</v>
      </c>
      <c r="F307" s="18" t="str">
        <f t="shared" si="62"/>
        <v>3RESERVA DO PAIVA SPE 01 LTDA.</v>
      </c>
      <c r="G307" s="18">
        <f t="shared" si="53"/>
        <v>3</v>
      </c>
      <c r="H307" s="19" t="str">
        <f t="shared" si="63"/>
        <v>2RESERVA DO PAIVA SPE 01 LTDA.</v>
      </c>
      <c r="I307" s="19">
        <f t="shared" si="54"/>
        <v>2</v>
      </c>
      <c r="J307" s="13" t="s">
        <v>68</v>
      </c>
      <c r="K307" s="13" t="s">
        <v>414</v>
      </c>
      <c r="L307" s="13" t="s">
        <v>415</v>
      </c>
      <c r="M307" s="13" t="s">
        <v>85</v>
      </c>
      <c r="N307" s="20">
        <v>3122.34</v>
      </c>
      <c r="O307" s="20">
        <v>4121.16</v>
      </c>
      <c r="P307" s="21">
        <v>45558</v>
      </c>
      <c r="Q307" s="22"/>
      <c r="R307" s="23">
        <v>4121.16</v>
      </c>
      <c r="S307" s="24"/>
      <c r="T307" s="23"/>
      <c r="U307" s="24"/>
      <c r="V307" s="23"/>
      <c r="W307" s="23"/>
      <c r="X307" s="24"/>
      <c r="Y307" s="23"/>
      <c r="Z307" s="23"/>
      <c r="AA307" s="23"/>
      <c r="AB307" s="23">
        <v>1038.8899999999999</v>
      </c>
      <c r="AC307" s="24">
        <v>2133.3085714285712</v>
      </c>
      <c r="AD307" s="23">
        <v>1551.1399999999999</v>
      </c>
      <c r="AE307" s="24">
        <v>3184.255714285714</v>
      </c>
      <c r="AF307" s="23"/>
      <c r="AG307" s="23"/>
      <c r="AH307" s="23"/>
      <c r="AI307" s="24"/>
      <c r="AJ307" s="25"/>
      <c r="AK307" s="23"/>
      <c r="AL307" s="23">
        <v>-75.31</v>
      </c>
      <c r="AM307" s="24">
        <v>225.14</v>
      </c>
      <c r="AN307" s="23"/>
      <c r="AO307" s="24"/>
      <c r="AP307" s="23">
        <v>1244.67</v>
      </c>
      <c r="AQ307" s="24">
        <v>2048.4071428571428</v>
      </c>
      <c r="AR307" s="23">
        <v>842.84</v>
      </c>
      <c r="AS307" s="23">
        <v>-1766.21</v>
      </c>
      <c r="AT307" s="23"/>
      <c r="AU307" s="24"/>
      <c r="AW307" s="27">
        <f t="shared" si="55"/>
        <v>3.0699999999999998E-4</v>
      </c>
      <c r="AX307" s="27">
        <f t="shared" si="56"/>
        <v>1551.1403069999999</v>
      </c>
      <c r="AY307" s="27">
        <f t="shared" si="57"/>
        <v>1038.8903069999999</v>
      </c>
      <c r="AZ307" s="27">
        <f t="shared" si="58"/>
        <v>1244.6703070000001</v>
      </c>
    </row>
    <row r="308" spans="1:52" ht="15" customHeight="1" x14ac:dyDescent="0.25">
      <c r="A308" s="13" t="str">
        <f>VLOOKUP(L308,[1]VALIDAÇÃO!$D$13:$E$350,2,0)</f>
        <v>DIRETO</v>
      </c>
      <c r="B308" s="14" t="str">
        <f t="shared" si="60"/>
        <v>44RIO AVE 200 SPE LTDA.</v>
      </c>
      <c r="C308" s="15">
        <f t="shared" si="59"/>
        <v>44</v>
      </c>
      <c r="D308" s="16" t="str">
        <f t="shared" si="61"/>
        <v>33RIO AVE 200 SPE LTDA.</v>
      </c>
      <c r="E308" s="17">
        <f t="shared" si="52"/>
        <v>33</v>
      </c>
      <c r="F308" s="18" t="str">
        <f t="shared" si="62"/>
        <v>30RIO AVE 200 SPE LTDA.</v>
      </c>
      <c r="G308" s="18">
        <f t="shared" si="53"/>
        <v>30</v>
      </c>
      <c r="H308" s="19" t="str">
        <f t="shared" si="63"/>
        <v>57RIO AVE 200 SPE LTDA.</v>
      </c>
      <c r="I308" s="19">
        <f t="shared" si="54"/>
        <v>57</v>
      </c>
      <c r="J308" s="13" t="s">
        <v>48</v>
      </c>
      <c r="K308" s="13" t="s">
        <v>416</v>
      </c>
      <c r="L308" s="13" t="s">
        <v>54</v>
      </c>
      <c r="M308" s="13" t="s">
        <v>55</v>
      </c>
      <c r="N308" s="20">
        <v>1021.2</v>
      </c>
      <c r="O308" s="20">
        <v>1622.13</v>
      </c>
      <c r="P308" s="21">
        <v>45855</v>
      </c>
      <c r="Q308" s="22"/>
      <c r="R308" s="23">
        <v>1622.13</v>
      </c>
      <c r="S308" s="24"/>
      <c r="T308" s="23"/>
      <c r="U308" s="24"/>
      <c r="V308" s="23"/>
      <c r="W308" s="23">
        <v>0.01</v>
      </c>
      <c r="X308" s="24">
        <v>0.8</v>
      </c>
      <c r="Y308" s="23"/>
      <c r="Z308" s="23"/>
      <c r="AA308" s="23">
        <v>1.21</v>
      </c>
      <c r="AB308" s="23">
        <v>25.31</v>
      </c>
      <c r="AC308" s="24">
        <v>269.14285714285717</v>
      </c>
      <c r="AD308" s="23">
        <v>124.49000000000001</v>
      </c>
      <c r="AE308" s="24">
        <v>990</v>
      </c>
      <c r="AF308" s="23"/>
      <c r="AG308" s="23"/>
      <c r="AH308" s="23">
        <v>5.92</v>
      </c>
      <c r="AI308" s="24">
        <v>0</v>
      </c>
      <c r="AJ308" s="25">
        <v>292.3</v>
      </c>
      <c r="AK308" s="23">
        <v>63.5</v>
      </c>
      <c r="AL308" s="23"/>
      <c r="AM308" s="24"/>
      <c r="AN308" s="23"/>
      <c r="AO308" s="24"/>
      <c r="AP308" s="23"/>
      <c r="AQ308" s="24"/>
      <c r="AR308" s="23">
        <v>30.13</v>
      </c>
      <c r="AS308" s="23">
        <v>-695.2</v>
      </c>
      <c r="AT308" s="23"/>
      <c r="AU308" s="24"/>
      <c r="AW308" s="27">
        <f t="shared" si="55"/>
        <v>292.30030800000003</v>
      </c>
      <c r="AX308" s="27">
        <f t="shared" si="56"/>
        <v>124.49030800000001</v>
      </c>
      <c r="AY308" s="27">
        <f t="shared" si="57"/>
        <v>25.310307999999999</v>
      </c>
      <c r="AZ308" s="27">
        <f t="shared" si="58"/>
        <v>3.0800000000000001E-4</v>
      </c>
    </row>
    <row r="309" spans="1:52" ht="15" customHeight="1" x14ac:dyDescent="0.25">
      <c r="A309" s="13" t="str">
        <f>VLOOKUP(L309,[1]VALIDAÇÃO!$D$13:$E$350,2,0)</f>
        <v>DIRETO</v>
      </c>
      <c r="B309" s="14" t="str">
        <f t="shared" si="60"/>
        <v>4RIO AVE 130 SPE LTDA</v>
      </c>
      <c r="C309" s="15">
        <f t="shared" si="59"/>
        <v>4</v>
      </c>
      <c r="D309" s="16" t="str">
        <f t="shared" si="61"/>
        <v>9RIO AVE 130 SPE LTDA</v>
      </c>
      <c r="E309" s="17">
        <f t="shared" si="52"/>
        <v>9</v>
      </c>
      <c r="F309" s="18" t="str">
        <f t="shared" si="62"/>
        <v>52RIO AVE 130 SPE LTDA</v>
      </c>
      <c r="G309" s="18">
        <f t="shared" si="53"/>
        <v>52</v>
      </c>
      <c r="H309" s="19" t="str">
        <f t="shared" si="63"/>
        <v>59RIO AVE 130 SPE LTDA</v>
      </c>
      <c r="I309" s="19">
        <f t="shared" si="54"/>
        <v>59</v>
      </c>
      <c r="J309" s="13" t="s">
        <v>102</v>
      </c>
      <c r="K309" s="13" t="s">
        <v>417</v>
      </c>
      <c r="L309" s="13" t="s">
        <v>63</v>
      </c>
      <c r="M309" s="13" t="s">
        <v>55</v>
      </c>
      <c r="N309" s="20">
        <v>2254.6799999999998</v>
      </c>
      <c r="O309" s="20">
        <v>2156</v>
      </c>
      <c r="P309" s="21">
        <v>45180</v>
      </c>
      <c r="Q309" s="22"/>
      <c r="R309" s="23">
        <v>2156</v>
      </c>
      <c r="S309" s="24"/>
      <c r="T309" s="23"/>
      <c r="U309" s="24"/>
      <c r="V309" s="23"/>
      <c r="W309" s="23"/>
      <c r="X309" s="24"/>
      <c r="Y309" s="23"/>
      <c r="Z309" s="23"/>
      <c r="AA309" s="23">
        <v>17.149999999999999</v>
      </c>
      <c r="AB309" s="23">
        <v>2.67</v>
      </c>
      <c r="AC309" s="24">
        <v>8.9600000000000009</v>
      </c>
      <c r="AD309" s="23">
        <v>735.56</v>
      </c>
      <c r="AE309" s="24">
        <v>2666.4714285714285</v>
      </c>
      <c r="AF309" s="23"/>
      <c r="AG309" s="23"/>
      <c r="AH309" s="23">
        <v>77.8</v>
      </c>
      <c r="AI309" s="24">
        <v>0</v>
      </c>
      <c r="AJ309" s="25">
        <v>1188.33</v>
      </c>
      <c r="AK309" s="23">
        <v>263.99</v>
      </c>
      <c r="AL309" s="23">
        <v>-15.4</v>
      </c>
      <c r="AM309" s="24">
        <v>88</v>
      </c>
      <c r="AN309" s="23"/>
      <c r="AO309" s="24"/>
      <c r="AP309" s="23"/>
      <c r="AQ309" s="24"/>
      <c r="AR309" s="23">
        <v>159.41</v>
      </c>
      <c r="AS309" s="23">
        <v>-1006.4</v>
      </c>
      <c r="AT309" s="23"/>
      <c r="AU309" s="24"/>
      <c r="AW309" s="27">
        <f t="shared" si="55"/>
        <v>1188.3303089999999</v>
      </c>
      <c r="AX309" s="27">
        <f t="shared" si="56"/>
        <v>735.56030899999996</v>
      </c>
      <c r="AY309" s="27">
        <f t="shared" si="57"/>
        <v>2.670309</v>
      </c>
      <c r="AZ309" s="27">
        <f t="shared" si="58"/>
        <v>3.0899999999999998E-4</v>
      </c>
    </row>
    <row r="310" spans="1:52" ht="15" customHeight="1" x14ac:dyDescent="0.25">
      <c r="A310" s="13" t="str">
        <f>VLOOKUP(L310,[1]VALIDAÇÃO!$D$13:$E$350,2,0)</f>
        <v>DIRETO</v>
      </c>
      <c r="B310" s="14" t="str">
        <f t="shared" si="60"/>
        <v>6RIO AVE 130 SPE LTDA</v>
      </c>
      <c r="C310" s="15">
        <f t="shared" si="59"/>
        <v>6</v>
      </c>
      <c r="D310" s="16" t="str">
        <f t="shared" si="61"/>
        <v>54RIO AVE 130 SPE LTDA</v>
      </c>
      <c r="E310" s="17">
        <f t="shared" si="52"/>
        <v>54</v>
      </c>
      <c r="F310" s="18" t="str">
        <f t="shared" si="62"/>
        <v>13RIO AVE 130 SPE LTDA</v>
      </c>
      <c r="G310" s="18">
        <f t="shared" si="53"/>
        <v>13</v>
      </c>
      <c r="H310" s="19" t="str">
        <f t="shared" si="63"/>
        <v>34RIO AVE 130 SPE LTDA</v>
      </c>
      <c r="I310" s="19">
        <f t="shared" si="54"/>
        <v>34</v>
      </c>
      <c r="J310" s="13" t="s">
        <v>102</v>
      </c>
      <c r="K310" s="13" t="s">
        <v>418</v>
      </c>
      <c r="L310" s="13" t="s">
        <v>131</v>
      </c>
      <c r="M310" s="13" t="s">
        <v>55</v>
      </c>
      <c r="N310" s="20">
        <v>1825.55</v>
      </c>
      <c r="O310" s="20">
        <v>2156</v>
      </c>
      <c r="P310" s="21">
        <v>45236</v>
      </c>
      <c r="Q310" s="22"/>
      <c r="R310" s="23">
        <v>2156</v>
      </c>
      <c r="S310" s="24"/>
      <c r="T310" s="23"/>
      <c r="U310" s="24"/>
      <c r="V310" s="23"/>
      <c r="W310" s="23"/>
      <c r="X310" s="24"/>
      <c r="Y310" s="23"/>
      <c r="Z310" s="23"/>
      <c r="AA310" s="23">
        <v>7.3500000000000005</v>
      </c>
      <c r="AB310" s="23">
        <v>287.10000000000002</v>
      </c>
      <c r="AC310" s="24">
        <v>977.60285714285715</v>
      </c>
      <c r="AD310" s="23">
        <v>2.0599999999999996</v>
      </c>
      <c r="AE310" s="24">
        <v>7.2142857142857144</v>
      </c>
      <c r="AF310" s="23"/>
      <c r="AG310" s="23"/>
      <c r="AH310" s="23">
        <v>32.510000000000005</v>
      </c>
      <c r="AI310" s="24">
        <v>0</v>
      </c>
      <c r="AJ310" s="25">
        <v>1143.06</v>
      </c>
      <c r="AK310" s="23">
        <v>250.37</v>
      </c>
      <c r="AL310" s="23">
        <v>-25.38</v>
      </c>
      <c r="AM310" s="24">
        <v>145</v>
      </c>
      <c r="AN310" s="23"/>
      <c r="AO310" s="24"/>
      <c r="AP310" s="23">
        <v>12.34</v>
      </c>
      <c r="AQ310" s="24">
        <v>35.25</v>
      </c>
      <c r="AR310" s="23">
        <v>67.930000000000007</v>
      </c>
      <c r="AS310" s="23">
        <v>-924</v>
      </c>
      <c r="AT310" s="23"/>
      <c r="AU310" s="24"/>
      <c r="AW310" s="27">
        <f t="shared" si="55"/>
        <v>1143.0603099999998</v>
      </c>
      <c r="AX310" s="27">
        <f t="shared" si="56"/>
        <v>2.0603099999999994</v>
      </c>
      <c r="AY310" s="27">
        <f t="shared" si="57"/>
        <v>287.10031000000004</v>
      </c>
      <c r="AZ310" s="27">
        <f t="shared" si="58"/>
        <v>12.340310000000001</v>
      </c>
    </row>
    <row r="311" spans="1:52" ht="15" customHeight="1" x14ac:dyDescent="0.25">
      <c r="A311" s="13" t="str">
        <f>VLOOKUP(L311,[1]VALIDAÇÃO!$D$13:$E$350,2,0)</f>
        <v>DIRETO</v>
      </c>
      <c r="B311" s="14" t="str">
        <f t="shared" si="60"/>
        <v>60CONDOMINIO DO EDIFICIO EMPRESARIAL MARIE CURIE</v>
      </c>
      <c r="C311" s="15">
        <f t="shared" si="59"/>
        <v>60</v>
      </c>
      <c r="D311" s="16" t="str">
        <f t="shared" si="61"/>
        <v>38CONDOMINIO DO EDIFICIO EMPRESARIAL MARIE CURIE</v>
      </c>
      <c r="E311" s="17">
        <f t="shared" si="52"/>
        <v>38</v>
      </c>
      <c r="F311" s="18" t="str">
        <f t="shared" si="62"/>
        <v>25CONDOMINIO DO EDIFICIO EMPRESARIAL MARIE CURIE</v>
      </c>
      <c r="G311" s="18">
        <f t="shared" si="53"/>
        <v>25</v>
      </c>
      <c r="H311" s="19" t="str">
        <f t="shared" si="63"/>
        <v>87CONDOMINIO DO EDIFICIO EMPRESARIAL MARIE CURIE</v>
      </c>
      <c r="I311" s="19">
        <f t="shared" si="54"/>
        <v>87</v>
      </c>
      <c r="J311" s="13" t="s">
        <v>57</v>
      </c>
      <c r="K311" s="13" t="s">
        <v>419</v>
      </c>
      <c r="L311" s="13" t="s">
        <v>54</v>
      </c>
      <c r="M311" s="13" t="s">
        <v>60</v>
      </c>
      <c r="N311" s="20">
        <v>864.81</v>
      </c>
      <c r="O311" s="20">
        <v>1622.13</v>
      </c>
      <c r="P311" s="21">
        <v>45574</v>
      </c>
      <c r="Q311" s="22"/>
      <c r="R311" s="23">
        <v>1622.13</v>
      </c>
      <c r="S311" s="24"/>
      <c r="T311" s="23"/>
      <c r="U311" s="24"/>
      <c r="V311" s="23"/>
      <c r="W311" s="23"/>
      <c r="X311" s="24"/>
      <c r="Y311" s="23"/>
      <c r="Z311" s="23"/>
      <c r="AA311" s="23">
        <v>3.1100000000000003</v>
      </c>
      <c r="AB311" s="23">
        <v>157.80000000000001</v>
      </c>
      <c r="AC311" s="24">
        <v>907.55142857142857</v>
      </c>
      <c r="AD311" s="23">
        <v>200.21</v>
      </c>
      <c r="AE311" s="24">
        <v>1134.3599999999999</v>
      </c>
      <c r="AF311" s="23"/>
      <c r="AG311" s="23"/>
      <c r="AH311" s="23">
        <v>14.23</v>
      </c>
      <c r="AI311" s="24">
        <v>0</v>
      </c>
      <c r="AJ311" s="25">
        <v>428.62</v>
      </c>
      <c r="AK311" s="23">
        <v>93.72</v>
      </c>
      <c r="AL311" s="23"/>
      <c r="AM311" s="24"/>
      <c r="AN311" s="23"/>
      <c r="AO311" s="24"/>
      <c r="AP311" s="23"/>
      <c r="AQ311" s="24"/>
      <c r="AR311" s="23">
        <v>70.94</v>
      </c>
      <c r="AS311" s="23">
        <v>-695.2</v>
      </c>
      <c r="AT311" s="23"/>
      <c r="AU311" s="24"/>
      <c r="AW311" s="27">
        <f t="shared" si="55"/>
        <v>428.62031100000002</v>
      </c>
      <c r="AX311" s="27">
        <f t="shared" si="56"/>
        <v>200.21031100000002</v>
      </c>
      <c r="AY311" s="27">
        <f t="shared" si="57"/>
        <v>157.80031100000002</v>
      </c>
      <c r="AZ311" s="27">
        <f t="shared" si="58"/>
        <v>3.1100000000000002E-4</v>
      </c>
    </row>
    <row r="312" spans="1:52" ht="15" customHeight="1" x14ac:dyDescent="0.25">
      <c r="A312" s="13" t="str">
        <f>VLOOKUP(L312,[1]VALIDAÇÃO!$D$13:$E$350,2,0)</f>
        <v>DIRETO</v>
      </c>
      <c r="B312" s="14" t="str">
        <f t="shared" si="60"/>
        <v>151RESERVA DO PAIVA SPE 03 LTDA</v>
      </c>
      <c r="C312" s="15">
        <f t="shared" si="59"/>
        <v>151</v>
      </c>
      <c r="D312" s="16" t="str">
        <f t="shared" si="61"/>
        <v>137RESERVA DO PAIVA SPE 03 LTDA</v>
      </c>
      <c r="E312" s="17">
        <f t="shared" si="52"/>
        <v>137</v>
      </c>
      <c r="F312" s="18" t="str">
        <f t="shared" si="62"/>
        <v>150RESERVA DO PAIVA SPE 03 LTDA</v>
      </c>
      <c r="G312" s="18">
        <f t="shared" si="53"/>
        <v>150</v>
      </c>
      <c r="H312" s="19" t="str">
        <f t="shared" si="63"/>
        <v>132RESERVA DO PAIVA SPE 03 LTDA</v>
      </c>
      <c r="I312" s="19">
        <f t="shared" si="54"/>
        <v>132</v>
      </c>
      <c r="J312" s="13" t="s">
        <v>52</v>
      </c>
      <c r="K312" s="13" t="s">
        <v>420</v>
      </c>
      <c r="L312" s="13" t="s">
        <v>63</v>
      </c>
      <c r="M312" s="13" t="s">
        <v>55</v>
      </c>
      <c r="N312" s="20">
        <v>880.83</v>
      </c>
      <c r="O312" s="20">
        <v>2156</v>
      </c>
      <c r="P312" s="21">
        <v>45992</v>
      </c>
      <c r="Q312" s="22"/>
      <c r="R312" s="23">
        <v>2156</v>
      </c>
      <c r="S312" s="24"/>
      <c r="T312" s="23"/>
      <c r="U312" s="24"/>
      <c r="V312" s="23"/>
      <c r="W312" s="23"/>
      <c r="X312" s="24"/>
      <c r="Y312" s="23"/>
      <c r="Z312" s="23"/>
      <c r="AA312" s="23"/>
      <c r="AB312" s="23"/>
      <c r="AC312" s="24"/>
      <c r="AD312" s="23">
        <v>18.149999999999999</v>
      </c>
      <c r="AE312" s="24">
        <v>61</v>
      </c>
      <c r="AF312" s="23"/>
      <c r="AG312" s="23"/>
      <c r="AH312" s="23"/>
      <c r="AI312" s="24"/>
      <c r="AJ312" s="25"/>
      <c r="AK312" s="23"/>
      <c r="AL312" s="23"/>
      <c r="AM312" s="24"/>
      <c r="AN312" s="23">
        <v>-77</v>
      </c>
      <c r="AO312" s="24">
        <v>1</v>
      </c>
      <c r="AP312" s="23"/>
      <c r="AQ312" s="24"/>
      <c r="AR312" s="23">
        <v>3.95</v>
      </c>
      <c r="AS312" s="23">
        <v>-924</v>
      </c>
      <c r="AT312" s="23">
        <v>-77</v>
      </c>
      <c r="AU312" s="24">
        <v>1</v>
      </c>
      <c r="AW312" s="27">
        <f t="shared" si="55"/>
        <v>3.1199999999999999E-4</v>
      </c>
      <c r="AX312" s="27">
        <f t="shared" si="56"/>
        <v>18.150312</v>
      </c>
      <c r="AY312" s="27">
        <f t="shared" si="57"/>
        <v>3.1199999999999999E-4</v>
      </c>
      <c r="AZ312" s="27">
        <f t="shared" si="58"/>
        <v>3.1199999999999999E-4</v>
      </c>
    </row>
    <row r="313" spans="1:52" ht="15" customHeight="1" x14ac:dyDescent="0.25">
      <c r="A313" s="13" t="str">
        <f>VLOOKUP(L313,[1]VALIDAÇÃO!$D$13:$E$350,2,0)</f>
        <v>DIRETO</v>
      </c>
      <c r="B313" s="14" t="str">
        <f t="shared" si="60"/>
        <v>126RESERVA DO PAIVA SPE 03 LTDA</v>
      </c>
      <c r="C313" s="15">
        <f t="shared" si="59"/>
        <v>126</v>
      </c>
      <c r="D313" s="16" t="str">
        <f t="shared" si="61"/>
        <v>97RESERVA DO PAIVA SPE 03 LTDA</v>
      </c>
      <c r="E313" s="17">
        <f t="shared" si="52"/>
        <v>97</v>
      </c>
      <c r="F313" s="18" t="str">
        <f t="shared" si="62"/>
        <v>96RESERVA DO PAIVA SPE 03 LTDA</v>
      </c>
      <c r="G313" s="18">
        <f t="shared" si="53"/>
        <v>96</v>
      </c>
      <c r="H313" s="19" t="str">
        <f t="shared" si="63"/>
        <v>80RESERVA DO PAIVA SPE 03 LTDA</v>
      </c>
      <c r="I313" s="19">
        <f t="shared" si="54"/>
        <v>80</v>
      </c>
      <c r="J313" s="13" t="s">
        <v>52</v>
      </c>
      <c r="K313" s="13" t="s">
        <v>421</v>
      </c>
      <c r="L313" s="13" t="s">
        <v>54</v>
      </c>
      <c r="M313" s="13" t="s">
        <v>55</v>
      </c>
      <c r="N313" s="20">
        <v>0</v>
      </c>
      <c r="O313" s="20">
        <v>1564.2</v>
      </c>
      <c r="P313" s="21">
        <v>45798</v>
      </c>
      <c r="Q313" s="22"/>
      <c r="R313" s="23">
        <v>1564.2</v>
      </c>
      <c r="S313" s="24"/>
      <c r="T313" s="23"/>
      <c r="U313" s="24"/>
      <c r="V313" s="23"/>
      <c r="W313" s="23">
        <v>0.43</v>
      </c>
      <c r="X313" s="24">
        <v>27.74</v>
      </c>
      <c r="Y313" s="23"/>
      <c r="Z313" s="23"/>
      <c r="AA313" s="23">
        <v>0.6</v>
      </c>
      <c r="AB313" s="23">
        <v>54.24</v>
      </c>
      <c r="AC313" s="24">
        <v>415.38</v>
      </c>
      <c r="AD313" s="23">
        <v>147.04</v>
      </c>
      <c r="AE313" s="24">
        <v>1126.1199999999999</v>
      </c>
      <c r="AF313" s="23"/>
      <c r="AG313" s="23"/>
      <c r="AH313" s="23">
        <v>3</v>
      </c>
      <c r="AI313" s="24">
        <v>0</v>
      </c>
      <c r="AJ313" s="25">
        <v>17.600000000000001</v>
      </c>
      <c r="AK313" s="23">
        <v>3.63</v>
      </c>
      <c r="AL313" s="23">
        <v>-7.66</v>
      </c>
      <c r="AM313" s="24">
        <v>58.17</v>
      </c>
      <c r="AN313" s="23">
        <v>-753.13</v>
      </c>
      <c r="AO313" s="24">
        <v>13</v>
      </c>
      <c r="AP313" s="23">
        <v>10.49</v>
      </c>
      <c r="AQ313" s="24">
        <v>68.31</v>
      </c>
      <c r="AR313" s="23">
        <v>43.63</v>
      </c>
      <c r="AS313" s="23">
        <v>-695.2</v>
      </c>
      <c r="AT313" s="23">
        <v>-173.8</v>
      </c>
      <c r="AU313" s="24">
        <v>3</v>
      </c>
      <c r="AW313" s="27">
        <f t="shared" si="55"/>
        <v>17.600313</v>
      </c>
      <c r="AX313" s="27">
        <f t="shared" si="56"/>
        <v>147.040313</v>
      </c>
      <c r="AY313" s="27">
        <f t="shared" si="57"/>
        <v>54.240313</v>
      </c>
      <c r="AZ313" s="27">
        <f t="shared" si="58"/>
        <v>10.490313</v>
      </c>
    </row>
    <row r="314" spans="1:52" ht="15" customHeight="1" x14ac:dyDescent="0.25">
      <c r="A314" s="13" t="str">
        <f>VLOOKUP(L314,[1]VALIDAÇÃO!$D$13:$E$350,2,0)</f>
        <v>DIRETO</v>
      </c>
      <c r="B314" s="14" t="str">
        <f t="shared" si="60"/>
        <v>66CONDOMINIO DO EDIFICIO EMPRESARIAL MARIE CURIE</v>
      </c>
      <c r="C314" s="15">
        <f t="shared" si="59"/>
        <v>66</v>
      </c>
      <c r="D314" s="16" t="str">
        <f t="shared" si="61"/>
        <v>20CONDOMINIO DO EDIFICIO EMPRESARIAL MARIE CURIE</v>
      </c>
      <c r="E314" s="17">
        <f t="shared" si="52"/>
        <v>20</v>
      </c>
      <c r="F314" s="18" t="str">
        <f t="shared" si="62"/>
        <v>44CONDOMINIO DO EDIFICIO EMPRESARIAL MARIE CURIE</v>
      </c>
      <c r="G314" s="18">
        <f t="shared" si="53"/>
        <v>44</v>
      </c>
      <c r="H314" s="19" t="str">
        <f t="shared" si="63"/>
        <v>31CONDOMINIO DO EDIFICIO EMPRESARIAL MARIE CURIE</v>
      </c>
      <c r="I314" s="19">
        <f t="shared" si="54"/>
        <v>31</v>
      </c>
      <c r="J314" s="13" t="s">
        <v>57</v>
      </c>
      <c r="K314" s="13" t="s">
        <v>422</v>
      </c>
      <c r="L314" s="13" t="s">
        <v>423</v>
      </c>
      <c r="M314" s="13" t="s">
        <v>60</v>
      </c>
      <c r="N314" s="20">
        <v>952.26</v>
      </c>
      <c r="O314" s="20">
        <v>2156</v>
      </c>
      <c r="P314" s="21">
        <v>45567</v>
      </c>
      <c r="Q314" s="22"/>
      <c r="R314" s="23">
        <v>2156</v>
      </c>
      <c r="S314" s="24"/>
      <c r="T314" s="23"/>
      <c r="U314" s="24"/>
      <c r="V314" s="23"/>
      <c r="W314" s="23"/>
      <c r="X314" s="24"/>
      <c r="Y314" s="23"/>
      <c r="Z314" s="23"/>
      <c r="AA314" s="23">
        <v>2.4500000000000002</v>
      </c>
      <c r="AB314" s="23">
        <v>87.77000000000001</v>
      </c>
      <c r="AC314" s="24">
        <v>376.41999999999996</v>
      </c>
      <c r="AD314" s="23">
        <v>291.88</v>
      </c>
      <c r="AE314" s="24">
        <v>1255.8414285714284</v>
      </c>
      <c r="AF314" s="23"/>
      <c r="AG314" s="23"/>
      <c r="AH314" s="23">
        <v>11.68</v>
      </c>
      <c r="AI314" s="24">
        <v>0</v>
      </c>
      <c r="AJ314" s="25">
        <v>346.88999999999993</v>
      </c>
      <c r="AK314" s="23">
        <v>73.900000000000006</v>
      </c>
      <c r="AL314" s="23"/>
      <c r="AM314" s="24"/>
      <c r="AN314" s="23"/>
      <c r="AO314" s="24"/>
      <c r="AP314" s="23">
        <v>13.350000000000001</v>
      </c>
      <c r="AQ314" s="24">
        <v>48.652857142857144</v>
      </c>
      <c r="AR314" s="23">
        <v>80.399999999999991</v>
      </c>
      <c r="AS314" s="23">
        <v>-924</v>
      </c>
      <c r="AT314" s="23"/>
      <c r="AU314" s="24"/>
      <c r="AW314" s="27">
        <f t="shared" si="55"/>
        <v>346.89031399999993</v>
      </c>
      <c r="AX314" s="27">
        <f t="shared" si="56"/>
        <v>291.880314</v>
      </c>
      <c r="AY314" s="27">
        <f t="shared" si="57"/>
        <v>87.770314000000013</v>
      </c>
      <c r="AZ314" s="27">
        <f t="shared" si="58"/>
        <v>13.350314000000001</v>
      </c>
    </row>
    <row r="315" spans="1:52" ht="15" customHeight="1" x14ac:dyDescent="0.25">
      <c r="A315" s="13" t="str">
        <f>VLOOKUP(L315,[1]VALIDAÇÃO!$D$13:$E$350,2,0)</f>
        <v>DIRETO</v>
      </c>
      <c r="B315" s="14" t="str">
        <f t="shared" si="60"/>
        <v>111CONDOMINIO DO EDIFICIO EMPRESARIAL MARIE CURIE</v>
      </c>
      <c r="C315" s="15">
        <f t="shared" si="59"/>
        <v>111</v>
      </c>
      <c r="D315" s="16" t="str">
        <f t="shared" si="61"/>
        <v>97CONDOMINIO DO EDIFICIO EMPRESARIAL MARIE CURIE</v>
      </c>
      <c r="E315" s="17">
        <f t="shared" si="52"/>
        <v>97</v>
      </c>
      <c r="F315" s="18" t="str">
        <f t="shared" si="62"/>
        <v>112CONDOMINIO DO EDIFICIO EMPRESARIAL MARIE CURIE</v>
      </c>
      <c r="G315" s="18">
        <f t="shared" si="53"/>
        <v>112</v>
      </c>
      <c r="H315" s="19" t="str">
        <f t="shared" si="63"/>
        <v>86CONDOMINIO DO EDIFICIO EMPRESARIAL MARIE CURIE</v>
      </c>
      <c r="I315" s="19">
        <f t="shared" si="54"/>
        <v>86</v>
      </c>
      <c r="J315" s="13" t="s">
        <v>57</v>
      </c>
      <c r="K315" s="13" t="s">
        <v>424</v>
      </c>
      <c r="L315" s="13" t="s">
        <v>114</v>
      </c>
      <c r="M315" s="13" t="s">
        <v>60</v>
      </c>
      <c r="N315" s="20">
        <v>234.62</v>
      </c>
      <c r="O315" s="20">
        <v>1622.13</v>
      </c>
      <c r="P315" s="21">
        <v>45792</v>
      </c>
      <c r="Q315" s="22"/>
      <c r="R315" s="23">
        <v>1622.13</v>
      </c>
      <c r="S315" s="24"/>
      <c r="T315" s="23"/>
      <c r="U315" s="24"/>
      <c r="V315" s="23"/>
      <c r="W315" s="23"/>
      <c r="X315" s="24"/>
      <c r="Y315" s="23"/>
      <c r="Z315" s="23"/>
      <c r="AA315" s="23">
        <v>0.16</v>
      </c>
      <c r="AB315" s="23"/>
      <c r="AC315" s="24"/>
      <c r="AD315" s="23">
        <v>35.010000000000005</v>
      </c>
      <c r="AE315" s="24">
        <v>291.45714285714286</v>
      </c>
      <c r="AF315" s="23"/>
      <c r="AG315" s="23"/>
      <c r="AH315" s="23">
        <v>0.85</v>
      </c>
      <c r="AI315" s="24">
        <v>0</v>
      </c>
      <c r="AJ315" s="25">
        <v>76.83</v>
      </c>
      <c r="AK315" s="23">
        <v>14.799999999999999</v>
      </c>
      <c r="AL315" s="23"/>
      <c r="AM315" s="24"/>
      <c r="AN315" s="23">
        <v>-463.47</v>
      </c>
      <c r="AO315" s="24">
        <v>8</v>
      </c>
      <c r="AP315" s="23"/>
      <c r="AQ315" s="24"/>
      <c r="AR315" s="23">
        <v>7.1099999999999994</v>
      </c>
      <c r="AS315" s="23">
        <v>-695.2</v>
      </c>
      <c r="AT315" s="23">
        <v>-115.87</v>
      </c>
      <c r="AU315" s="24">
        <v>2</v>
      </c>
      <c r="AW315" s="27">
        <f t="shared" si="55"/>
        <v>76.830314999999999</v>
      </c>
      <c r="AX315" s="27">
        <f t="shared" si="56"/>
        <v>35.010315000000006</v>
      </c>
      <c r="AY315" s="27">
        <f t="shared" si="57"/>
        <v>3.1500000000000001E-4</v>
      </c>
      <c r="AZ315" s="27">
        <f t="shared" si="58"/>
        <v>3.1500000000000001E-4</v>
      </c>
    </row>
    <row r="316" spans="1:52" ht="15" customHeight="1" x14ac:dyDescent="0.25">
      <c r="A316" s="13" t="str">
        <f>VLOOKUP(L316,[1]VALIDAÇÃO!$D$13:$E$350,2,0)</f>
        <v>DIRETO</v>
      </c>
      <c r="B316" s="14" t="str">
        <f t="shared" si="60"/>
        <v>8RIO AVE 200 SPE LTDA.</v>
      </c>
      <c r="C316" s="15">
        <f t="shared" si="59"/>
        <v>8</v>
      </c>
      <c r="D316" s="16" t="str">
        <f t="shared" si="61"/>
        <v>42RIO AVE 200 SPE LTDA.</v>
      </c>
      <c r="E316" s="17">
        <f t="shared" si="52"/>
        <v>42</v>
      </c>
      <c r="F316" s="18" t="str">
        <f t="shared" si="62"/>
        <v>67RIO AVE 200 SPE LTDA.</v>
      </c>
      <c r="G316" s="18">
        <f t="shared" si="53"/>
        <v>67</v>
      </c>
      <c r="H316" s="19" t="str">
        <f t="shared" si="63"/>
        <v>56RIO AVE 200 SPE LTDA.</v>
      </c>
      <c r="I316" s="19">
        <f t="shared" si="54"/>
        <v>56</v>
      </c>
      <c r="J316" s="13" t="s">
        <v>48</v>
      </c>
      <c r="K316" s="13" t="s">
        <v>425</v>
      </c>
      <c r="L316" s="13" t="s">
        <v>66</v>
      </c>
      <c r="M316" s="13" t="s">
        <v>55</v>
      </c>
      <c r="N316" s="20">
        <v>1993.62</v>
      </c>
      <c r="O316" s="20">
        <v>2156</v>
      </c>
      <c r="P316" s="21">
        <v>45938</v>
      </c>
      <c r="Q316" s="22"/>
      <c r="R316" s="23">
        <v>2156</v>
      </c>
      <c r="S316" s="24"/>
      <c r="T316" s="23"/>
      <c r="U316" s="24"/>
      <c r="V316" s="23"/>
      <c r="W316" s="23"/>
      <c r="X316" s="24"/>
      <c r="Y316" s="23"/>
      <c r="Z316" s="23"/>
      <c r="AA316" s="23">
        <v>3.2</v>
      </c>
      <c r="AB316" s="23"/>
      <c r="AC316" s="24"/>
      <c r="AD316" s="23">
        <v>102.91999999999999</v>
      </c>
      <c r="AE316" s="24">
        <v>385.85714285714283</v>
      </c>
      <c r="AF316" s="23"/>
      <c r="AG316" s="23"/>
      <c r="AH316" s="23">
        <v>14.55</v>
      </c>
      <c r="AI316" s="24">
        <v>0</v>
      </c>
      <c r="AJ316" s="25">
        <v>1126.04</v>
      </c>
      <c r="AK316" s="23">
        <v>251.42</v>
      </c>
      <c r="AL316" s="23"/>
      <c r="AM316" s="24"/>
      <c r="AN316" s="23"/>
      <c r="AO316" s="24"/>
      <c r="AP316" s="23"/>
      <c r="AQ316" s="24"/>
      <c r="AR316" s="23">
        <v>22.709999999999997</v>
      </c>
      <c r="AS316" s="23">
        <v>-984</v>
      </c>
      <c r="AT316" s="23"/>
      <c r="AU316" s="24"/>
      <c r="AW316" s="27">
        <f t="shared" si="55"/>
        <v>1126.0403160000001</v>
      </c>
      <c r="AX316" s="27">
        <f t="shared" si="56"/>
        <v>102.92031599999999</v>
      </c>
      <c r="AY316" s="27">
        <f t="shared" si="57"/>
        <v>3.1599999999999998E-4</v>
      </c>
      <c r="AZ316" s="27">
        <f t="shared" si="58"/>
        <v>3.1599999999999998E-4</v>
      </c>
    </row>
    <row r="317" spans="1:52" ht="15" customHeight="1" x14ac:dyDescent="0.25">
      <c r="A317" s="13" t="str">
        <f>VLOOKUP(L317,[1]VALIDAÇÃO!$D$13:$E$350,2,0)</f>
        <v>DIRETO</v>
      </c>
      <c r="B317" s="14" t="str">
        <f t="shared" si="60"/>
        <v>62RIO AVE 130 SPE LTDA</v>
      </c>
      <c r="C317" s="15">
        <f t="shared" si="59"/>
        <v>62</v>
      </c>
      <c r="D317" s="16" t="str">
        <f t="shared" si="61"/>
        <v>63RIO AVE 130 SPE LTDA</v>
      </c>
      <c r="E317" s="17">
        <f t="shared" si="52"/>
        <v>63</v>
      </c>
      <c r="F317" s="18" t="str">
        <f t="shared" si="62"/>
        <v>62RIO AVE 130 SPE LTDA</v>
      </c>
      <c r="G317" s="18">
        <f t="shared" si="53"/>
        <v>62</v>
      </c>
      <c r="H317" s="19" t="str">
        <f t="shared" si="63"/>
        <v>58RIO AVE 130 SPE LTDA</v>
      </c>
      <c r="I317" s="19">
        <f t="shared" si="54"/>
        <v>58</v>
      </c>
      <c r="J317" s="13" t="s">
        <v>102</v>
      </c>
      <c r="K317" s="13" t="s">
        <v>426</v>
      </c>
      <c r="L317" s="13" t="s">
        <v>63</v>
      </c>
      <c r="M317" s="13" t="s">
        <v>55</v>
      </c>
      <c r="N317" s="20"/>
      <c r="O317" s="20"/>
      <c r="P317" s="21">
        <v>45201</v>
      </c>
      <c r="Q317" s="22"/>
      <c r="R317" s="23"/>
      <c r="S317" s="24"/>
      <c r="T317" s="23"/>
      <c r="U317" s="24"/>
      <c r="V317" s="23"/>
      <c r="W317" s="23"/>
      <c r="X317" s="24"/>
      <c r="Y317" s="23"/>
      <c r="Z317" s="23"/>
      <c r="AA317" s="23"/>
      <c r="AB317" s="23"/>
      <c r="AC317" s="24"/>
      <c r="AD317" s="23"/>
      <c r="AE317" s="24"/>
      <c r="AF317" s="23"/>
      <c r="AG317" s="23"/>
      <c r="AH317" s="23"/>
      <c r="AI317" s="24"/>
      <c r="AJ317" s="25"/>
      <c r="AK317" s="23"/>
      <c r="AL317" s="23"/>
      <c r="AM317" s="24"/>
      <c r="AN317" s="23"/>
      <c r="AO317" s="24"/>
      <c r="AP317" s="23"/>
      <c r="AQ317" s="24"/>
      <c r="AR317" s="23"/>
      <c r="AS317" s="23"/>
      <c r="AT317" s="23"/>
      <c r="AU317" s="24"/>
      <c r="AW317" s="27">
        <f t="shared" si="55"/>
        <v>3.1700000000000001E-4</v>
      </c>
      <c r="AX317" s="27">
        <f t="shared" si="56"/>
        <v>3.1700000000000001E-4</v>
      </c>
      <c r="AY317" s="27">
        <f t="shared" si="57"/>
        <v>3.1700000000000001E-4</v>
      </c>
      <c r="AZ317" s="27">
        <f t="shared" si="58"/>
        <v>3.1700000000000001E-4</v>
      </c>
    </row>
    <row r="318" spans="1:52" ht="15" customHeight="1" x14ac:dyDescent="0.25">
      <c r="A318" s="13" t="str">
        <f>VLOOKUP(L318,[1]VALIDAÇÃO!$D$13:$E$350,2,0)</f>
        <v>DIRETO</v>
      </c>
      <c r="B318" s="14" t="str">
        <f t="shared" si="60"/>
        <v>40RIO AVE CARNEIROS 01 SPE LTDA.</v>
      </c>
      <c r="C318" s="15">
        <f t="shared" si="59"/>
        <v>40</v>
      </c>
      <c r="D318" s="16" t="str">
        <f t="shared" si="61"/>
        <v>119RIO AVE CARNEIROS 01 SPE LTDA.</v>
      </c>
      <c r="E318" s="17">
        <f t="shared" si="52"/>
        <v>119</v>
      </c>
      <c r="F318" s="18" t="str">
        <f t="shared" si="62"/>
        <v>87RIO AVE CARNEIROS 01 SPE LTDA.</v>
      </c>
      <c r="G318" s="18">
        <f t="shared" si="53"/>
        <v>87</v>
      </c>
      <c r="H318" s="19" t="str">
        <f t="shared" si="63"/>
        <v>125RIO AVE CARNEIROS 01 SPE LTDA.</v>
      </c>
      <c r="I318" s="19">
        <f t="shared" si="54"/>
        <v>125</v>
      </c>
      <c r="J318" s="13" t="s">
        <v>61</v>
      </c>
      <c r="K318" s="13" t="s">
        <v>427</v>
      </c>
      <c r="L318" s="13" t="s">
        <v>63</v>
      </c>
      <c r="M318" s="13" t="s">
        <v>55</v>
      </c>
      <c r="N318" s="20">
        <v>1319.88</v>
      </c>
      <c r="O318" s="20">
        <v>2156</v>
      </c>
      <c r="P318" s="21">
        <v>45797</v>
      </c>
      <c r="Q318" s="22"/>
      <c r="R318" s="23">
        <v>2156</v>
      </c>
      <c r="S318" s="24"/>
      <c r="T318" s="23"/>
      <c r="U318" s="24"/>
      <c r="V318" s="23"/>
      <c r="W318" s="23"/>
      <c r="X318" s="24"/>
      <c r="Y318" s="23"/>
      <c r="Z318" s="23"/>
      <c r="AA318" s="23">
        <v>0.72</v>
      </c>
      <c r="AB318" s="23">
        <v>56.43</v>
      </c>
      <c r="AC318" s="24">
        <v>396.52857142857141</v>
      </c>
      <c r="AD318" s="23">
        <v>6.18</v>
      </c>
      <c r="AE318" s="24">
        <v>30.37142857142857</v>
      </c>
      <c r="AF318" s="23"/>
      <c r="AG318" s="23"/>
      <c r="AH318" s="23">
        <v>3.4399999999999995</v>
      </c>
      <c r="AI318" s="24">
        <v>0</v>
      </c>
      <c r="AJ318" s="25">
        <v>505.18</v>
      </c>
      <c r="AK318" s="23">
        <v>110.11</v>
      </c>
      <c r="AL318" s="23"/>
      <c r="AM318" s="24"/>
      <c r="AN318" s="23"/>
      <c r="AO318" s="24"/>
      <c r="AP318" s="23"/>
      <c r="AQ318" s="24"/>
      <c r="AR318" s="23">
        <v>13.68</v>
      </c>
      <c r="AS318" s="23">
        <v>-924</v>
      </c>
      <c r="AT318" s="23"/>
      <c r="AU318" s="24"/>
      <c r="AW318" s="27">
        <f t="shared" si="55"/>
        <v>505.180318</v>
      </c>
      <c r="AX318" s="27">
        <f t="shared" si="56"/>
        <v>6.1803179999999998</v>
      </c>
      <c r="AY318" s="27">
        <f t="shared" si="57"/>
        <v>56.430318</v>
      </c>
      <c r="AZ318" s="27">
        <f t="shared" si="58"/>
        <v>3.1799999999999998E-4</v>
      </c>
    </row>
    <row r="319" spans="1:52" ht="15" customHeight="1" x14ac:dyDescent="0.25">
      <c r="A319" s="13" t="str">
        <f>VLOOKUP(L319,[1]VALIDAÇÃO!$D$13:$E$350,2,0)</f>
        <v>DIRETO</v>
      </c>
      <c r="B319" s="14" t="str">
        <f t="shared" si="60"/>
        <v>108RIO AVE CARNEIROS 01 SPE LTDA.</v>
      </c>
      <c r="C319" s="15">
        <f t="shared" si="59"/>
        <v>108</v>
      </c>
      <c r="D319" s="16" t="str">
        <f t="shared" si="61"/>
        <v>151RIO AVE CARNEIROS 01 SPE LTDA.</v>
      </c>
      <c r="E319" s="17">
        <f t="shared" si="52"/>
        <v>151</v>
      </c>
      <c r="F319" s="18" t="str">
        <f t="shared" si="62"/>
        <v>142RIO AVE CARNEIROS 01 SPE LTDA.</v>
      </c>
      <c r="G319" s="18">
        <f t="shared" si="53"/>
        <v>142</v>
      </c>
      <c r="H319" s="19" t="str">
        <f t="shared" si="63"/>
        <v>124RIO AVE CARNEIROS 01 SPE LTDA.</v>
      </c>
      <c r="I319" s="19">
        <f t="shared" si="54"/>
        <v>124</v>
      </c>
      <c r="J319" s="13" t="s">
        <v>61</v>
      </c>
      <c r="K319" s="13" t="s">
        <v>428</v>
      </c>
      <c r="L319" s="13" t="s">
        <v>54</v>
      </c>
      <c r="M319" s="13" t="s">
        <v>55</v>
      </c>
      <c r="N319" s="20">
        <v>919.6</v>
      </c>
      <c r="O319" s="20">
        <v>1622.13</v>
      </c>
      <c r="P319" s="21">
        <v>45964</v>
      </c>
      <c r="Q319" s="22"/>
      <c r="R319" s="23">
        <v>1622.13</v>
      </c>
      <c r="S319" s="24"/>
      <c r="T319" s="23"/>
      <c r="U319" s="24"/>
      <c r="V319" s="23"/>
      <c r="W319" s="23"/>
      <c r="X319" s="24"/>
      <c r="Y319" s="23"/>
      <c r="Z319" s="23"/>
      <c r="AA319" s="23"/>
      <c r="AB319" s="23"/>
      <c r="AC319" s="24"/>
      <c r="AD319" s="23"/>
      <c r="AE319" s="24"/>
      <c r="AF319" s="23"/>
      <c r="AG319" s="23"/>
      <c r="AH319" s="23"/>
      <c r="AI319" s="24"/>
      <c r="AJ319" s="25">
        <v>165</v>
      </c>
      <c r="AK319" s="23">
        <v>35.869999999999997</v>
      </c>
      <c r="AL319" s="23"/>
      <c r="AM319" s="24"/>
      <c r="AN319" s="23"/>
      <c r="AO319" s="24"/>
      <c r="AP319" s="23"/>
      <c r="AQ319" s="24"/>
      <c r="AR319" s="23"/>
      <c r="AS319" s="23">
        <v>-715.2</v>
      </c>
      <c r="AT319" s="23"/>
      <c r="AU319" s="24"/>
      <c r="AW319" s="27">
        <f t="shared" si="55"/>
        <v>165.00031899999999</v>
      </c>
      <c r="AX319" s="27">
        <f t="shared" si="56"/>
        <v>3.19E-4</v>
      </c>
      <c r="AY319" s="27">
        <f t="shared" si="57"/>
        <v>3.19E-4</v>
      </c>
      <c r="AZ319" s="27">
        <f t="shared" si="58"/>
        <v>3.19E-4</v>
      </c>
    </row>
    <row r="320" spans="1:52" ht="15" customHeight="1" x14ac:dyDescent="0.25">
      <c r="A320" s="13" t="str">
        <f>VLOOKUP(L320,[1]VALIDAÇÃO!$D$13:$E$350,2,0)</f>
        <v>DIRETO</v>
      </c>
      <c r="B320" s="14" t="str">
        <f t="shared" si="60"/>
        <v>11RIO AVE CARNEIROS 01 SPE LTDA.</v>
      </c>
      <c r="C320" s="15">
        <f t="shared" si="59"/>
        <v>11</v>
      </c>
      <c r="D320" s="16" t="str">
        <f t="shared" si="61"/>
        <v>140RIO AVE CARNEIROS 01 SPE LTDA.</v>
      </c>
      <c r="E320" s="17">
        <f t="shared" si="52"/>
        <v>140</v>
      </c>
      <c r="F320" s="18" t="str">
        <f t="shared" si="62"/>
        <v>124RIO AVE CARNEIROS 01 SPE LTDA.</v>
      </c>
      <c r="G320" s="18">
        <f t="shared" si="53"/>
        <v>124</v>
      </c>
      <c r="H320" s="19" t="str">
        <f t="shared" si="63"/>
        <v>123RIO AVE CARNEIROS 01 SPE LTDA.</v>
      </c>
      <c r="I320" s="19">
        <f t="shared" si="54"/>
        <v>123</v>
      </c>
      <c r="J320" s="13" t="s">
        <v>61</v>
      </c>
      <c r="K320" s="13" t="s">
        <v>429</v>
      </c>
      <c r="L320" s="13" t="s">
        <v>54</v>
      </c>
      <c r="M320" s="13" t="s">
        <v>55</v>
      </c>
      <c r="N320" s="20">
        <v>1393.12</v>
      </c>
      <c r="O320" s="20">
        <v>1622.13</v>
      </c>
      <c r="P320" s="21">
        <v>45817</v>
      </c>
      <c r="Q320" s="22"/>
      <c r="R320" s="23">
        <v>1622.13</v>
      </c>
      <c r="S320" s="24"/>
      <c r="T320" s="23"/>
      <c r="U320" s="24"/>
      <c r="V320" s="23"/>
      <c r="W320" s="23"/>
      <c r="X320" s="24"/>
      <c r="Y320" s="23"/>
      <c r="Z320" s="23"/>
      <c r="AA320" s="23">
        <v>0.18</v>
      </c>
      <c r="AB320" s="23">
        <v>12.33</v>
      </c>
      <c r="AC320" s="24">
        <v>115.24285714285713</v>
      </c>
      <c r="AD320" s="23">
        <v>0.66999999999999993</v>
      </c>
      <c r="AE320" s="24">
        <v>6.1857142857142859</v>
      </c>
      <c r="AF320" s="23"/>
      <c r="AG320" s="23"/>
      <c r="AH320" s="23">
        <v>0.88</v>
      </c>
      <c r="AI320" s="24">
        <v>0</v>
      </c>
      <c r="AJ320" s="25">
        <v>868.25</v>
      </c>
      <c r="AK320" s="23">
        <v>191.89999999999998</v>
      </c>
      <c r="AL320" s="23">
        <v>-8.2899999999999991</v>
      </c>
      <c r="AM320" s="24">
        <v>63</v>
      </c>
      <c r="AN320" s="23">
        <v>-57.93</v>
      </c>
      <c r="AO320" s="24">
        <v>1</v>
      </c>
      <c r="AP320" s="23"/>
      <c r="AQ320" s="24"/>
      <c r="AR320" s="23">
        <v>2.48</v>
      </c>
      <c r="AS320" s="23">
        <v>-785.2</v>
      </c>
      <c r="AT320" s="23">
        <v>-57.93</v>
      </c>
      <c r="AU320" s="24">
        <v>1</v>
      </c>
      <c r="AW320" s="27">
        <f t="shared" si="55"/>
        <v>868.25031999999999</v>
      </c>
      <c r="AX320" s="27">
        <f t="shared" si="56"/>
        <v>0.67031999999999992</v>
      </c>
      <c r="AY320" s="27">
        <f t="shared" si="57"/>
        <v>12.33032</v>
      </c>
      <c r="AZ320" s="27">
        <f t="shared" si="58"/>
        <v>3.2000000000000003E-4</v>
      </c>
    </row>
    <row r="321" spans="1:52" ht="15" customHeight="1" x14ac:dyDescent="0.25">
      <c r="A321" s="13" t="str">
        <f>VLOOKUP(L321,[1]VALIDAÇÃO!$D$13:$E$350,2,0)</f>
        <v>DIRETO</v>
      </c>
      <c r="B321" s="14" t="str">
        <f t="shared" si="60"/>
        <v>36CONDOMINIO DO EDIFICIO EMPRESARIAL MARIE CURIE</v>
      </c>
      <c r="C321" s="15">
        <f t="shared" si="59"/>
        <v>36</v>
      </c>
      <c r="D321" s="16" t="str">
        <f t="shared" si="61"/>
        <v>85CONDOMINIO DO EDIFICIO EMPRESARIAL MARIE CURIE</v>
      </c>
      <c r="E321" s="17">
        <f t="shared" si="52"/>
        <v>85</v>
      </c>
      <c r="F321" s="18" t="str">
        <f t="shared" si="62"/>
        <v>111CONDOMINIO DO EDIFICIO EMPRESARIAL MARIE CURIE</v>
      </c>
      <c r="G321" s="18">
        <f t="shared" si="53"/>
        <v>111</v>
      </c>
      <c r="H321" s="19" t="str">
        <f t="shared" si="63"/>
        <v>85CONDOMINIO DO EDIFICIO EMPRESARIAL MARIE CURIE</v>
      </c>
      <c r="I321" s="19">
        <f t="shared" si="54"/>
        <v>85</v>
      </c>
      <c r="J321" s="13" t="s">
        <v>57</v>
      </c>
      <c r="K321" s="13" t="s">
        <v>430</v>
      </c>
      <c r="L321" s="13" t="s">
        <v>54</v>
      </c>
      <c r="M321" s="13" t="s">
        <v>60</v>
      </c>
      <c r="N321" s="20">
        <v>1203.3599999999999</v>
      </c>
      <c r="O321" s="20">
        <v>1622.13</v>
      </c>
      <c r="P321" s="21">
        <v>45558</v>
      </c>
      <c r="Q321" s="22"/>
      <c r="R321" s="23">
        <v>1622.13</v>
      </c>
      <c r="S321" s="24"/>
      <c r="T321" s="23"/>
      <c r="U321" s="24"/>
      <c r="V321" s="23"/>
      <c r="W321" s="23"/>
      <c r="X321" s="24"/>
      <c r="Y321" s="23"/>
      <c r="Z321" s="23"/>
      <c r="AA321" s="23">
        <v>0.73</v>
      </c>
      <c r="AB321" s="23"/>
      <c r="AC321" s="24"/>
      <c r="AD321" s="23">
        <v>56.81</v>
      </c>
      <c r="AE321" s="24">
        <v>331.29285714285714</v>
      </c>
      <c r="AF321" s="23"/>
      <c r="AG321" s="23"/>
      <c r="AH321" s="23">
        <v>3.7</v>
      </c>
      <c r="AI321" s="24">
        <v>0</v>
      </c>
      <c r="AJ321" s="25">
        <v>628.65000000000009</v>
      </c>
      <c r="AK321" s="23">
        <v>132.98000000000002</v>
      </c>
      <c r="AL321" s="23">
        <v>-9.9</v>
      </c>
      <c r="AM321" s="24">
        <v>75.19</v>
      </c>
      <c r="AN321" s="23"/>
      <c r="AO321" s="24"/>
      <c r="AP321" s="23"/>
      <c r="AQ321" s="24"/>
      <c r="AR321" s="23">
        <v>10.79</v>
      </c>
      <c r="AS321" s="23">
        <v>-752.2</v>
      </c>
      <c r="AT321" s="23"/>
      <c r="AU321" s="24"/>
      <c r="AW321" s="27">
        <f t="shared" si="55"/>
        <v>628.65032100000008</v>
      </c>
      <c r="AX321" s="27">
        <f t="shared" si="56"/>
        <v>56.810321000000002</v>
      </c>
      <c r="AY321" s="27">
        <f t="shared" si="57"/>
        <v>3.21E-4</v>
      </c>
      <c r="AZ321" s="27">
        <f t="shared" si="58"/>
        <v>3.21E-4</v>
      </c>
    </row>
    <row r="322" spans="1:52" ht="15" customHeight="1" x14ac:dyDescent="0.25">
      <c r="A322" s="13" t="str">
        <f>VLOOKUP(L322,[1]VALIDAÇÃO!$D$13:$E$350,2,0)</f>
        <v>DIRETO</v>
      </c>
      <c r="B322" s="14" t="str">
        <f t="shared" si="60"/>
        <v>42RIO AVE 200 SPE LTDA.</v>
      </c>
      <c r="C322" s="15">
        <f t="shared" si="59"/>
        <v>42</v>
      </c>
      <c r="D322" s="16" t="str">
        <f t="shared" si="61"/>
        <v>17RIO AVE 200 SPE LTDA.</v>
      </c>
      <c r="E322" s="17">
        <f t="shared" ref="E322:E385" si="64">1+SUMPRODUCT(($J$2:$J$1437=$J322)*(AX$2:AX$1437&gt;AX322))</f>
        <v>17</v>
      </c>
      <c r="F322" s="18" t="str">
        <f t="shared" si="62"/>
        <v>29RIO AVE 200 SPE LTDA.</v>
      </c>
      <c r="G322" s="18">
        <f t="shared" ref="G322:G385" si="65">1+SUMPRODUCT(($J$2:$J$1437=$J322)*(AY$2:AY$1437&gt;AY322))</f>
        <v>29</v>
      </c>
      <c r="H322" s="19" t="str">
        <f t="shared" si="63"/>
        <v>55RIO AVE 200 SPE LTDA.</v>
      </c>
      <c r="I322" s="19">
        <f t="shared" ref="I322:I385" si="66">1+SUMPRODUCT(($J$2:$J$1437=$J322)*(AZ$2:AZ$1437&gt;AZ322))</f>
        <v>55</v>
      </c>
      <c r="J322" s="13" t="s">
        <v>48</v>
      </c>
      <c r="K322" s="13" t="s">
        <v>431</v>
      </c>
      <c r="L322" s="13" t="s">
        <v>54</v>
      </c>
      <c r="M322" s="13" t="s">
        <v>55</v>
      </c>
      <c r="N322" s="20">
        <v>1172.72</v>
      </c>
      <c r="O322" s="20">
        <v>1622.13</v>
      </c>
      <c r="P322" s="21">
        <v>45931</v>
      </c>
      <c r="Q322" s="22"/>
      <c r="R322" s="23">
        <v>1622.13</v>
      </c>
      <c r="S322" s="24"/>
      <c r="T322" s="23"/>
      <c r="U322" s="24"/>
      <c r="V322" s="23"/>
      <c r="W322" s="23"/>
      <c r="X322" s="24"/>
      <c r="Y322" s="23"/>
      <c r="Z322" s="23"/>
      <c r="AA322" s="23">
        <v>3.5999999999999996</v>
      </c>
      <c r="AB322" s="23">
        <v>25.5</v>
      </c>
      <c r="AC322" s="24">
        <v>465</v>
      </c>
      <c r="AD322" s="23">
        <v>207.28</v>
      </c>
      <c r="AE322" s="24">
        <v>1693.4285714285713</v>
      </c>
      <c r="AF322" s="23"/>
      <c r="AG322" s="23"/>
      <c r="AH322" s="23">
        <v>14.520000000000001</v>
      </c>
      <c r="AI322" s="24">
        <v>0</v>
      </c>
      <c r="AJ322" s="25">
        <v>328.45</v>
      </c>
      <c r="AK322" s="23">
        <v>75.58</v>
      </c>
      <c r="AL322" s="23"/>
      <c r="AM322" s="24"/>
      <c r="AN322" s="23"/>
      <c r="AO322" s="24"/>
      <c r="AP322" s="23"/>
      <c r="AQ322" s="24"/>
      <c r="AR322" s="23">
        <v>56.36</v>
      </c>
      <c r="AS322" s="23">
        <v>-695.2</v>
      </c>
      <c r="AT322" s="23"/>
      <c r="AU322" s="24"/>
      <c r="AW322" s="27">
        <f t="shared" ref="AW322:AW385" si="67">AJ322+ROW(C322)/1000000</f>
        <v>328.45032199999997</v>
      </c>
      <c r="AX322" s="27">
        <f t="shared" ref="AX322:AX385" si="68">AD322+ROW(C322)/1000000</f>
        <v>207.28032200000001</v>
      </c>
      <c r="AY322" s="27">
        <f t="shared" ref="AY322:AY385" si="69">AB322+ROW(A322)/1000000</f>
        <v>25.500322000000001</v>
      </c>
      <c r="AZ322" s="27">
        <f t="shared" ref="AZ322:AZ385" si="70">AP322+ROW(A322)/1000000</f>
        <v>3.2200000000000002E-4</v>
      </c>
    </row>
    <row r="323" spans="1:52" ht="15" customHeight="1" x14ac:dyDescent="0.25">
      <c r="A323" s="13" t="str">
        <f>VLOOKUP(L323,[1]VALIDAÇÃO!$D$13:$E$350,2,0)</f>
        <v>DIRETO</v>
      </c>
      <c r="B323" s="14" t="str">
        <f t="shared" si="60"/>
        <v>57RESERVA DO PAIVA SPE 01 LTDA.</v>
      </c>
      <c r="C323" s="15">
        <f t="shared" ref="C323:C386" si="71">1+SUMPRODUCT(($J$2:$J$1437=J323)*($AW$2:$AW$1437&gt;AW323))</f>
        <v>57</v>
      </c>
      <c r="D323" s="16" t="str">
        <f t="shared" si="61"/>
        <v>19RESERVA DO PAIVA SPE 01 LTDA.</v>
      </c>
      <c r="E323" s="17">
        <f t="shared" si="64"/>
        <v>19</v>
      </c>
      <c r="F323" s="18" t="str">
        <f t="shared" si="62"/>
        <v>50RESERVA DO PAIVA SPE 01 LTDA.</v>
      </c>
      <c r="G323" s="18">
        <f t="shared" si="65"/>
        <v>50</v>
      </c>
      <c r="H323" s="19" t="str">
        <f t="shared" si="63"/>
        <v>62RESERVA DO PAIVA SPE 01 LTDA.</v>
      </c>
      <c r="I323" s="19">
        <f t="shared" si="66"/>
        <v>62</v>
      </c>
      <c r="J323" s="13" t="s">
        <v>68</v>
      </c>
      <c r="K323" s="13" t="s">
        <v>432</v>
      </c>
      <c r="L323" s="13" t="s">
        <v>149</v>
      </c>
      <c r="M323" s="13" t="s">
        <v>55</v>
      </c>
      <c r="N323" s="20">
        <v>1691.24</v>
      </c>
      <c r="O323" s="20">
        <v>1622.13</v>
      </c>
      <c r="P323" s="21">
        <v>45603</v>
      </c>
      <c r="Q323" s="22"/>
      <c r="R323" s="23">
        <v>1622.13</v>
      </c>
      <c r="S323" s="24"/>
      <c r="T323" s="23"/>
      <c r="U323" s="24"/>
      <c r="V323" s="23"/>
      <c r="W323" s="23"/>
      <c r="X323" s="24"/>
      <c r="Y323" s="23"/>
      <c r="Z323" s="23"/>
      <c r="AA323" s="23">
        <v>11.81</v>
      </c>
      <c r="AB323" s="23">
        <v>174.09</v>
      </c>
      <c r="AC323" s="24">
        <v>1015.3442857142857</v>
      </c>
      <c r="AD323" s="23">
        <v>654.53</v>
      </c>
      <c r="AE323" s="24">
        <v>3279.8742857142861</v>
      </c>
      <c r="AF323" s="23"/>
      <c r="AG323" s="23"/>
      <c r="AH323" s="23">
        <v>53.879999999999995</v>
      </c>
      <c r="AI323" s="24">
        <v>0</v>
      </c>
      <c r="AJ323" s="25">
        <v>482.68</v>
      </c>
      <c r="AK323" s="23">
        <v>105.18</v>
      </c>
      <c r="AL323" s="23">
        <v>-1.86</v>
      </c>
      <c r="AM323" s="24">
        <v>14.14</v>
      </c>
      <c r="AN323" s="23"/>
      <c r="AO323" s="24"/>
      <c r="AP323" s="23">
        <v>174.97</v>
      </c>
      <c r="AQ323" s="24">
        <v>691.00428571428574</v>
      </c>
      <c r="AR323" s="23">
        <v>217.14</v>
      </c>
      <c r="AS323" s="23">
        <v>-750.2</v>
      </c>
      <c r="AT323" s="23"/>
      <c r="AU323" s="24"/>
      <c r="AW323" s="27">
        <f t="shared" si="67"/>
        <v>482.68032299999999</v>
      </c>
      <c r="AX323" s="27">
        <f t="shared" si="68"/>
        <v>654.53032299999995</v>
      </c>
      <c r="AY323" s="27">
        <f t="shared" si="69"/>
        <v>174.09032300000001</v>
      </c>
      <c r="AZ323" s="27">
        <f t="shared" si="70"/>
        <v>174.97032300000001</v>
      </c>
    </row>
    <row r="324" spans="1:52" ht="15" customHeight="1" x14ac:dyDescent="0.25">
      <c r="A324" s="13" t="str">
        <f>VLOOKUP(L324,[1]VALIDAÇÃO!$D$13:$E$350,2,0)</f>
        <v>DIRETO</v>
      </c>
      <c r="B324" s="14" t="str">
        <f t="shared" si="60"/>
        <v>124RESERVA DO PAIVA SPE 03 LTDA</v>
      </c>
      <c r="C324" s="15">
        <f t="shared" si="71"/>
        <v>124</v>
      </c>
      <c r="D324" s="16" t="str">
        <f t="shared" si="61"/>
        <v>121RESERVA DO PAIVA SPE 03 LTDA</v>
      </c>
      <c r="E324" s="17">
        <f t="shared" si="64"/>
        <v>121</v>
      </c>
      <c r="F324" s="18" t="str">
        <f t="shared" si="62"/>
        <v>85RESERVA DO PAIVA SPE 03 LTDA</v>
      </c>
      <c r="G324" s="18">
        <f t="shared" si="65"/>
        <v>85</v>
      </c>
      <c r="H324" s="19" t="str">
        <f t="shared" si="63"/>
        <v>55RESERVA DO PAIVA SPE 03 LTDA</v>
      </c>
      <c r="I324" s="19">
        <f t="shared" si="66"/>
        <v>55</v>
      </c>
      <c r="J324" s="13" t="s">
        <v>52</v>
      </c>
      <c r="K324" s="13" t="s">
        <v>433</v>
      </c>
      <c r="L324" s="13" t="s">
        <v>54</v>
      </c>
      <c r="M324" s="13" t="s">
        <v>55</v>
      </c>
      <c r="N324" s="20">
        <v>419.8</v>
      </c>
      <c r="O324" s="20">
        <v>1622.13</v>
      </c>
      <c r="P324" s="21">
        <v>45873</v>
      </c>
      <c r="Q324" s="22"/>
      <c r="R324" s="23">
        <v>1622.13</v>
      </c>
      <c r="S324" s="24"/>
      <c r="T324" s="23"/>
      <c r="U324" s="24"/>
      <c r="V324" s="23"/>
      <c r="W324" s="23"/>
      <c r="X324" s="24"/>
      <c r="Y324" s="23"/>
      <c r="Z324" s="23"/>
      <c r="AA324" s="23">
        <v>0.75</v>
      </c>
      <c r="AB324" s="23">
        <v>84.72</v>
      </c>
      <c r="AC324" s="24">
        <v>1046.4285714285713</v>
      </c>
      <c r="AD324" s="23">
        <v>59.67</v>
      </c>
      <c r="AE324" s="24">
        <v>737.14285714285711</v>
      </c>
      <c r="AF324" s="23"/>
      <c r="AG324" s="23"/>
      <c r="AH324" s="23">
        <v>3.54</v>
      </c>
      <c r="AI324" s="24">
        <v>0</v>
      </c>
      <c r="AJ324" s="25">
        <v>31.78</v>
      </c>
      <c r="AK324" s="23">
        <v>7.03</v>
      </c>
      <c r="AL324" s="23"/>
      <c r="AM324" s="24"/>
      <c r="AN324" s="23">
        <v>-173.8</v>
      </c>
      <c r="AO324" s="24">
        <v>3</v>
      </c>
      <c r="AP324" s="23">
        <v>50.17</v>
      </c>
      <c r="AQ324" s="24">
        <v>526.78571428571422</v>
      </c>
      <c r="AR324" s="23">
        <v>42.410000000000004</v>
      </c>
      <c r="AS324" s="23">
        <v>-695.2</v>
      </c>
      <c r="AT324" s="23">
        <v>-115.87</v>
      </c>
      <c r="AU324" s="24">
        <v>2</v>
      </c>
      <c r="AW324" s="27">
        <f t="shared" si="67"/>
        <v>31.780324</v>
      </c>
      <c r="AX324" s="27">
        <f t="shared" si="68"/>
        <v>59.670324000000001</v>
      </c>
      <c r="AY324" s="27">
        <f t="shared" si="69"/>
        <v>84.720324000000005</v>
      </c>
      <c r="AZ324" s="27">
        <f t="shared" si="70"/>
        <v>50.170324000000001</v>
      </c>
    </row>
    <row r="325" spans="1:52" ht="15" customHeight="1" x14ac:dyDescent="0.25">
      <c r="A325" s="13" t="str">
        <f>VLOOKUP(L325,[1]VALIDAÇÃO!$D$13:$E$350,2,0)</f>
        <v>DIRETO</v>
      </c>
      <c r="B325" s="14" t="str">
        <f t="shared" si="60"/>
        <v>15RIO AVE 130 SPE LTDA</v>
      </c>
      <c r="C325" s="15">
        <f t="shared" si="71"/>
        <v>15</v>
      </c>
      <c r="D325" s="16" t="str">
        <f t="shared" si="61"/>
        <v>35RIO AVE 130 SPE LTDA</v>
      </c>
      <c r="E325" s="17">
        <f t="shared" si="64"/>
        <v>35</v>
      </c>
      <c r="F325" s="18" t="str">
        <f t="shared" si="62"/>
        <v>5RIO AVE 130 SPE LTDA</v>
      </c>
      <c r="G325" s="18">
        <f t="shared" si="65"/>
        <v>5</v>
      </c>
      <c r="H325" s="19" t="str">
        <f t="shared" si="63"/>
        <v>28RIO AVE 130 SPE LTDA</v>
      </c>
      <c r="I325" s="19">
        <f t="shared" si="66"/>
        <v>28</v>
      </c>
      <c r="J325" s="13" t="s">
        <v>102</v>
      </c>
      <c r="K325" s="13" t="s">
        <v>434</v>
      </c>
      <c r="L325" s="13" t="s">
        <v>435</v>
      </c>
      <c r="M325" s="13" t="s">
        <v>55</v>
      </c>
      <c r="N325" s="20">
        <v>1615.13</v>
      </c>
      <c r="O325" s="20">
        <v>2156</v>
      </c>
      <c r="P325" s="21">
        <v>45355</v>
      </c>
      <c r="Q325" s="22"/>
      <c r="R325" s="23">
        <v>2156</v>
      </c>
      <c r="S325" s="24"/>
      <c r="T325" s="23"/>
      <c r="U325" s="24"/>
      <c r="V325" s="23"/>
      <c r="W325" s="23">
        <v>1.4</v>
      </c>
      <c r="X325" s="24">
        <v>35</v>
      </c>
      <c r="Y325" s="23"/>
      <c r="Z325" s="23"/>
      <c r="AA325" s="23">
        <v>6.21</v>
      </c>
      <c r="AB325" s="23">
        <v>349.02</v>
      </c>
      <c r="AC325" s="24">
        <v>1287.9185714285713</v>
      </c>
      <c r="AD325" s="23">
        <v>58.3</v>
      </c>
      <c r="AE325" s="24">
        <v>230.66</v>
      </c>
      <c r="AF325" s="23"/>
      <c r="AG325" s="23"/>
      <c r="AH325" s="23">
        <v>28.630000000000003</v>
      </c>
      <c r="AI325" s="24">
        <v>0</v>
      </c>
      <c r="AJ325" s="25">
        <v>807.29</v>
      </c>
      <c r="AK325" s="23">
        <v>176.5</v>
      </c>
      <c r="AL325" s="23">
        <v>-11.38</v>
      </c>
      <c r="AM325" s="24">
        <v>65</v>
      </c>
      <c r="AN325" s="23"/>
      <c r="AO325" s="24"/>
      <c r="AP325" s="23">
        <v>25.43</v>
      </c>
      <c r="AQ325" s="24">
        <v>103.77714285714285</v>
      </c>
      <c r="AR325" s="23">
        <v>93.300000000000011</v>
      </c>
      <c r="AS325" s="23">
        <v>-924</v>
      </c>
      <c r="AT325" s="23"/>
      <c r="AU325" s="24"/>
      <c r="AW325" s="27">
        <f t="shared" si="67"/>
        <v>807.29032499999994</v>
      </c>
      <c r="AX325" s="27">
        <f t="shared" si="68"/>
        <v>58.300324999999994</v>
      </c>
      <c r="AY325" s="27">
        <f t="shared" si="69"/>
        <v>349.02032499999996</v>
      </c>
      <c r="AZ325" s="27">
        <f t="shared" si="70"/>
        <v>25.430325</v>
      </c>
    </row>
    <row r="326" spans="1:52" ht="15" customHeight="1" x14ac:dyDescent="0.25">
      <c r="A326" s="13" t="str">
        <f>VLOOKUP(L326,[1]VALIDAÇÃO!$D$13:$E$350,2,0)</f>
        <v>DIRETO</v>
      </c>
      <c r="B326" s="14" t="str">
        <f t="shared" si="60"/>
        <v>50RESERVA DO PAIVA SPE 03 LTDA</v>
      </c>
      <c r="C326" s="15">
        <f t="shared" si="71"/>
        <v>50</v>
      </c>
      <c r="D326" s="16" t="str">
        <f t="shared" si="61"/>
        <v>142RESERVA DO PAIVA SPE 03 LTDA</v>
      </c>
      <c r="E326" s="17">
        <f t="shared" si="64"/>
        <v>142</v>
      </c>
      <c r="F326" s="18" t="str">
        <f t="shared" si="62"/>
        <v>149RESERVA DO PAIVA SPE 03 LTDA</v>
      </c>
      <c r="G326" s="18">
        <f t="shared" si="65"/>
        <v>149</v>
      </c>
      <c r="H326" s="19" t="str">
        <f t="shared" si="63"/>
        <v>131RESERVA DO PAIVA SPE 03 LTDA</v>
      </c>
      <c r="I326" s="19">
        <f t="shared" si="66"/>
        <v>131</v>
      </c>
      <c r="J326" s="13" t="s">
        <v>52</v>
      </c>
      <c r="K326" s="13" t="s">
        <v>436</v>
      </c>
      <c r="L326" s="13" t="s">
        <v>63</v>
      </c>
      <c r="M326" s="13" t="s">
        <v>55</v>
      </c>
      <c r="N326" s="20">
        <v>1342.34</v>
      </c>
      <c r="O326" s="20">
        <v>2156</v>
      </c>
      <c r="P326" s="21">
        <v>45978</v>
      </c>
      <c r="Q326" s="22"/>
      <c r="R326" s="23">
        <v>2156</v>
      </c>
      <c r="S326" s="24"/>
      <c r="T326" s="23"/>
      <c r="U326" s="24"/>
      <c r="V326" s="23"/>
      <c r="W326" s="23"/>
      <c r="X326" s="24"/>
      <c r="Y326" s="23"/>
      <c r="Z326" s="23"/>
      <c r="AA326" s="23">
        <v>0.14000000000000001</v>
      </c>
      <c r="AB326" s="23"/>
      <c r="AC326" s="24"/>
      <c r="AD326" s="23">
        <v>11.31</v>
      </c>
      <c r="AE326" s="24">
        <v>38</v>
      </c>
      <c r="AF326" s="31"/>
      <c r="AG326" s="23"/>
      <c r="AH326" s="23">
        <v>0.63</v>
      </c>
      <c r="AI326" s="24">
        <v>0</v>
      </c>
      <c r="AJ326" s="25">
        <v>311.08</v>
      </c>
      <c r="AK326" s="23">
        <v>67.63</v>
      </c>
      <c r="AL326" s="23">
        <v>-16.45</v>
      </c>
      <c r="AM326" s="24">
        <v>94</v>
      </c>
      <c r="AN326" s="23"/>
      <c r="AO326" s="24"/>
      <c r="AP326" s="23"/>
      <c r="AQ326" s="24"/>
      <c r="AR326" s="23">
        <v>2.46</v>
      </c>
      <c r="AS326" s="23">
        <v>-924</v>
      </c>
      <c r="AT326" s="23"/>
      <c r="AU326" s="24"/>
      <c r="AW326" s="27">
        <f t="shared" si="67"/>
        <v>311.08032599999996</v>
      </c>
      <c r="AX326" s="27">
        <f t="shared" si="68"/>
        <v>11.310326</v>
      </c>
      <c r="AY326" s="27">
        <f t="shared" si="69"/>
        <v>3.2600000000000001E-4</v>
      </c>
      <c r="AZ326" s="27">
        <f t="shared" si="70"/>
        <v>3.2600000000000001E-4</v>
      </c>
    </row>
    <row r="327" spans="1:52" ht="15" customHeight="1" x14ac:dyDescent="0.25">
      <c r="A327" s="13" t="str">
        <f>VLOOKUP(L327,[1]VALIDAÇÃO!$D$13:$E$350,2,0)</f>
        <v>DIRETO</v>
      </c>
      <c r="B327" s="14" t="str">
        <f t="shared" si="60"/>
        <v>34RESERVA DO PAIVA SPE 03 LTDA</v>
      </c>
      <c r="C327" s="15">
        <f t="shared" si="71"/>
        <v>34</v>
      </c>
      <c r="D327" s="16" t="str">
        <f t="shared" si="61"/>
        <v>119RESERVA DO PAIVA SPE 03 LTDA</v>
      </c>
      <c r="E327" s="17">
        <f t="shared" si="64"/>
        <v>119</v>
      </c>
      <c r="F327" s="18" t="str">
        <f t="shared" si="62"/>
        <v>88RESERVA DO PAIVA SPE 03 LTDA</v>
      </c>
      <c r="G327" s="18">
        <f t="shared" si="65"/>
        <v>88</v>
      </c>
      <c r="H327" s="19" t="str">
        <f t="shared" si="63"/>
        <v>71RESERVA DO PAIVA SPE 03 LTDA</v>
      </c>
      <c r="I327" s="19">
        <f t="shared" si="66"/>
        <v>71</v>
      </c>
      <c r="J327" s="13" t="s">
        <v>52</v>
      </c>
      <c r="K327" s="13" t="s">
        <v>437</v>
      </c>
      <c r="L327" s="13" t="s">
        <v>63</v>
      </c>
      <c r="M327" s="13" t="s">
        <v>55</v>
      </c>
      <c r="N327" s="20">
        <v>1255.3599999999999</v>
      </c>
      <c r="O327" s="20">
        <v>2156</v>
      </c>
      <c r="P327" s="21">
        <v>45782</v>
      </c>
      <c r="Q327" s="22"/>
      <c r="R327" s="23">
        <v>2156</v>
      </c>
      <c r="S327" s="24"/>
      <c r="T327" s="23"/>
      <c r="U327" s="24"/>
      <c r="V327" s="23"/>
      <c r="W327" s="23"/>
      <c r="X327" s="24"/>
      <c r="Y327" s="23"/>
      <c r="Z327" s="23"/>
      <c r="AA327" s="23">
        <v>0.53</v>
      </c>
      <c r="AB327" s="23">
        <v>83.72</v>
      </c>
      <c r="AC327" s="24">
        <v>524.38571428571424</v>
      </c>
      <c r="AD327" s="23">
        <v>65.349999999999994</v>
      </c>
      <c r="AE327" s="24">
        <v>409.35714285714289</v>
      </c>
      <c r="AF327" s="23"/>
      <c r="AG327" s="23"/>
      <c r="AH327" s="23">
        <v>2.4900000000000002</v>
      </c>
      <c r="AI327" s="24">
        <v>0</v>
      </c>
      <c r="AJ327" s="25">
        <v>406.84</v>
      </c>
      <c r="AK327" s="23">
        <v>88.679999999999993</v>
      </c>
      <c r="AL327" s="23"/>
      <c r="AM327" s="24"/>
      <c r="AN327" s="23"/>
      <c r="AO327" s="24"/>
      <c r="AP327" s="23">
        <v>18.669999999999998</v>
      </c>
      <c r="AQ327" s="24">
        <v>99.428571428571416</v>
      </c>
      <c r="AR327" s="23">
        <v>39.269999999999996</v>
      </c>
      <c r="AS327" s="23">
        <v>-924</v>
      </c>
      <c r="AT327" s="23"/>
      <c r="AU327" s="24"/>
      <c r="AW327" s="27">
        <f t="shared" si="67"/>
        <v>406.840327</v>
      </c>
      <c r="AX327" s="27">
        <f t="shared" si="68"/>
        <v>65.350326999999993</v>
      </c>
      <c r="AY327" s="27">
        <f t="shared" si="69"/>
        <v>83.720326999999997</v>
      </c>
      <c r="AZ327" s="27">
        <f t="shared" si="70"/>
        <v>18.670326999999997</v>
      </c>
    </row>
    <row r="328" spans="1:52" ht="15" customHeight="1" x14ac:dyDescent="0.25">
      <c r="A328" s="13" t="str">
        <f>VLOOKUP(L328,[1]VALIDAÇÃO!$D$13:$E$350,2,0)</f>
        <v>DIRETO</v>
      </c>
      <c r="B328" s="14" t="str">
        <f t="shared" si="60"/>
        <v>88RESERVA DO PAIVA SPE 03 LTDA</v>
      </c>
      <c r="C328" s="15">
        <f t="shared" si="71"/>
        <v>88</v>
      </c>
      <c r="D328" s="16" t="str">
        <f t="shared" si="61"/>
        <v>115RESERVA DO PAIVA SPE 03 LTDA</v>
      </c>
      <c r="E328" s="17">
        <f t="shared" si="64"/>
        <v>115</v>
      </c>
      <c r="F328" s="18" t="str">
        <f t="shared" si="62"/>
        <v>46RESERVA DO PAIVA SPE 03 LTDA</v>
      </c>
      <c r="G328" s="18">
        <f t="shared" si="65"/>
        <v>46</v>
      </c>
      <c r="H328" s="19" t="str">
        <f t="shared" si="63"/>
        <v>11RESERVA DO PAIVA SPE 03 LTDA</v>
      </c>
      <c r="I328" s="19">
        <f t="shared" si="66"/>
        <v>11</v>
      </c>
      <c r="J328" s="13" t="s">
        <v>52</v>
      </c>
      <c r="K328" s="13" t="s">
        <v>438</v>
      </c>
      <c r="L328" s="13" t="s">
        <v>54</v>
      </c>
      <c r="M328" s="13" t="s">
        <v>55</v>
      </c>
      <c r="N328" s="20">
        <v>1801.97</v>
      </c>
      <c r="O328" s="20">
        <v>1622.13</v>
      </c>
      <c r="P328" s="21">
        <v>45964</v>
      </c>
      <c r="Q328" s="22"/>
      <c r="R328" s="23">
        <v>1622.13</v>
      </c>
      <c r="S328" s="24"/>
      <c r="T328" s="23"/>
      <c r="U328" s="24"/>
      <c r="V328" s="23"/>
      <c r="W328" s="23"/>
      <c r="X328" s="24"/>
      <c r="Y328" s="23"/>
      <c r="Z328" s="23"/>
      <c r="AA328" s="23">
        <v>5.79</v>
      </c>
      <c r="AB328" s="23">
        <v>213.98</v>
      </c>
      <c r="AC328" s="24">
        <v>956</v>
      </c>
      <c r="AD328" s="23">
        <v>79.050000000000011</v>
      </c>
      <c r="AE328" s="24">
        <v>989.2</v>
      </c>
      <c r="AF328" s="23"/>
      <c r="AG328" s="23"/>
      <c r="AH328" s="23">
        <v>26.62</v>
      </c>
      <c r="AI328" s="24">
        <v>0</v>
      </c>
      <c r="AJ328" s="25">
        <v>164.29</v>
      </c>
      <c r="AK328" s="23">
        <v>35.720000000000006</v>
      </c>
      <c r="AL328" s="23"/>
      <c r="AM328" s="24"/>
      <c r="AN328" s="23"/>
      <c r="AO328" s="24"/>
      <c r="AP328" s="23">
        <v>493.49</v>
      </c>
      <c r="AQ328" s="24">
        <v>1874</v>
      </c>
      <c r="AR328" s="23">
        <v>172.56</v>
      </c>
      <c r="AS328" s="23">
        <v>-695.2</v>
      </c>
      <c r="AT328" s="23"/>
      <c r="AU328" s="24"/>
      <c r="AW328" s="27">
        <f t="shared" si="67"/>
        <v>164.29032799999999</v>
      </c>
      <c r="AX328" s="27">
        <f t="shared" si="68"/>
        <v>79.050328000000007</v>
      </c>
      <c r="AY328" s="27">
        <f t="shared" si="69"/>
        <v>213.98032799999999</v>
      </c>
      <c r="AZ328" s="27">
        <f t="shared" si="70"/>
        <v>493.49032800000003</v>
      </c>
    </row>
    <row r="329" spans="1:52" ht="15" customHeight="1" x14ac:dyDescent="0.25">
      <c r="A329" s="13" t="str">
        <f>VLOOKUP(L329,[1]VALIDAÇÃO!$D$13:$E$350,2,0)</f>
        <v>DIRETO</v>
      </c>
      <c r="B329" s="14" t="str">
        <f t="shared" si="60"/>
        <v>2RIO AVE SUBHOLDING INCORPORACAO LTDA</v>
      </c>
      <c r="C329" s="15">
        <f t="shared" si="71"/>
        <v>2</v>
      </c>
      <c r="D329" s="16" t="str">
        <f t="shared" si="61"/>
        <v>3RIO AVE SUBHOLDING INCORPORACAO LTDA</v>
      </c>
      <c r="E329" s="17">
        <f t="shared" si="64"/>
        <v>3</v>
      </c>
      <c r="F329" s="18" t="str">
        <f t="shared" si="62"/>
        <v>9RIO AVE SUBHOLDING INCORPORACAO LTDA</v>
      </c>
      <c r="G329" s="18">
        <f t="shared" si="65"/>
        <v>9</v>
      </c>
      <c r="H329" s="19" t="str">
        <f t="shared" si="63"/>
        <v>8RIO AVE SUBHOLDING INCORPORACAO LTDA</v>
      </c>
      <c r="I329" s="19">
        <f t="shared" si="66"/>
        <v>8</v>
      </c>
      <c r="J329" s="13" t="s">
        <v>124</v>
      </c>
      <c r="K329" s="13" t="s">
        <v>439</v>
      </c>
      <c r="L329" s="13" t="s">
        <v>54</v>
      </c>
      <c r="M329" s="13" t="s">
        <v>181</v>
      </c>
      <c r="N329" s="20">
        <v>805.86</v>
      </c>
      <c r="O329" s="20">
        <v>1564.2</v>
      </c>
      <c r="P329" s="21">
        <v>45505</v>
      </c>
      <c r="Q329" s="22"/>
      <c r="R329" s="23">
        <v>1564.2</v>
      </c>
      <c r="S329" s="24"/>
      <c r="T329" s="23"/>
      <c r="U329" s="24"/>
      <c r="V329" s="23"/>
      <c r="W329" s="23"/>
      <c r="X329" s="24"/>
      <c r="Y329" s="23"/>
      <c r="Z329" s="23"/>
      <c r="AA329" s="23">
        <v>9.9999999999999992E-2</v>
      </c>
      <c r="AB329" s="23"/>
      <c r="AC329" s="24"/>
      <c r="AD329" s="23">
        <v>18.68</v>
      </c>
      <c r="AE329" s="24">
        <v>105.90428571428572</v>
      </c>
      <c r="AF329" s="23"/>
      <c r="AG329" s="23"/>
      <c r="AH329" s="23">
        <v>0.52</v>
      </c>
      <c r="AI329" s="24">
        <v>0</v>
      </c>
      <c r="AJ329" s="25">
        <v>305.74</v>
      </c>
      <c r="AK329" s="23">
        <v>64.27</v>
      </c>
      <c r="AL329" s="23">
        <v>-18.57</v>
      </c>
      <c r="AM329" s="24">
        <v>141</v>
      </c>
      <c r="AN329" s="23"/>
      <c r="AO329" s="24"/>
      <c r="AP329" s="23"/>
      <c r="AQ329" s="24"/>
      <c r="AR329" s="23">
        <v>3.2800000000000002</v>
      </c>
      <c r="AS329" s="23">
        <v>-695.2</v>
      </c>
      <c r="AT329" s="23"/>
      <c r="AU329" s="24"/>
      <c r="AW329" s="27">
        <f t="shared" si="67"/>
        <v>305.74032900000003</v>
      </c>
      <c r="AX329" s="27">
        <f t="shared" si="68"/>
        <v>18.680329</v>
      </c>
      <c r="AY329" s="27">
        <f t="shared" si="69"/>
        <v>3.2899999999999997E-4</v>
      </c>
      <c r="AZ329" s="27">
        <f t="shared" si="70"/>
        <v>3.2899999999999997E-4</v>
      </c>
    </row>
    <row r="330" spans="1:52" ht="15" customHeight="1" x14ac:dyDescent="0.25">
      <c r="A330" s="13" t="str">
        <f>VLOOKUP(L330,[1]VALIDAÇÃO!$D$13:$E$350,2,0)</f>
        <v>DIRETO</v>
      </c>
      <c r="B330" s="14" t="str">
        <f t="shared" si="60"/>
        <v>120RESERVA DO PAIVA SPE 03 LTDA</v>
      </c>
      <c r="C330" s="15">
        <f t="shared" si="71"/>
        <v>120</v>
      </c>
      <c r="D330" s="16" t="str">
        <f t="shared" si="61"/>
        <v>80RESERVA DO PAIVA SPE 03 LTDA</v>
      </c>
      <c r="E330" s="17">
        <f t="shared" si="64"/>
        <v>80</v>
      </c>
      <c r="F330" s="18" t="str">
        <f t="shared" si="62"/>
        <v>114RESERVA DO PAIVA SPE 03 LTDA</v>
      </c>
      <c r="G330" s="18">
        <f t="shared" si="65"/>
        <v>114</v>
      </c>
      <c r="H330" s="19" t="str">
        <f t="shared" si="63"/>
        <v>130RESERVA DO PAIVA SPE 03 LTDA</v>
      </c>
      <c r="I330" s="19">
        <f t="shared" si="66"/>
        <v>130</v>
      </c>
      <c r="J330" s="13" t="s">
        <v>52</v>
      </c>
      <c r="K330" s="13" t="s">
        <v>440</v>
      </c>
      <c r="L330" s="13" t="s">
        <v>54</v>
      </c>
      <c r="M330" s="13" t="s">
        <v>55</v>
      </c>
      <c r="N330" s="20">
        <v>650.27</v>
      </c>
      <c r="O330" s="20">
        <v>1622.13</v>
      </c>
      <c r="P330" s="21">
        <v>45931</v>
      </c>
      <c r="Q330" s="22"/>
      <c r="R330" s="23">
        <v>1622.13</v>
      </c>
      <c r="S330" s="24"/>
      <c r="T330" s="23"/>
      <c r="U330" s="24"/>
      <c r="V330" s="23"/>
      <c r="W330" s="23"/>
      <c r="X330" s="24"/>
      <c r="Y330" s="23"/>
      <c r="Z330" s="23"/>
      <c r="AA330" s="23">
        <v>0.57999999999999996</v>
      </c>
      <c r="AB330" s="23">
        <v>19.39</v>
      </c>
      <c r="AC330" s="24">
        <v>353.57142857142856</v>
      </c>
      <c r="AD330" s="23">
        <v>179.38</v>
      </c>
      <c r="AE330" s="24">
        <v>2047.7142857142858</v>
      </c>
      <c r="AF330" s="23"/>
      <c r="AG330" s="23"/>
      <c r="AH330" s="23">
        <v>2.27</v>
      </c>
      <c r="AI330" s="24">
        <v>0</v>
      </c>
      <c r="AJ330" s="25">
        <v>69.539999999999992</v>
      </c>
      <c r="AK330" s="23">
        <v>16.04</v>
      </c>
      <c r="AL330" s="23">
        <v>-28.97</v>
      </c>
      <c r="AM330" s="24">
        <v>220</v>
      </c>
      <c r="AN330" s="23">
        <v>-57.93</v>
      </c>
      <c r="AO330" s="24">
        <v>1</v>
      </c>
      <c r="AP330" s="23"/>
      <c r="AQ330" s="24"/>
      <c r="AR330" s="23">
        <v>50.150000000000006</v>
      </c>
      <c r="AS330" s="23">
        <v>-695.2</v>
      </c>
      <c r="AT330" s="23">
        <v>-57.93</v>
      </c>
      <c r="AU330" s="24">
        <v>1</v>
      </c>
      <c r="AW330" s="27">
        <f t="shared" si="67"/>
        <v>69.540329999999997</v>
      </c>
      <c r="AX330" s="27">
        <f t="shared" si="68"/>
        <v>179.38032999999999</v>
      </c>
      <c r="AY330" s="27">
        <f t="shared" si="69"/>
        <v>19.390330000000002</v>
      </c>
      <c r="AZ330" s="27">
        <f t="shared" si="70"/>
        <v>3.3E-4</v>
      </c>
    </row>
    <row r="331" spans="1:52" ht="15" customHeight="1" x14ac:dyDescent="0.25">
      <c r="A331" s="13" t="str">
        <f>VLOOKUP(L331,[1]VALIDAÇÃO!$D$13:$E$350,2,0)</f>
        <v>DIRETO</v>
      </c>
      <c r="B331" s="14" t="str">
        <f t="shared" si="60"/>
        <v>12RIO AVE CARNEIROS 01 SPE LTDA.</v>
      </c>
      <c r="C331" s="15">
        <f t="shared" si="71"/>
        <v>12</v>
      </c>
      <c r="D331" s="16" t="str">
        <f t="shared" si="61"/>
        <v>106RIO AVE CARNEIROS 01 SPE LTDA.</v>
      </c>
      <c r="E331" s="17">
        <f t="shared" si="64"/>
        <v>106</v>
      </c>
      <c r="F331" s="18" t="str">
        <f t="shared" si="62"/>
        <v>141RIO AVE CARNEIROS 01 SPE LTDA.</v>
      </c>
      <c r="G331" s="18">
        <f t="shared" si="65"/>
        <v>141</v>
      </c>
      <c r="H331" s="19" t="str">
        <f t="shared" si="63"/>
        <v>122RIO AVE CARNEIROS 01 SPE LTDA.</v>
      </c>
      <c r="I331" s="19">
        <f t="shared" si="66"/>
        <v>122</v>
      </c>
      <c r="J331" s="13" t="s">
        <v>61</v>
      </c>
      <c r="K331" s="13" t="s">
        <v>441</v>
      </c>
      <c r="L331" s="13" t="s">
        <v>63</v>
      </c>
      <c r="M331" s="13" t="s">
        <v>55</v>
      </c>
      <c r="N331" s="20">
        <v>1415.57</v>
      </c>
      <c r="O331" s="20">
        <v>2156</v>
      </c>
      <c r="P331" s="21">
        <v>45733</v>
      </c>
      <c r="Q331" s="22"/>
      <c r="R331" s="23">
        <v>2156</v>
      </c>
      <c r="S331" s="24"/>
      <c r="T331" s="23"/>
      <c r="U331" s="24"/>
      <c r="V331" s="23"/>
      <c r="W331" s="23"/>
      <c r="X331" s="24"/>
      <c r="Y331" s="23"/>
      <c r="Z331" s="23"/>
      <c r="AA331" s="23">
        <v>0.29000000000000004</v>
      </c>
      <c r="AB331" s="23"/>
      <c r="AC331" s="24"/>
      <c r="AD331" s="23">
        <v>15.68</v>
      </c>
      <c r="AE331" s="24">
        <v>68.985714285714295</v>
      </c>
      <c r="AF331" s="23"/>
      <c r="AG331" s="23"/>
      <c r="AH331" s="23">
        <v>1.29</v>
      </c>
      <c r="AI331" s="24">
        <v>0</v>
      </c>
      <c r="AJ331" s="25">
        <v>817.91</v>
      </c>
      <c r="AK331" s="23">
        <v>180.68</v>
      </c>
      <c r="AL331" s="23"/>
      <c r="AM331" s="24"/>
      <c r="AN331" s="23"/>
      <c r="AO331" s="24"/>
      <c r="AP331" s="23"/>
      <c r="AQ331" s="24"/>
      <c r="AR331" s="23">
        <v>3.5</v>
      </c>
      <c r="AS331" s="23">
        <v>-1004</v>
      </c>
      <c r="AT331" s="23"/>
      <c r="AU331" s="24"/>
      <c r="AW331" s="27">
        <f t="shared" si="67"/>
        <v>817.91033099999993</v>
      </c>
      <c r="AX331" s="27">
        <f t="shared" si="68"/>
        <v>15.680330999999999</v>
      </c>
      <c r="AY331" s="27">
        <f t="shared" si="69"/>
        <v>3.3100000000000002E-4</v>
      </c>
      <c r="AZ331" s="27">
        <f t="shared" si="70"/>
        <v>3.3100000000000002E-4</v>
      </c>
    </row>
    <row r="332" spans="1:52" ht="15" customHeight="1" x14ac:dyDescent="0.25">
      <c r="A332" s="13" t="str">
        <f>VLOOKUP(L332,[1]VALIDAÇÃO!$D$13:$E$350,2,0)</f>
        <v>DIRETO</v>
      </c>
      <c r="B332" s="14" t="str">
        <f t="shared" si="60"/>
        <v>74RIO AVE CARNEIROS 01 SPE LTDA.</v>
      </c>
      <c r="C332" s="15">
        <f t="shared" si="71"/>
        <v>74</v>
      </c>
      <c r="D332" s="16" t="str">
        <f t="shared" si="61"/>
        <v>7RIO AVE CARNEIROS 01 SPE LTDA.</v>
      </c>
      <c r="E332" s="17">
        <f t="shared" si="64"/>
        <v>7</v>
      </c>
      <c r="F332" s="18" t="str">
        <f t="shared" si="62"/>
        <v>129RIO AVE CARNEIROS 01 SPE LTDA.</v>
      </c>
      <c r="G332" s="18">
        <f t="shared" si="65"/>
        <v>129</v>
      </c>
      <c r="H332" s="19" t="str">
        <f t="shared" si="63"/>
        <v>121RIO AVE CARNEIROS 01 SPE LTDA.</v>
      </c>
      <c r="I332" s="19">
        <f t="shared" si="66"/>
        <v>121</v>
      </c>
      <c r="J332" s="13" t="s">
        <v>61</v>
      </c>
      <c r="K332" s="13" t="s">
        <v>442</v>
      </c>
      <c r="L332" s="13" t="s">
        <v>54</v>
      </c>
      <c r="M332" s="13" t="s">
        <v>55</v>
      </c>
      <c r="N332" s="20">
        <v>1478.56</v>
      </c>
      <c r="O332" s="20">
        <v>1622.13</v>
      </c>
      <c r="P332" s="21">
        <v>45810</v>
      </c>
      <c r="Q332" s="22"/>
      <c r="R332" s="23">
        <v>1622.13</v>
      </c>
      <c r="S332" s="24"/>
      <c r="T332" s="23"/>
      <c r="U332" s="24"/>
      <c r="V332" s="23"/>
      <c r="W332" s="23"/>
      <c r="X332" s="24"/>
      <c r="Y332" s="23"/>
      <c r="Z332" s="23"/>
      <c r="AA332" s="23">
        <v>7.96</v>
      </c>
      <c r="AB332" s="23">
        <v>3.13</v>
      </c>
      <c r="AC332" s="24">
        <v>14</v>
      </c>
      <c r="AD332" s="23">
        <v>730.82999999999993</v>
      </c>
      <c r="AE332" s="24">
        <v>4573.8142857142857</v>
      </c>
      <c r="AF332" s="23"/>
      <c r="AG332" s="23"/>
      <c r="AH332" s="23">
        <v>36.53</v>
      </c>
      <c r="AI332" s="24">
        <v>0</v>
      </c>
      <c r="AJ332" s="25">
        <v>350.44</v>
      </c>
      <c r="AK332" s="23">
        <v>75.430000000000007</v>
      </c>
      <c r="AL332" s="23"/>
      <c r="AM332" s="24"/>
      <c r="AN332" s="23"/>
      <c r="AO332" s="24"/>
      <c r="AP332" s="23"/>
      <c r="AQ332" s="24"/>
      <c r="AR332" s="23">
        <v>160.55000000000001</v>
      </c>
      <c r="AS332" s="23">
        <v>-735.2</v>
      </c>
      <c r="AT332" s="23"/>
      <c r="AU332" s="24"/>
      <c r="AW332" s="27">
        <f t="shared" si="67"/>
        <v>350.44033200000001</v>
      </c>
      <c r="AX332" s="27">
        <f t="shared" si="68"/>
        <v>730.83033199999988</v>
      </c>
      <c r="AY332" s="27">
        <f t="shared" si="69"/>
        <v>3.1303320000000001</v>
      </c>
      <c r="AZ332" s="27">
        <f t="shared" si="70"/>
        <v>3.3199999999999999E-4</v>
      </c>
    </row>
    <row r="333" spans="1:52" ht="15" customHeight="1" x14ac:dyDescent="0.25">
      <c r="A333" s="13" t="str">
        <f>VLOOKUP(L333,[1]VALIDAÇÃO!$D$13:$E$350,2,0)</f>
        <v>DIRETO</v>
      </c>
      <c r="B333" s="14" t="str">
        <f t="shared" si="60"/>
        <v>36RIO AVE CARNEIROS 01 SPE LTDA.</v>
      </c>
      <c r="C333" s="15">
        <f t="shared" si="71"/>
        <v>36</v>
      </c>
      <c r="D333" s="16" t="str">
        <f t="shared" si="61"/>
        <v>31RIO AVE CARNEIROS 01 SPE LTDA.</v>
      </c>
      <c r="E333" s="17">
        <f t="shared" si="64"/>
        <v>31</v>
      </c>
      <c r="F333" s="18" t="str">
        <f t="shared" si="62"/>
        <v>11RIO AVE CARNEIROS 01 SPE LTDA.</v>
      </c>
      <c r="G333" s="18">
        <f t="shared" si="65"/>
        <v>11</v>
      </c>
      <c r="H333" s="19" t="str">
        <f t="shared" si="63"/>
        <v>14RIO AVE CARNEIROS 01 SPE LTDA.</v>
      </c>
      <c r="I333" s="19">
        <f t="shared" si="66"/>
        <v>14</v>
      </c>
      <c r="J333" s="13" t="s">
        <v>61</v>
      </c>
      <c r="K333" s="13" t="s">
        <v>443</v>
      </c>
      <c r="L333" s="13" t="s">
        <v>54</v>
      </c>
      <c r="M333" s="13" t="s">
        <v>55</v>
      </c>
      <c r="N333" s="20">
        <v>1206.4000000000001</v>
      </c>
      <c r="O333" s="20">
        <v>1622.13</v>
      </c>
      <c r="P333" s="21">
        <v>45782</v>
      </c>
      <c r="Q333" s="22"/>
      <c r="R333" s="23">
        <v>1622.13</v>
      </c>
      <c r="S333" s="24"/>
      <c r="T333" s="23"/>
      <c r="U333" s="24"/>
      <c r="V333" s="23"/>
      <c r="W333" s="23"/>
      <c r="X333" s="24"/>
      <c r="Y333" s="23"/>
      <c r="Z333" s="23"/>
      <c r="AA333" s="23">
        <v>9.5799999999999983</v>
      </c>
      <c r="AB333" s="23">
        <v>221.83</v>
      </c>
      <c r="AC333" s="24">
        <v>1463.3857142857146</v>
      </c>
      <c r="AD333" s="23">
        <v>276.46999999999997</v>
      </c>
      <c r="AE333" s="24">
        <v>1663.4857142857143</v>
      </c>
      <c r="AF333" s="23"/>
      <c r="AG333" s="23"/>
      <c r="AH333" s="23">
        <v>44.85</v>
      </c>
      <c r="AI333" s="24">
        <v>0</v>
      </c>
      <c r="AJ333" s="25">
        <v>547.61</v>
      </c>
      <c r="AK333" s="23">
        <v>120.17</v>
      </c>
      <c r="AL333" s="23">
        <v>-54.64</v>
      </c>
      <c r="AM333" s="24">
        <v>415</v>
      </c>
      <c r="AN333" s="23">
        <v>-57.93</v>
      </c>
      <c r="AO333" s="24">
        <v>1</v>
      </c>
      <c r="AP333" s="23">
        <v>69.680000000000007</v>
      </c>
      <c r="AQ333" s="24">
        <v>493.05714285714282</v>
      </c>
      <c r="AR333" s="23">
        <v>121.78999999999999</v>
      </c>
      <c r="AS333" s="23">
        <v>-695.2</v>
      </c>
      <c r="AT333" s="23">
        <v>-57.93</v>
      </c>
      <c r="AU333" s="24">
        <v>1</v>
      </c>
      <c r="AW333" s="27">
        <f t="shared" si="67"/>
        <v>547.61033299999997</v>
      </c>
      <c r="AX333" s="27">
        <f t="shared" si="68"/>
        <v>276.47033299999998</v>
      </c>
      <c r="AY333" s="27">
        <f t="shared" si="69"/>
        <v>221.83033300000002</v>
      </c>
      <c r="AZ333" s="27">
        <f t="shared" si="70"/>
        <v>69.680333000000005</v>
      </c>
    </row>
    <row r="334" spans="1:52" ht="15" customHeight="1" x14ac:dyDescent="0.25">
      <c r="A334" s="13" t="str">
        <f>VLOOKUP(L334,[1]VALIDAÇÃO!$D$13:$E$350,2,0)</f>
        <v>DIRETO</v>
      </c>
      <c r="B334" s="14" t="str">
        <f t="shared" si="60"/>
        <v>109CONDOMINIO DO EDIFICIO EMPRESARIAL MARIE CURIE</v>
      </c>
      <c r="C334" s="15">
        <f t="shared" si="71"/>
        <v>109</v>
      </c>
      <c r="D334" s="16" t="str">
        <f t="shared" si="61"/>
        <v>62CONDOMINIO DO EDIFICIO EMPRESARIAL MARIE CURIE</v>
      </c>
      <c r="E334" s="17">
        <f t="shared" si="64"/>
        <v>62</v>
      </c>
      <c r="F334" s="18" t="str">
        <f t="shared" si="62"/>
        <v>110CONDOMINIO DO EDIFICIO EMPRESARIAL MARIE CURIE</v>
      </c>
      <c r="G334" s="18">
        <f t="shared" si="65"/>
        <v>110</v>
      </c>
      <c r="H334" s="19" t="str">
        <f t="shared" si="63"/>
        <v>84CONDOMINIO DO EDIFICIO EMPRESARIAL MARIE CURIE</v>
      </c>
      <c r="I334" s="19">
        <f t="shared" si="66"/>
        <v>84</v>
      </c>
      <c r="J334" s="13" t="s">
        <v>57</v>
      </c>
      <c r="K334" s="13" t="s">
        <v>444</v>
      </c>
      <c r="L334" s="13" t="s">
        <v>149</v>
      </c>
      <c r="M334" s="13" t="s">
        <v>60</v>
      </c>
      <c r="N334" s="20">
        <v>1103.3900000000001</v>
      </c>
      <c r="O334" s="20">
        <v>1622.13</v>
      </c>
      <c r="P334" s="21">
        <v>45992</v>
      </c>
      <c r="Q334" s="22"/>
      <c r="R334" s="23">
        <v>1622.13</v>
      </c>
      <c r="S334" s="24"/>
      <c r="T334" s="23"/>
      <c r="U334" s="24"/>
      <c r="V334" s="23"/>
      <c r="W334" s="23"/>
      <c r="X334" s="24"/>
      <c r="Y334" s="23"/>
      <c r="Z334" s="23"/>
      <c r="AA334" s="23">
        <v>0.51</v>
      </c>
      <c r="AB334" s="23"/>
      <c r="AC334" s="24"/>
      <c r="AD334" s="23">
        <v>116.66</v>
      </c>
      <c r="AE334" s="24">
        <v>521.19000000000005</v>
      </c>
      <c r="AF334" s="23"/>
      <c r="AG334" s="23"/>
      <c r="AH334" s="23">
        <v>2.34</v>
      </c>
      <c r="AI334" s="24">
        <v>0</v>
      </c>
      <c r="AJ334" s="25">
        <v>84.62</v>
      </c>
      <c r="AK334" s="23">
        <v>18.399999999999999</v>
      </c>
      <c r="AL334" s="23"/>
      <c r="AM334" s="24"/>
      <c r="AN334" s="23"/>
      <c r="AO334" s="24"/>
      <c r="AP334" s="23"/>
      <c r="AQ334" s="24"/>
      <c r="AR334" s="23">
        <v>25.36</v>
      </c>
      <c r="AS334" s="23">
        <v>-756.2</v>
      </c>
      <c r="AT334" s="23"/>
      <c r="AU334" s="24"/>
      <c r="AW334" s="27">
        <f t="shared" si="67"/>
        <v>84.620334</v>
      </c>
      <c r="AX334" s="27">
        <f t="shared" si="68"/>
        <v>116.66033399999999</v>
      </c>
      <c r="AY334" s="27">
        <f t="shared" si="69"/>
        <v>3.3399999999999999E-4</v>
      </c>
      <c r="AZ334" s="27">
        <f t="shared" si="70"/>
        <v>3.3399999999999999E-4</v>
      </c>
    </row>
    <row r="335" spans="1:52" ht="15" customHeight="1" x14ac:dyDescent="0.25">
      <c r="A335" s="13" t="str">
        <f>VLOOKUP(L335,[1]VALIDAÇÃO!$D$13:$E$350,2,0)</f>
        <v>DIRETO</v>
      </c>
      <c r="B335" s="14" t="str">
        <f t="shared" si="60"/>
        <v>44RESERVA DO PAIVA SPE 03 LTDA</v>
      </c>
      <c r="C335" s="15">
        <f t="shared" si="71"/>
        <v>44</v>
      </c>
      <c r="D335" s="16" t="str">
        <f t="shared" si="61"/>
        <v>75RESERVA DO PAIVA SPE 03 LTDA</v>
      </c>
      <c r="E335" s="17">
        <f t="shared" si="64"/>
        <v>75</v>
      </c>
      <c r="F335" s="18" t="str">
        <f t="shared" si="62"/>
        <v>148RESERVA DO PAIVA SPE 03 LTDA</v>
      </c>
      <c r="G335" s="18">
        <f t="shared" si="65"/>
        <v>148</v>
      </c>
      <c r="H335" s="19" t="str">
        <f t="shared" si="63"/>
        <v>129RESERVA DO PAIVA SPE 03 LTDA</v>
      </c>
      <c r="I335" s="19">
        <f t="shared" si="66"/>
        <v>129</v>
      </c>
      <c r="J335" s="13" t="s">
        <v>52</v>
      </c>
      <c r="K335" s="13" t="s">
        <v>445</v>
      </c>
      <c r="L335" s="13" t="s">
        <v>87</v>
      </c>
      <c r="M335" s="13" t="s">
        <v>55</v>
      </c>
      <c r="N335" s="20">
        <v>1455.05</v>
      </c>
      <c r="O335" s="20">
        <v>2156</v>
      </c>
      <c r="P335" s="21">
        <v>45971</v>
      </c>
      <c r="Q335" s="22"/>
      <c r="R335" s="23">
        <v>2156</v>
      </c>
      <c r="S335" s="24"/>
      <c r="T335" s="23"/>
      <c r="U335" s="24"/>
      <c r="V335" s="23"/>
      <c r="W335" s="23"/>
      <c r="X335" s="24"/>
      <c r="Y335" s="23"/>
      <c r="Z335" s="23"/>
      <c r="AA335" s="23">
        <v>2.4900000000000002</v>
      </c>
      <c r="AB335" s="23"/>
      <c r="AC335" s="24"/>
      <c r="AD335" s="23">
        <v>195.46</v>
      </c>
      <c r="AE335" s="24">
        <v>657</v>
      </c>
      <c r="AF335" s="23"/>
      <c r="AG335" s="23"/>
      <c r="AH335" s="23">
        <v>11.45</v>
      </c>
      <c r="AI335" s="24">
        <v>0</v>
      </c>
      <c r="AJ335" s="25">
        <v>328.57</v>
      </c>
      <c r="AK335" s="23">
        <v>71.430000000000007</v>
      </c>
      <c r="AL335" s="23"/>
      <c r="AM335" s="24"/>
      <c r="AN335" s="23"/>
      <c r="AO335" s="24"/>
      <c r="AP335" s="23"/>
      <c r="AQ335" s="24"/>
      <c r="AR335" s="23">
        <v>42.49</v>
      </c>
      <c r="AS335" s="23">
        <v>-924</v>
      </c>
      <c r="AT335" s="23"/>
      <c r="AU335" s="24"/>
      <c r="AW335" s="27">
        <f t="shared" si="67"/>
        <v>328.570335</v>
      </c>
      <c r="AX335" s="27">
        <f t="shared" si="68"/>
        <v>195.46033500000001</v>
      </c>
      <c r="AY335" s="27">
        <f t="shared" si="69"/>
        <v>3.3500000000000001E-4</v>
      </c>
      <c r="AZ335" s="27">
        <f t="shared" si="70"/>
        <v>3.3500000000000001E-4</v>
      </c>
    </row>
    <row r="336" spans="1:52" ht="15" customHeight="1" x14ac:dyDescent="0.25">
      <c r="A336" s="13" t="str">
        <f>VLOOKUP(L336,[1]VALIDAÇÃO!$D$13:$E$350,2,0)</f>
        <v>DIRETO</v>
      </c>
      <c r="B336" s="14" t="str">
        <f t="shared" si="60"/>
        <v>90RIO AVE CARNEIROS 01 SPE LTDA.</v>
      </c>
      <c r="C336" s="15">
        <f t="shared" si="71"/>
        <v>90</v>
      </c>
      <c r="D336" s="16" t="str">
        <f t="shared" si="61"/>
        <v>39RIO AVE CARNEIROS 01 SPE LTDA.</v>
      </c>
      <c r="E336" s="17">
        <f t="shared" si="64"/>
        <v>39</v>
      </c>
      <c r="F336" s="18" t="str">
        <f t="shared" si="62"/>
        <v>75RIO AVE CARNEIROS 01 SPE LTDA.</v>
      </c>
      <c r="G336" s="18">
        <f t="shared" si="65"/>
        <v>75</v>
      </c>
      <c r="H336" s="19" t="str">
        <f t="shared" si="63"/>
        <v>120RIO AVE CARNEIROS 01 SPE LTDA.</v>
      </c>
      <c r="I336" s="19">
        <f t="shared" si="66"/>
        <v>120</v>
      </c>
      <c r="J336" s="13" t="s">
        <v>61</v>
      </c>
      <c r="K336" s="13" t="s">
        <v>446</v>
      </c>
      <c r="L336" s="13" t="s">
        <v>54</v>
      </c>
      <c r="M336" s="13" t="s">
        <v>55</v>
      </c>
      <c r="N336" s="20">
        <v>1055.3399999999999</v>
      </c>
      <c r="O336" s="20">
        <v>1622.13</v>
      </c>
      <c r="P336" s="21">
        <v>45931</v>
      </c>
      <c r="Q336" s="22"/>
      <c r="R336" s="23">
        <v>1622.13</v>
      </c>
      <c r="S336" s="24"/>
      <c r="T336" s="23"/>
      <c r="U336" s="24"/>
      <c r="V336" s="23"/>
      <c r="W336" s="23"/>
      <c r="X336" s="24"/>
      <c r="Y336" s="23"/>
      <c r="Z336" s="23"/>
      <c r="AA336" s="23">
        <v>3.76</v>
      </c>
      <c r="AB336" s="23">
        <v>75.290000000000006</v>
      </c>
      <c r="AC336" s="24">
        <v>1372.8571428571429</v>
      </c>
      <c r="AD336" s="23">
        <v>249.43</v>
      </c>
      <c r="AE336" s="24">
        <v>1892</v>
      </c>
      <c r="AF336" s="23"/>
      <c r="AG336" s="23"/>
      <c r="AH336" s="23">
        <v>15.620000000000001</v>
      </c>
      <c r="AI336" s="24">
        <v>0</v>
      </c>
      <c r="AJ336" s="25">
        <v>269.61</v>
      </c>
      <c r="AK336" s="23">
        <v>61.37</v>
      </c>
      <c r="AL336" s="23"/>
      <c r="AM336" s="24"/>
      <c r="AN336" s="23">
        <v>-57.93</v>
      </c>
      <c r="AO336" s="24">
        <v>1</v>
      </c>
      <c r="AP336" s="23"/>
      <c r="AQ336" s="24"/>
      <c r="AR336" s="23">
        <v>76.760000000000005</v>
      </c>
      <c r="AS336" s="23">
        <v>-695.2</v>
      </c>
      <c r="AT336" s="23">
        <v>-57.93</v>
      </c>
      <c r="AU336" s="24">
        <v>1</v>
      </c>
      <c r="AW336" s="27">
        <f t="shared" si="67"/>
        <v>269.61033600000002</v>
      </c>
      <c r="AX336" s="27">
        <f t="shared" si="68"/>
        <v>249.43033600000001</v>
      </c>
      <c r="AY336" s="27">
        <f t="shared" si="69"/>
        <v>75.290336000000011</v>
      </c>
      <c r="AZ336" s="27">
        <f t="shared" si="70"/>
        <v>3.3599999999999998E-4</v>
      </c>
    </row>
    <row r="337" spans="1:52" ht="15" customHeight="1" x14ac:dyDescent="0.25">
      <c r="A337" s="13" t="str">
        <f>VLOOKUP(L337,[1]VALIDAÇÃO!$D$13:$E$350,2,0)</f>
        <v>DIRETO</v>
      </c>
      <c r="B337" s="14" t="str">
        <f t="shared" si="60"/>
        <v>26RIO AVE PRAIA HOTEL SPE LTDA.</v>
      </c>
      <c r="C337" s="15">
        <f t="shared" si="71"/>
        <v>26</v>
      </c>
      <c r="D337" s="16" t="str">
        <f t="shared" si="61"/>
        <v>27RIO AVE PRAIA HOTEL SPE LTDA.</v>
      </c>
      <c r="E337" s="17">
        <f t="shared" si="64"/>
        <v>27</v>
      </c>
      <c r="F337" s="18" t="str">
        <f t="shared" si="62"/>
        <v>27RIO AVE PRAIA HOTEL SPE LTDA.</v>
      </c>
      <c r="G337" s="18">
        <f t="shared" si="65"/>
        <v>27</v>
      </c>
      <c r="H337" s="19" t="str">
        <f t="shared" si="63"/>
        <v>27RIO AVE PRAIA HOTEL SPE LTDA.</v>
      </c>
      <c r="I337" s="19">
        <f t="shared" si="66"/>
        <v>27</v>
      </c>
      <c r="J337" s="13" t="s">
        <v>80</v>
      </c>
      <c r="K337" s="13" t="s">
        <v>447</v>
      </c>
      <c r="L337" s="13" t="s">
        <v>54</v>
      </c>
      <c r="M337" s="13" t="s">
        <v>82</v>
      </c>
      <c r="N337" s="20"/>
      <c r="O337" s="20"/>
      <c r="P337" s="21">
        <v>45091</v>
      </c>
      <c r="Q337" s="22"/>
      <c r="R337" s="23"/>
      <c r="S337" s="24"/>
      <c r="T337" s="23"/>
      <c r="U337" s="24"/>
      <c r="V337" s="23"/>
      <c r="W337" s="23"/>
      <c r="X337" s="24"/>
      <c r="Y337" s="23"/>
      <c r="Z337" s="23"/>
      <c r="AA337" s="23"/>
      <c r="AB337" s="23"/>
      <c r="AC337" s="24"/>
      <c r="AD337" s="23"/>
      <c r="AE337" s="24"/>
      <c r="AF337" s="23"/>
      <c r="AG337" s="23"/>
      <c r="AH337" s="23"/>
      <c r="AI337" s="24"/>
      <c r="AJ337" s="25"/>
      <c r="AK337" s="23"/>
      <c r="AL337" s="23"/>
      <c r="AM337" s="24"/>
      <c r="AN337" s="23"/>
      <c r="AO337" s="24"/>
      <c r="AP337" s="23"/>
      <c r="AQ337" s="24"/>
      <c r="AR337" s="23"/>
      <c r="AS337" s="23"/>
      <c r="AT337" s="23"/>
      <c r="AU337" s="24"/>
      <c r="AW337" s="27">
        <f t="shared" si="67"/>
        <v>3.3700000000000001E-4</v>
      </c>
      <c r="AX337" s="27">
        <f t="shared" si="68"/>
        <v>3.3700000000000001E-4</v>
      </c>
      <c r="AY337" s="27">
        <f t="shared" si="69"/>
        <v>3.3700000000000001E-4</v>
      </c>
      <c r="AZ337" s="27">
        <f t="shared" si="70"/>
        <v>3.3700000000000001E-4</v>
      </c>
    </row>
    <row r="338" spans="1:52" ht="15" customHeight="1" x14ac:dyDescent="0.25">
      <c r="A338" s="13" t="str">
        <f>VLOOKUP(L338,[1]VALIDAÇÃO!$D$13:$E$350,2,0)</f>
        <v>DIRETO</v>
      </c>
      <c r="B338" s="14" t="str">
        <f t="shared" si="60"/>
        <v>81RESERVA DO PAIVA SPE 03 LTDA</v>
      </c>
      <c r="C338" s="15">
        <f t="shared" si="71"/>
        <v>81</v>
      </c>
      <c r="D338" s="16" t="str">
        <f t="shared" si="61"/>
        <v>3RESERVA DO PAIVA SPE 03 LTDA</v>
      </c>
      <c r="E338" s="17">
        <f t="shared" si="64"/>
        <v>3</v>
      </c>
      <c r="F338" s="18" t="str">
        <f t="shared" si="62"/>
        <v>37RESERVA DO PAIVA SPE 03 LTDA</v>
      </c>
      <c r="G338" s="18">
        <f t="shared" si="65"/>
        <v>37</v>
      </c>
      <c r="H338" s="19" t="str">
        <f t="shared" si="63"/>
        <v>26RESERVA DO PAIVA SPE 03 LTDA</v>
      </c>
      <c r="I338" s="19">
        <f t="shared" si="66"/>
        <v>26</v>
      </c>
      <c r="J338" s="13" t="s">
        <v>52</v>
      </c>
      <c r="K338" s="13" t="s">
        <v>448</v>
      </c>
      <c r="L338" s="13" t="s">
        <v>54</v>
      </c>
      <c r="M338" s="13" t="s">
        <v>55</v>
      </c>
      <c r="N338" s="20">
        <v>2052.63</v>
      </c>
      <c r="O338" s="20">
        <v>1622.13</v>
      </c>
      <c r="P338" s="21">
        <v>45817</v>
      </c>
      <c r="Q338" s="22"/>
      <c r="R338" s="23">
        <v>1622.13</v>
      </c>
      <c r="S338" s="24"/>
      <c r="T338" s="23"/>
      <c r="U338" s="24"/>
      <c r="V338" s="23"/>
      <c r="W338" s="23"/>
      <c r="X338" s="24"/>
      <c r="Y338" s="23"/>
      <c r="Z338" s="23"/>
      <c r="AA338" s="23">
        <v>10.11</v>
      </c>
      <c r="AB338" s="23">
        <v>247.51999999999998</v>
      </c>
      <c r="AC338" s="24">
        <v>1574.4271428571426</v>
      </c>
      <c r="AD338" s="23">
        <v>1294.44</v>
      </c>
      <c r="AE338" s="24">
        <v>8013.17</v>
      </c>
      <c r="AF338" s="23"/>
      <c r="AG338" s="23"/>
      <c r="AH338" s="23">
        <v>46.129999999999995</v>
      </c>
      <c r="AI338" s="24">
        <v>0</v>
      </c>
      <c r="AJ338" s="25">
        <v>171.91</v>
      </c>
      <c r="AK338" s="23">
        <v>37.43</v>
      </c>
      <c r="AL338" s="23"/>
      <c r="AM338" s="24"/>
      <c r="AN338" s="23"/>
      <c r="AO338" s="24"/>
      <c r="AP338" s="23">
        <v>231.06</v>
      </c>
      <c r="AQ338" s="24">
        <v>1101.3414285714284</v>
      </c>
      <c r="AR338" s="23">
        <v>389.08000000000004</v>
      </c>
      <c r="AS338" s="23">
        <v>-695.2</v>
      </c>
      <c r="AT338" s="23"/>
      <c r="AU338" s="24"/>
      <c r="AW338" s="27">
        <f t="shared" si="67"/>
        <v>171.910338</v>
      </c>
      <c r="AX338" s="27">
        <f t="shared" si="68"/>
        <v>1294.4403380000001</v>
      </c>
      <c r="AY338" s="27">
        <f t="shared" si="69"/>
        <v>247.52033799999998</v>
      </c>
      <c r="AZ338" s="27">
        <f t="shared" si="70"/>
        <v>231.060338</v>
      </c>
    </row>
    <row r="339" spans="1:52" ht="15" customHeight="1" x14ac:dyDescent="0.25">
      <c r="A339" s="13" t="str">
        <f>VLOOKUP(L339,[1]VALIDAÇÃO!$D$13:$E$350,2,0)</f>
        <v>DIRETO</v>
      </c>
      <c r="B339" s="14" t="str">
        <f t="shared" si="60"/>
        <v>43RESERVA DO PAIVA SPE 03 LTDA</v>
      </c>
      <c r="C339" s="15">
        <f t="shared" si="71"/>
        <v>43</v>
      </c>
      <c r="D339" s="16" t="str">
        <f t="shared" si="61"/>
        <v>117RESERVA DO PAIVA SPE 03 LTDA</v>
      </c>
      <c r="E339" s="17">
        <f t="shared" si="64"/>
        <v>117</v>
      </c>
      <c r="F339" s="18" t="str">
        <f t="shared" si="62"/>
        <v>91RESERVA DO PAIVA SPE 03 LTDA</v>
      </c>
      <c r="G339" s="18">
        <f t="shared" si="65"/>
        <v>91</v>
      </c>
      <c r="H339" s="19" t="str">
        <f t="shared" si="63"/>
        <v>128RESERVA DO PAIVA SPE 03 LTDA</v>
      </c>
      <c r="I339" s="19">
        <f t="shared" si="66"/>
        <v>128</v>
      </c>
      <c r="J339" s="13" t="s">
        <v>52</v>
      </c>
      <c r="K339" s="13" t="s">
        <v>449</v>
      </c>
      <c r="L339" s="13" t="s">
        <v>63</v>
      </c>
      <c r="M339" s="13" t="s">
        <v>55</v>
      </c>
      <c r="N339" s="20">
        <v>1205.5899999999999</v>
      </c>
      <c r="O339" s="20">
        <v>2156</v>
      </c>
      <c r="P339" s="21">
        <v>45839</v>
      </c>
      <c r="Q339" s="22"/>
      <c r="R339" s="23">
        <v>2156</v>
      </c>
      <c r="S339" s="24"/>
      <c r="T339" s="23"/>
      <c r="U339" s="24"/>
      <c r="V339" s="23"/>
      <c r="W339" s="23"/>
      <c r="X339" s="24"/>
      <c r="Y339" s="23"/>
      <c r="Z339" s="23"/>
      <c r="AA339" s="23">
        <v>1.03</v>
      </c>
      <c r="AB339" s="23">
        <v>69.489999999999995</v>
      </c>
      <c r="AC339" s="24">
        <v>556.14285714285711</v>
      </c>
      <c r="AD339" s="23">
        <v>69.97</v>
      </c>
      <c r="AE339" s="24">
        <v>416.12714285714287</v>
      </c>
      <c r="AF339" s="23"/>
      <c r="AG339" s="23"/>
      <c r="AH339" s="23">
        <v>4.9999999999999991</v>
      </c>
      <c r="AI339" s="24">
        <v>0</v>
      </c>
      <c r="AJ339" s="25">
        <v>329.9</v>
      </c>
      <c r="AK339" s="23">
        <v>71.990000000000009</v>
      </c>
      <c r="AL339" s="23"/>
      <c r="AM339" s="24"/>
      <c r="AN339" s="23"/>
      <c r="AO339" s="24"/>
      <c r="AP339" s="23"/>
      <c r="AQ339" s="24"/>
      <c r="AR339" s="23">
        <v>28.740000000000002</v>
      </c>
      <c r="AS339" s="23">
        <v>-924</v>
      </c>
      <c r="AT339" s="23"/>
      <c r="AU339" s="24"/>
      <c r="AW339" s="27">
        <f t="shared" si="67"/>
        <v>329.90033899999997</v>
      </c>
      <c r="AX339" s="27">
        <f t="shared" si="68"/>
        <v>69.970338999999996</v>
      </c>
      <c r="AY339" s="27">
        <f t="shared" si="69"/>
        <v>69.490338999999992</v>
      </c>
      <c r="AZ339" s="27">
        <f t="shared" si="70"/>
        <v>3.39E-4</v>
      </c>
    </row>
    <row r="340" spans="1:52" ht="15" customHeight="1" x14ac:dyDescent="0.25">
      <c r="A340" s="13" t="str">
        <f>VLOOKUP(L340,[1]VALIDAÇÃO!$D$13:$E$350,2,0)</f>
        <v>DIRETO</v>
      </c>
      <c r="B340" s="14" t="str">
        <f t="shared" ref="B340:B403" si="72">C340&amp;J340</f>
        <v>94RESERVA DO PAIVA SPE 03 LTDA</v>
      </c>
      <c r="C340" s="15">
        <f t="shared" si="71"/>
        <v>94</v>
      </c>
      <c r="D340" s="16" t="str">
        <f t="shared" ref="D340:D403" si="73">E340&amp;J340</f>
        <v>82RESERVA DO PAIVA SPE 03 LTDA</v>
      </c>
      <c r="E340" s="17">
        <f t="shared" si="64"/>
        <v>82</v>
      </c>
      <c r="F340" s="18" t="str">
        <f t="shared" ref="F340:F403" si="74">G340&amp;J340</f>
        <v>68RESERVA DO PAIVA SPE 03 LTDA</v>
      </c>
      <c r="G340" s="18">
        <f t="shared" si="65"/>
        <v>68</v>
      </c>
      <c r="H340" s="19" t="str">
        <f t="shared" ref="H340:H403" si="75">I340&amp;J340</f>
        <v>42RESERVA DO PAIVA SPE 03 LTDA</v>
      </c>
      <c r="I340" s="19">
        <f t="shared" si="66"/>
        <v>42</v>
      </c>
      <c r="J340" s="13" t="s">
        <v>52</v>
      </c>
      <c r="K340" s="13" t="s">
        <v>450</v>
      </c>
      <c r="L340" s="13" t="s">
        <v>54</v>
      </c>
      <c r="M340" s="13" t="s">
        <v>55</v>
      </c>
      <c r="N340" s="20">
        <v>1160.05</v>
      </c>
      <c r="O340" s="20">
        <v>1622.13</v>
      </c>
      <c r="P340" s="21">
        <v>45839</v>
      </c>
      <c r="Q340" s="22"/>
      <c r="R340" s="23">
        <v>1622.13</v>
      </c>
      <c r="S340" s="24"/>
      <c r="T340" s="23"/>
      <c r="U340" s="24"/>
      <c r="V340" s="23"/>
      <c r="W340" s="23"/>
      <c r="X340" s="24"/>
      <c r="Y340" s="23"/>
      <c r="Z340" s="23"/>
      <c r="AA340" s="23">
        <v>1.87</v>
      </c>
      <c r="AB340" s="23">
        <v>126.09</v>
      </c>
      <c r="AC340" s="24">
        <v>925.31285714285718</v>
      </c>
      <c r="AD340" s="23">
        <v>175.2</v>
      </c>
      <c r="AE340" s="24">
        <v>1518.1271428571429</v>
      </c>
      <c r="AF340" s="23"/>
      <c r="AG340" s="23"/>
      <c r="AH340" s="23">
        <v>8.6</v>
      </c>
      <c r="AI340" s="24">
        <v>0</v>
      </c>
      <c r="AJ340" s="25">
        <v>151.97</v>
      </c>
      <c r="AK340" s="23">
        <v>33.25</v>
      </c>
      <c r="AL340" s="23"/>
      <c r="AM340" s="24"/>
      <c r="AN340" s="23"/>
      <c r="AO340" s="24"/>
      <c r="AP340" s="23">
        <v>127.5</v>
      </c>
      <c r="AQ340" s="24">
        <v>484.17</v>
      </c>
      <c r="AR340" s="23">
        <v>91.68</v>
      </c>
      <c r="AS340" s="23">
        <v>-695.2</v>
      </c>
      <c r="AT340" s="23"/>
      <c r="AU340" s="24"/>
      <c r="AW340" s="27">
        <f t="shared" si="67"/>
        <v>151.97033999999999</v>
      </c>
      <c r="AX340" s="27">
        <f t="shared" si="68"/>
        <v>175.20033999999998</v>
      </c>
      <c r="AY340" s="27">
        <f t="shared" si="69"/>
        <v>126.09034</v>
      </c>
      <c r="AZ340" s="27">
        <f t="shared" si="70"/>
        <v>127.50033999999999</v>
      </c>
    </row>
    <row r="341" spans="1:52" ht="15" customHeight="1" x14ac:dyDescent="0.25">
      <c r="A341" s="13" t="str">
        <f>VLOOKUP(L341,[1]VALIDAÇÃO!$D$13:$E$350,2,0)</f>
        <v>INDIRETO</v>
      </c>
      <c r="B341" s="14" t="str">
        <f t="shared" si="72"/>
        <v>117CONDOMINIO DO EDIFICIO EMPRESARIAL MARIE CURIE</v>
      </c>
      <c r="C341" s="15">
        <f t="shared" si="71"/>
        <v>117</v>
      </c>
      <c r="D341" s="16" t="str">
        <f t="shared" si="73"/>
        <v>28CONDOMINIO DO EDIFICIO EMPRESARIAL MARIE CURIE</v>
      </c>
      <c r="E341" s="17">
        <f t="shared" si="64"/>
        <v>28</v>
      </c>
      <c r="F341" s="18" t="str">
        <f t="shared" si="74"/>
        <v>16CONDOMINIO DO EDIFICIO EMPRESARIAL MARIE CURIE</v>
      </c>
      <c r="G341" s="18">
        <f t="shared" si="65"/>
        <v>16</v>
      </c>
      <c r="H341" s="19" t="str">
        <f t="shared" si="75"/>
        <v>22CONDOMINIO DO EDIFICIO EMPRESARIAL MARIE CURIE</v>
      </c>
      <c r="I341" s="19">
        <f t="shared" si="66"/>
        <v>22</v>
      </c>
      <c r="J341" s="13" t="s">
        <v>57</v>
      </c>
      <c r="K341" s="13" t="s">
        <v>451</v>
      </c>
      <c r="L341" s="13" t="s">
        <v>141</v>
      </c>
      <c r="M341" s="13" t="s">
        <v>60</v>
      </c>
      <c r="N341" s="20">
        <v>1295.43</v>
      </c>
      <c r="O341" s="20">
        <v>3238.04</v>
      </c>
      <c r="P341" s="21">
        <v>45036</v>
      </c>
      <c r="Q341" s="22"/>
      <c r="R341" s="23">
        <v>3238.04</v>
      </c>
      <c r="S341" s="24"/>
      <c r="T341" s="23"/>
      <c r="U341" s="24"/>
      <c r="V341" s="23"/>
      <c r="W341" s="23"/>
      <c r="X341" s="24"/>
      <c r="Y341" s="23"/>
      <c r="Z341" s="23"/>
      <c r="AA341" s="23">
        <v>0.01</v>
      </c>
      <c r="AB341" s="23">
        <v>252.41</v>
      </c>
      <c r="AC341" s="24">
        <v>780.56142857142856</v>
      </c>
      <c r="AD341" s="23">
        <v>259.66999999999996</v>
      </c>
      <c r="AE341" s="24">
        <v>790.43714285714282</v>
      </c>
      <c r="AF341" s="23"/>
      <c r="AG341" s="23"/>
      <c r="AH341" s="23"/>
      <c r="AI341" s="24"/>
      <c r="AJ341" s="25"/>
      <c r="AK341" s="23"/>
      <c r="AL341" s="23"/>
      <c r="AM341" s="24"/>
      <c r="AN341" s="23"/>
      <c r="AO341" s="24"/>
      <c r="AP341" s="23">
        <v>66.489999999999995</v>
      </c>
      <c r="AQ341" s="24">
        <v>169.94857142857143</v>
      </c>
      <c r="AR341" s="23">
        <v>102.4</v>
      </c>
      <c r="AS341" s="23">
        <v>-1387.73</v>
      </c>
      <c r="AT341" s="23"/>
      <c r="AU341" s="24"/>
      <c r="AW341" s="27">
        <f t="shared" si="67"/>
        <v>3.4099999999999999E-4</v>
      </c>
      <c r="AX341" s="27">
        <f t="shared" si="68"/>
        <v>259.67034099999995</v>
      </c>
      <c r="AY341" s="27">
        <f t="shared" si="69"/>
        <v>252.41034099999999</v>
      </c>
      <c r="AZ341" s="27">
        <f t="shared" si="70"/>
        <v>66.490341000000001</v>
      </c>
    </row>
    <row r="342" spans="1:52" ht="15" customHeight="1" x14ac:dyDescent="0.25">
      <c r="A342" s="13" t="str">
        <f>VLOOKUP(L342,[1]VALIDAÇÃO!$D$13:$E$350,2,0)</f>
        <v>DIRETO</v>
      </c>
      <c r="B342" s="14" t="str">
        <f t="shared" si="72"/>
        <v>43RESERVA DO PAIVA SPE 01 LTDA.</v>
      </c>
      <c r="C342" s="15">
        <f t="shared" si="71"/>
        <v>43</v>
      </c>
      <c r="D342" s="16" t="str">
        <f t="shared" si="73"/>
        <v>27RESERVA DO PAIVA SPE 01 LTDA.</v>
      </c>
      <c r="E342" s="17">
        <f t="shared" si="64"/>
        <v>27</v>
      </c>
      <c r="F342" s="18" t="str">
        <f t="shared" si="74"/>
        <v>40RESERVA DO PAIVA SPE 01 LTDA.</v>
      </c>
      <c r="G342" s="18">
        <f t="shared" si="65"/>
        <v>40</v>
      </c>
      <c r="H342" s="19" t="str">
        <f t="shared" si="75"/>
        <v>33RESERVA DO PAIVA SPE 01 LTDA.</v>
      </c>
      <c r="I342" s="19">
        <f t="shared" si="66"/>
        <v>33</v>
      </c>
      <c r="J342" s="13" t="s">
        <v>68</v>
      </c>
      <c r="K342" s="13" t="s">
        <v>452</v>
      </c>
      <c r="L342" s="13" t="s">
        <v>54</v>
      </c>
      <c r="M342" s="13" t="s">
        <v>55</v>
      </c>
      <c r="N342" s="20">
        <v>2416.5</v>
      </c>
      <c r="O342" s="20">
        <v>1622.13</v>
      </c>
      <c r="P342" s="21">
        <v>45964</v>
      </c>
      <c r="Q342" s="22"/>
      <c r="R342" s="23">
        <v>1622.13</v>
      </c>
      <c r="S342" s="24"/>
      <c r="T342" s="23"/>
      <c r="U342" s="24"/>
      <c r="V342" s="23"/>
      <c r="W342" s="23">
        <v>0.87</v>
      </c>
      <c r="X342" s="24">
        <v>33</v>
      </c>
      <c r="Y342" s="23"/>
      <c r="Z342" s="23"/>
      <c r="AA342" s="23">
        <v>29.4</v>
      </c>
      <c r="AB342" s="23">
        <v>271</v>
      </c>
      <c r="AC342" s="24">
        <v>1849.4</v>
      </c>
      <c r="AD342" s="23">
        <v>442.6</v>
      </c>
      <c r="AE342" s="24">
        <v>3284</v>
      </c>
      <c r="AF342" s="23"/>
      <c r="AG342" s="23"/>
      <c r="AH342" s="23">
        <v>133.78</v>
      </c>
      <c r="AI342" s="24">
        <v>0</v>
      </c>
      <c r="AJ342" s="25">
        <v>667.33</v>
      </c>
      <c r="AK342" s="23">
        <v>147.14000000000001</v>
      </c>
      <c r="AL342" s="23"/>
      <c r="AM342" s="24"/>
      <c r="AN342" s="23"/>
      <c r="AO342" s="24"/>
      <c r="AP342" s="23">
        <v>369.84999999999997</v>
      </c>
      <c r="AQ342" s="24">
        <v>3241.8</v>
      </c>
      <c r="AR342" s="23">
        <v>245.89000000000001</v>
      </c>
      <c r="AS342" s="23">
        <v>-695.2</v>
      </c>
      <c r="AT342" s="23"/>
      <c r="AU342" s="24"/>
      <c r="AW342" s="27">
        <f t="shared" si="67"/>
        <v>667.33034200000009</v>
      </c>
      <c r="AX342" s="27">
        <f t="shared" si="68"/>
        <v>442.60034200000001</v>
      </c>
      <c r="AY342" s="27">
        <f t="shared" si="69"/>
        <v>271.00034199999999</v>
      </c>
      <c r="AZ342" s="27">
        <f t="shared" si="70"/>
        <v>369.85034199999996</v>
      </c>
    </row>
    <row r="343" spans="1:52" ht="15" customHeight="1" x14ac:dyDescent="0.25">
      <c r="A343" s="13" t="str">
        <f>VLOOKUP(L343,[1]VALIDAÇÃO!$D$13:$E$350,2,0)</f>
        <v>DIRETO</v>
      </c>
      <c r="B343" s="14" t="str">
        <f t="shared" si="72"/>
        <v>22RIO AVE 200 SPE LTDA.</v>
      </c>
      <c r="C343" s="15">
        <f t="shared" si="71"/>
        <v>22</v>
      </c>
      <c r="D343" s="16" t="str">
        <f t="shared" si="73"/>
        <v>30RIO AVE 200 SPE LTDA.</v>
      </c>
      <c r="E343" s="17">
        <f t="shared" si="64"/>
        <v>30</v>
      </c>
      <c r="F343" s="18" t="str">
        <f t="shared" si="74"/>
        <v>66RIO AVE 200 SPE LTDA.</v>
      </c>
      <c r="G343" s="18">
        <f t="shared" si="65"/>
        <v>66</v>
      </c>
      <c r="H343" s="19" t="str">
        <f t="shared" si="75"/>
        <v>54RIO AVE 200 SPE LTDA.</v>
      </c>
      <c r="I343" s="19">
        <f t="shared" si="66"/>
        <v>54</v>
      </c>
      <c r="J343" s="13" t="s">
        <v>48</v>
      </c>
      <c r="K343" s="13" t="s">
        <v>453</v>
      </c>
      <c r="L343" s="13" t="s">
        <v>66</v>
      </c>
      <c r="M343" s="13" t="s">
        <v>55</v>
      </c>
      <c r="N343" s="20">
        <v>2312.87</v>
      </c>
      <c r="O343" s="20">
        <v>2156</v>
      </c>
      <c r="P343" s="21">
        <v>45964</v>
      </c>
      <c r="Q343" s="22"/>
      <c r="R343" s="23">
        <v>2156</v>
      </c>
      <c r="S343" s="24"/>
      <c r="T343" s="23"/>
      <c r="U343" s="24"/>
      <c r="V343" s="23"/>
      <c r="W343" s="23"/>
      <c r="X343" s="24"/>
      <c r="Y343" s="23"/>
      <c r="Z343" s="23"/>
      <c r="AA343" s="23">
        <v>3.9099999999999997</v>
      </c>
      <c r="AB343" s="23"/>
      <c r="AC343" s="24"/>
      <c r="AD343" s="23">
        <v>131.49999999999997</v>
      </c>
      <c r="AE343" s="24">
        <v>602</v>
      </c>
      <c r="AF343" s="23"/>
      <c r="AG343" s="23"/>
      <c r="AH343" s="23">
        <v>17.860000000000003</v>
      </c>
      <c r="AI343" s="24">
        <v>0</v>
      </c>
      <c r="AJ343" s="25">
        <v>878.92000000000007</v>
      </c>
      <c r="AK343" s="23">
        <v>195.54</v>
      </c>
      <c r="AL343" s="23"/>
      <c r="AM343" s="24"/>
      <c r="AN343" s="23"/>
      <c r="AO343" s="24"/>
      <c r="AP343" s="23"/>
      <c r="AQ343" s="24"/>
      <c r="AR343" s="23">
        <v>29.11</v>
      </c>
      <c r="AS343" s="23">
        <v>-1144</v>
      </c>
      <c r="AT343" s="23"/>
      <c r="AU343" s="24"/>
      <c r="AW343" s="27">
        <f t="shared" si="67"/>
        <v>878.92034300000012</v>
      </c>
      <c r="AX343" s="27">
        <f t="shared" si="68"/>
        <v>131.50034299999996</v>
      </c>
      <c r="AY343" s="27">
        <f t="shared" si="69"/>
        <v>3.4299999999999999E-4</v>
      </c>
      <c r="AZ343" s="27">
        <f t="shared" si="70"/>
        <v>3.4299999999999999E-4</v>
      </c>
    </row>
    <row r="344" spans="1:52" ht="15" customHeight="1" x14ac:dyDescent="0.25">
      <c r="A344" s="13" t="str">
        <f>VLOOKUP(L344,[1]VALIDAÇÃO!$D$13:$E$350,2,0)</f>
        <v>DIRETO</v>
      </c>
      <c r="B344" s="14" t="str">
        <f t="shared" si="72"/>
        <v>51RIO AVE CARNEIROS 01 SPE LTDA.</v>
      </c>
      <c r="C344" s="15">
        <f t="shared" si="71"/>
        <v>51</v>
      </c>
      <c r="D344" s="16" t="str">
        <f t="shared" si="73"/>
        <v>107RIO AVE CARNEIROS 01 SPE LTDA.</v>
      </c>
      <c r="E344" s="17">
        <f t="shared" si="64"/>
        <v>107</v>
      </c>
      <c r="F344" s="18" t="str">
        <f t="shared" si="74"/>
        <v>8RIO AVE CARNEIROS 01 SPE LTDA.</v>
      </c>
      <c r="G344" s="18">
        <f t="shared" si="65"/>
        <v>8</v>
      </c>
      <c r="H344" s="19" t="str">
        <f t="shared" si="75"/>
        <v>16RIO AVE CARNEIROS 01 SPE LTDA.</v>
      </c>
      <c r="I344" s="19">
        <f t="shared" si="66"/>
        <v>16</v>
      </c>
      <c r="J344" s="13" t="s">
        <v>61</v>
      </c>
      <c r="K344" s="13" t="s">
        <v>454</v>
      </c>
      <c r="L344" s="13" t="s">
        <v>63</v>
      </c>
      <c r="M344" s="13" t="s">
        <v>55</v>
      </c>
      <c r="N344" s="20">
        <v>1513.07</v>
      </c>
      <c r="O344" s="20">
        <v>2156</v>
      </c>
      <c r="P344" s="21">
        <v>45797</v>
      </c>
      <c r="Q344" s="22"/>
      <c r="R344" s="23">
        <v>2156</v>
      </c>
      <c r="S344" s="24"/>
      <c r="T344" s="23"/>
      <c r="U344" s="24"/>
      <c r="V344" s="23"/>
      <c r="W344" s="23"/>
      <c r="X344" s="24"/>
      <c r="Y344" s="23"/>
      <c r="Z344" s="23"/>
      <c r="AA344" s="23">
        <v>3.5599999999999996</v>
      </c>
      <c r="AB344" s="23">
        <v>245.05</v>
      </c>
      <c r="AC344" s="24">
        <v>1235.5857142857144</v>
      </c>
      <c r="AD344" s="23">
        <v>14.96</v>
      </c>
      <c r="AE344" s="24">
        <v>92</v>
      </c>
      <c r="AF344" s="23"/>
      <c r="AG344" s="23"/>
      <c r="AH344" s="23">
        <v>16.05</v>
      </c>
      <c r="AI344" s="24">
        <v>0</v>
      </c>
      <c r="AJ344" s="25">
        <v>442.92</v>
      </c>
      <c r="AK344" s="23">
        <v>98.01</v>
      </c>
      <c r="AL344" s="23"/>
      <c r="AM344" s="24"/>
      <c r="AN344" s="23"/>
      <c r="AO344" s="24"/>
      <c r="AP344" s="23">
        <v>64.960000000000008</v>
      </c>
      <c r="AQ344" s="24">
        <v>387.95714285714286</v>
      </c>
      <c r="AR344" s="23">
        <v>71.91</v>
      </c>
      <c r="AS344" s="23">
        <v>-1014</v>
      </c>
      <c r="AT344" s="23"/>
      <c r="AU344" s="24"/>
      <c r="AW344" s="27">
        <f t="shared" si="67"/>
        <v>442.920344</v>
      </c>
      <c r="AX344" s="27">
        <f t="shared" si="68"/>
        <v>14.960344000000001</v>
      </c>
      <c r="AY344" s="27">
        <f t="shared" si="69"/>
        <v>245.05034400000002</v>
      </c>
      <c r="AZ344" s="27">
        <f t="shared" si="70"/>
        <v>64.960344000000006</v>
      </c>
    </row>
    <row r="345" spans="1:52" ht="15" customHeight="1" x14ac:dyDescent="0.25">
      <c r="A345" s="13" t="str">
        <f>VLOOKUP(L345,[1]VALIDAÇÃO!$D$13:$E$350,2,0)</f>
        <v>INDIRETO</v>
      </c>
      <c r="B345" s="14" t="str">
        <f t="shared" si="72"/>
        <v>150RESERVA DO PAIVA SPE 03 LTDA</v>
      </c>
      <c r="C345" s="15">
        <f t="shared" si="71"/>
        <v>150</v>
      </c>
      <c r="D345" s="16" t="str">
        <f t="shared" si="73"/>
        <v>6RESERVA DO PAIVA SPE 03 LTDA</v>
      </c>
      <c r="E345" s="17">
        <f t="shared" si="64"/>
        <v>6</v>
      </c>
      <c r="F345" s="18" t="str">
        <f t="shared" si="74"/>
        <v>5RESERVA DO PAIVA SPE 03 LTDA</v>
      </c>
      <c r="G345" s="18">
        <f t="shared" si="65"/>
        <v>5</v>
      </c>
      <c r="H345" s="19" t="str">
        <f t="shared" si="75"/>
        <v>54RESERVA DO PAIVA SPE 03 LTDA</v>
      </c>
      <c r="I345" s="19">
        <f t="shared" si="66"/>
        <v>54</v>
      </c>
      <c r="J345" s="13" t="s">
        <v>52</v>
      </c>
      <c r="K345" s="13" t="s">
        <v>455</v>
      </c>
      <c r="L345" s="13" t="s">
        <v>415</v>
      </c>
      <c r="M345" s="13" t="s">
        <v>85</v>
      </c>
      <c r="N345" s="20">
        <v>1388.85</v>
      </c>
      <c r="O345" s="20">
        <v>2747.44</v>
      </c>
      <c r="P345" s="21">
        <v>45454</v>
      </c>
      <c r="Q345" s="29"/>
      <c r="R345" s="30">
        <v>2747.44</v>
      </c>
      <c r="S345" s="30"/>
      <c r="T345" s="30"/>
      <c r="U345" s="30"/>
      <c r="V345" s="30"/>
      <c r="W345" s="30">
        <v>4.25</v>
      </c>
      <c r="X345" s="30">
        <v>91.18</v>
      </c>
      <c r="Y345" s="30"/>
      <c r="Z345" s="30"/>
      <c r="AA345" s="30"/>
      <c r="AB345" s="23">
        <v>571.71</v>
      </c>
      <c r="AC345" s="24">
        <v>1670.4542857142856</v>
      </c>
      <c r="AD345" s="23">
        <v>1223.96</v>
      </c>
      <c r="AE345" s="24">
        <v>3740.5371428571425</v>
      </c>
      <c r="AF345" s="30"/>
      <c r="AG345" s="30"/>
      <c r="AH345" s="30"/>
      <c r="AI345" s="30"/>
      <c r="AJ345" s="25"/>
      <c r="AK345" s="30"/>
      <c r="AL345" s="30">
        <v>-21.67</v>
      </c>
      <c r="AM345" s="30">
        <v>97.17</v>
      </c>
      <c r="AN345" s="30">
        <v>-98.12</v>
      </c>
      <c r="AO345" s="30">
        <v>1</v>
      </c>
      <c r="AP345" s="23">
        <v>53.92</v>
      </c>
      <c r="AQ345" s="24">
        <v>153.50285714285715</v>
      </c>
      <c r="AR345" s="30">
        <v>398.57</v>
      </c>
      <c r="AS345" s="30">
        <v>-1177.48</v>
      </c>
      <c r="AT345" s="30">
        <v>-98.12</v>
      </c>
      <c r="AU345" s="30">
        <v>1</v>
      </c>
      <c r="AW345" s="27">
        <f t="shared" si="67"/>
        <v>3.4499999999999998E-4</v>
      </c>
      <c r="AX345" s="27">
        <f t="shared" si="68"/>
        <v>1223.960345</v>
      </c>
      <c r="AY345" s="27">
        <f t="shared" si="69"/>
        <v>571.71034500000007</v>
      </c>
      <c r="AZ345" s="27">
        <f t="shared" si="70"/>
        <v>53.920345000000005</v>
      </c>
    </row>
    <row r="346" spans="1:52" ht="15" customHeight="1" x14ac:dyDescent="0.25">
      <c r="A346" s="13" t="str">
        <f>VLOOKUP(L346,[1]VALIDAÇÃO!$D$13:$E$350,2,0)</f>
        <v>DIRETO</v>
      </c>
      <c r="B346" s="14" t="str">
        <f t="shared" si="72"/>
        <v>58RIO AVE CARNEIROS 01 SPE LTDA.</v>
      </c>
      <c r="C346" s="15">
        <f t="shared" si="71"/>
        <v>58</v>
      </c>
      <c r="D346" s="16" t="str">
        <f t="shared" si="73"/>
        <v>125RIO AVE CARNEIROS 01 SPE LTDA.</v>
      </c>
      <c r="E346" s="17">
        <f t="shared" si="64"/>
        <v>125</v>
      </c>
      <c r="F346" s="18" t="str">
        <f t="shared" si="74"/>
        <v>83RIO AVE CARNEIROS 01 SPE LTDA.</v>
      </c>
      <c r="G346" s="18">
        <f t="shared" si="65"/>
        <v>83</v>
      </c>
      <c r="H346" s="19" t="str">
        <f t="shared" si="75"/>
        <v>38RIO AVE CARNEIROS 01 SPE LTDA.</v>
      </c>
      <c r="I346" s="19">
        <f t="shared" si="66"/>
        <v>38</v>
      </c>
      <c r="J346" s="13" t="s">
        <v>61</v>
      </c>
      <c r="K346" s="13" t="s">
        <v>456</v>
      </c>
      <c r="L346" s="13" t="s">
        <v>54</v>
      </c>
      <c r="M346" s="13" t="s">
        <v>55</v>
      </c>
      <c r="N346" s="20">
        <v>1058.92</v>
      </c>
      <c r="O346" s="20">
        <v>1622.13</v>
      </c>
      <c r="P346" s="21">
        <v>45901</v>
      </c>
      <c r="Q346" s="22"/>
      <c r="R346" s="23">
        <v>1622.13</v>
      </c>
      <c r="S346" s="24"/>
      <c r="T346" s="23"/>
      <c r="U346" s="24"/>
      <c r="V346" s="23"/>
      <c r="W346" s="23"/>
      <c r="X346" s="24"/>
      <c r="Y346" s="23"/>
      <c r="Z346" s="23"/>
      <c r="AA346" s="23">
        <v>1.65</v>
      </c>
      <c r="AB346" s="23">
        <v>63.080000000000005</v>
      </c>
      <c r="AC346" s="24">
        <v>929.0428571428572</v>
      </c>
      <c r="AD346" s="23">
        <v>3.82</v>
      </c>
      <c r="AE346" s="24">
        <v>28.671428571428571</v>
      </c>
      <c r="AF346" s="23"/>
      <c r="AG346" s="23"/>
      <c r="AH346" s="23">
        <v>7.04</v>
      </c>
      <c r="AI346" s="24">
        <v>0</v>
      </c>
      <c r="AJ346" s="25">
        <v>411.35</v>
      </c>
      <c r="AK346" s="23">
        <v>92.39</v>
      </c>
      <c r="AL346" s="23"/>
      <c r="AM346" s="24"/>
      <c r="AN346" s="23"/>
      <c r="AO346" s="24"/>
      <c r="AP346" s="23">
        <v>37.049999999999997</v>
      </c>
      <c r="AQ346" s="24">
        <v>463.81428571428569</v>
      </c>
      <c r="AR346" s="23">
        <v>23.29</v>
      </c>
      <c r="AS346" s="23">
        <v>-695.2</v>
      </c>
      <c r="AT346" s="23"/>
      <c r="AU346" s="24"/>
      <c r="AW346" s="27">
        <f t="shared" si="67"/>
        <v>411.350346</v>
      </c>
      <c r="AX346" s="27">
        <f t="shared" si="68"/>
        <v>3.8203459999999998</v>
      </c>
      <c r="AY346" s="27">
        <f t="shared" si="69"/>
        <v>63.080346000000006</v>
      </c>
      <c r="AZ346" s="27">
        <f t="shared" si="70"/>
        <v>37.050345999999998</v>
      </c>
    </row>
    <row r="347" spans="1:52" ht="15" customHeight="1" x14ac:dyDescent="0.25">
      <c r="A347" s="13" t="str">
        <f>VLOOKUP(L347,[1]VALIDAÇÃO!$D$13:$E$350,2,0)</f>
        <v>DIRETO</v>
      </c>
      <c r="B347" s="14" t="str">
        <f t="shared" si="72"/>
        <v>2RESERVA DO PAIVA SPE 03 LTDA</v>
      </c>
      <c r="C347" s="15">
        <f t="shared" si="71"/>
        <v>2</v>
      </c>
      <c r="D347" s="16" t="str">
        <f t="shared" si="73"/>
        <v>140RESERVA DO PAIVA SPE 03 LTDA</v>
      </c>
      <c r="E347" s="17">
        <f t="shared" si="64"/>
        <v>140</v>
      </c>
      <c r="F347" s="18" t="str">
        <f t="shared" si="74"/>
        <v>147RESERVA DO PAIVA SPE 03 LTDA</v>
      </c>
      <c r="G347" s="18">
        <f t="shared" si="65"/>
        <v>147</v>
      </c>
      <c r="H347" s="19" t="str">
        <f t="shared" si="75"/>
        <v>127RESERVA DO PAIVA SPE 03 LTDA</v>
      </c>
      <c r="I347" s="19">
        <f t="shared" si="66"/>
        <v>127</v>
      </c>
      <c r="J347" s="13" t="s">
        <v>52</v>
      </c>
      <c r="K347" s="13" t="s">
        <v>457</v>
      </c>
      <c r="L347" s="13" t="s">
        <v>66</v>
      </c>
      <c r="M347" s="13" t="s">
        <v>55</v>
      </c>
      <c r="N347" s="20">
        <v>1779.13</v>
      </c>
      <c r="O347" s="20">
        <v>2156</v>
      </c>
      <c r="P347" s="21">
        <v>45782</v>
      </c>
      <c r="Q347" s="22"/>
      <c r="R347" s="23">
        <v>2156</v>
      </c>
      <c r="S347" s="24"/>
      <c r="T347" s="23"/>
      <c r="U347" s="24"/>
      <c r="V347" s="23"/>
      <c r="W347" s="23"/>
      <c r="X347" s="24"/>
      <c r="Y347" s="23"/>
      <c r="Z347" s="23"/>
      <c r="AA347" s="23">
        <v>0.48</v>
      </c>
      <c r="AB347" s="23"/>
      <c r="AC347" s="24"/>
      <c r="AD347" s="23">
        <v>13.870000000000001</v>
      </c>
      <c r="AE347" s="24">
        <v>57.370000000000005</v>
      </c>
      <c r="AF347" s="23"/>
      <c r="AG347" s="23"/>
      <c r="AH347" s="23">
        <v>2.23</v>
      </c>
      <c r="AI347" s="24">
        <v>0</v>
      </c>
      <c r="AJ347" s="25">
        <v>1706.1799999999998</v>
      </c>
      <c r="AK347" s="23">
        <v>370.99</v>
      </c>
      <c r="AL347" s="23"/>
      <c r="AM347" s="24"/>
      <c r="AN347" s="23"/>
      <c r="AO347" s="24"/>
      <c r="AP347" s="23"/>
      <c r="AQ347" s="24"/>
      <c r="AR347" s="23">
        <v>3.0100000000000002</v>
      </c>
      <c r="AS347" s="23">
        <v>-924</v>
      </c>
      <c r="AT347" s="23"/>
      <c r="AU347" s="24"/>
      <c r="AW347" s="27">
        <f t="shared" si="67"/>
        <v>1706.1803469999998</v>
      </c>
      <c r="AX347" s="27">
        <f t="shared" si="68"/>
        <v>13.870347000000001</v>
      </c>
      <c r="AY347" s="27">
        <f t="shared" si="69"/>
        <v>3.4699999999999998E-4</v>
      </c>
      <c r="AZ347" s="27">
        <f t="shared" si="70"/>
        <v>3.4699999999999998E-4</v>
      </c>
    </row>
    <row r="348" spans="1:52" ht="15" customHeight="1" x14ac:dyDescent="0.25">
      <c r="A348" s="13" t="str">
        <f>VLOOKUP(L348,[1]VALIDAÇÃO!$D$13:$E$350,2,0)</f>
        <v>DIRETO</v>
      </c>
      <c r="B348" s="14" t="str">
        <f t="shared" si="72"/>
        <v>11RIO AVE INVESTIMENTOS LTDA</v>
      </c>
      <c r="C348" s="15">
        <f t="shared" si="71"/>
        <v>11</v>
      </c>
      <c r="D348" s="16" t="str">
        <f t="shared" si="73"/>
        <v>12RIO AVE INVESTIMENTOS LTDA</v>
      </c>
      <c r="E348" s="17">
        <f t="shared" si="64"/>
        <v>12</v>
      </c>
      <c r="F348" s="18" t="str">
        <f t="shared" si="74"/>
        <v>10RIO AVE INVESTIMENTOS LTDA</v>
      </c>
      <c r="G348" s="18">
        <f t="shared" si="65"/>
        <v>10</v>
      </c>
      <c r="H348" s="19" t="str">
        <f t="shared" si="75"/>
        <v>11RIO AVE INVESTIMENTOS LTDA</v>
      </c>
      <c r="I348" s="19">
        <f t="shared" si="66"/>
        <v>11</v>
      </c>
      <c r="J348" s="13" t="s">
        <v>304</v>
      </c>
      <c r="K348" s="13" t="s">
        <v>458</v>
      </c>
      <c r="L348" s="13" t="s">
        <v>54</v>
      </c>
      <c r="M348" s="13" t="s">
        <v>306</v>
      </c>
      <c r="N348" s="20">
        <v>938.32</v>
      </c>
      <c r="O348" s="20">
        <v>1680.07</v>
      </c>
      <c r="P348" s="21">
        <v>43500</v>
      </c>
      <c r="Q348" s="22"/>
      <c r="R348" s="23">
        <v>1680.07</v>
      </c>
      <c r="S348" s="24"/>
      <c r="T348" s="23"/>
      <c r="U348" s="24"/>
      <c r="V348" s="23"/>
      <c r="W348" s="23"/>
      <c r="X348" s="24"/>
      <c r="Y348" s="23"/>
      <c r="Z348" s="23"/>
      <c r="AA348" s="23">
        <v>4.9999999999999989E-2</v>
      </c>
      <c r="AB348" s="23">
        <v>4.5500000000000007</v>
      </c>
      <c r="AC348" s="24">
        <v>20.336666666666666</v>
      </c>
      <c r="AD348" s="23">
        <v>6.6</v>
      </c>
      <c r="AE348" s="24">
        <v>29.527999999999995</v>
      </c>
      <c r="AF348" s="23"/>
      <c r="AG348" s="23"/>
      <c r="AH348" s="23">
        <v>0.02</v>
      </c>
      <c r="AI348" s="24">
        <v>0</v>
      </c>
      <c r="AJ348" s="25">
        <v>63.49</v>
      </c>
      <c r="AK348" s="23">
        <v>12.940000000000001</v>
      </c>
      <c r="AL348" s="23"/>
      <c r="AM348" s="24"/>
      <c r="AN348" s="23"/>
      <c r="AO348" s="24"/>
      <c r="AP348" s="23"/>
      <c r="AQ348" s="24"/>
      <c r="AR348" s="23">
        <v>2.3200000000000003</v>
      </c>
      <c r="AS348" s="23">
        <v>-772.05</v>
      </c>
      <c r="AT348" s="23"/>
      <c r="AU348" s="24"/>
      <c r="AW348" s="27">
        <f t="shared" si="67"/>
        <v>63.490348000000004</v>
      </c>
      <c r="AX348" s="27">
        <f t="shared" si="68"/>
        <v>6.6003479999999994</v>
      </c>
      <c r="AY348" s="27">
        <f t="shared" si="69"/>
        <v>4.5503480000000005</v>
      </c>
      <c r="AZ348" s="27">
        <f t="shared" si="70"/>
        <v>3.48E-4</v>
      </c>
    </row>
    <row r="349" spans="1:52" ht="15" customHeight="1" x14ac:dyDescent="0.25">
      <c r="A349" s="13" t="str">
        <f>VLOOKUP(L349,[1]VALIDAÇÃO!$D$13:$E$350,2,0)</f>
        <v>DIRETO</v>
      </c>
      <c r="B349" s="14" t="str">
        <f t="shared" si="72"/>
        <v>48RIO AVE 200 SPE LTDA.</v>
      </c>
      <c r="C349" s="15">
        <f t="shared" si="71"/>
        <v>48</v>
      </c>
      <c r="D349" s="16" t="str">
        <f t="shared" si="73"/>
        <v>51RIO AVE 200 SPE LTDA.</v>
      </c>
      <c r="E349" s="17">
        <f t="shared" si="64"/>
        <v>51</v>
      </c>
      <c r="F349" s="18" t="str">
        <f t="shared" si="74"/>
        <v>65RIO AVE 200 SPE LTDA.</v>
      </c>
      <c r="G349" s="18">
        <f t="shared" si="65"/>
        <v>65</v>
      </c>
      <c r="H349" s="19" t="str">
        <f t="shared" si="75"/>
        <v>53RIO AVE 200 SPE LTDA.</v>
      </c>
      <c r="I349" s="19">
        <f t="shared" si="66"/>
        <v>53</v>
      </c>
      <c r="J349" s="13" t="s">
        <v>48</v>
      </c>
      <c r="K349" s="13" t="s">
        <v>459</v>
      </c>
      <c r="L349" s="13" t="s">
        <v>54</v>
      </c>
      <c r="M349" s="13" t="s">
        <v>55</v>
      </c>
      <c r="N349" s="20">
        <v>1318.76</v>
      </c>
      <c r="O349" s="20">
        <v>1622.13</v>
      </c>
      <c r="P349" s="21">
        <v>45980</v>
      </c>
      <c r="Q349" s="22"/>
      <c r="R349" s="23">
        <v>1622.13</v>
      </c>
      <c r="S349" s="24"/>
      <c r="T349" s="23"/>
      <c r="U349" s="24"/>
      <c r="V349" s="23"/>
      <c r="W349" s="23"/>
      <c r="X349" s="24"/>
      <c r="Y349" s="23"/>
      <c r="Z349" s="23"/>
      <c r="AA349" s="23">
        <v>0.92</v>
      </c>
      <c r="AB349" s="23"/>
      <c r="AC349" s="24"/>
      <c r="AD349" s="23">
        <v>70.510000000000005</v>
      </c>
      <c r="AE349" s="24">
        <v>315</v>
      </c>
      <c r="AF349" s="23"/>
      <c r="AG349" s="23"/>
      <c r="AH349" s="23">
        <v>4.21</v>
      </c>
      <c r="AI349" s="24">
        <v>0</v>
      </c>
      <c r="AJ349" s="25">
        <v>252</v>
      </c>
      <c r="AK349" s="23">
        <v>54.78</v>
      </c>
      <c r="AL349" s="23"/>
      <c r="AM349" s="24"/>
      <c r="AN349" s="23"/>
      <c r="AO349" s="24"/>
      <c r="AP349" s="23"/>
      <c r="AQ349" s="24"/>
      <c r="AR349" s="23">
        <v>15.33</v>
      </c>
      <c r="AS349" s="23">
        <v>-835.2</v>
      </c>
      <c r="AT349" s="23"/>
      <c r="AU349" s="24"/>
      <c r="AW349" s="27">
        <f t="shared" si="67"/>
        <v>252.000349</v>
      </c>
      <c r="AX349" s="27">
        <f t="shared" si="68"/>
        <v>70.510349000000005</v>
      </c>
      <c r="AY349" s="27">
        <f t="shared" si="69"/>
        <v>3.4900000000000003E-4</v>
      </c>
      <c r="AZ349" s="27">
        <f t="shared" si="70"/>
        <v>3.4900000000000003E-4</v>
      </c>
    </row>
    <row r="350" spans="1:52" ht="15" customHeight="1" x14ac:dyDescent="0.25">
      <c r="A350" s="13" t="str">
        <f>VLOOKUP(L350,[1]VALIDAÇÃO!$D$13:$E$350,2,0)</f>
        <v>DIRETO</v>
      </c>
      <c r="B350" s="14" t="str">
        <f t="shared" si="72"/>
        <v>9RIO AVE 200 SPE LTDA.</v>
      </c>
      <c r="C350" s="15">
        <f t="shared" si="71"/>
        <v>9</v>
      </c>
      <c r="D350" s="16" t="str">
        <f t="shared" si="73"/>
        <v>36RIO AVE 200 SPE LTDA.</v>
      </c>
      <c r="E350" s="17">
        <f t="shared" si="64"/>
        <v>36</v>
      </c>
      <c r="F350" s="18" t="str">
        <f t="shared" si="74"/>
        <v>36RIO AVE 200 SPE LTDA.</v>
      </c>
      <c r="G350" s="18">
        <f t="shared" si="65"/>
        <v>36</v>
      </c>
      <c r="H350" s="19" t="str">
        <f t="shared" si="75"/>
        <v>52RIO AVE 200 SPE LTDA.</v>
      </c>
      <c r="I350" s="19">
        <f t="shared" si="66"/>
        <v>52</v>
      </c>
      <c r="J350" s="13" t="s">
        <v>48</v>
      </c>
      <c r="K350" s="13" t="s">
        <v>460</v>
      </c>
      <c r="L350" s="13" t="s">
        <v>66</v>
      </c>
      <c r="M350" s="13" t="s">
        <v>55</v>
      </c>
      <c r="N350" s="20">
        <v>2113.63</v>
      </c>
      <c r="O350" s="20">
        <v>2156</v>
      </c>
      <c r="P350" s="21">
        <v>45855</v>
      </c>
      <c r="Q350" s="22"/>
      <c r="R350" s="23">
        <v>2156</v>
      </c>
      <c r="S350" s="24"/>
      <c r="T350" s="23"/>
      <c r="U350" s="24"/>
      <c r="V350" s="23"/>
      <c r="W350" s="23"/>
      <c r="X350" s="24"/>
      <c r="Y350" s="23"/>
      <c r="Z350" s="23"/>
      <c r="AA350" s="23">
        <v>3.71</v>
      </c>
      <c r="AB350" s="23">
        <v>17.21</v>
      </c>
      <c r="AC350" s="24">
        <v>137.71428571428572</v>
      </c>
      <c r="AD350" s="23">
        <v>114.3</v>
      </c>
      <c r="AE350" s="24">
        <v>709</v>
      </c>
      <c r="AF350" s="23"/>
      <c r="AG350" s="23"/>
      <c r="AH350" s="23">
        <v>17.22</v>
      </c>
      <c r="AI350" s="24">
        <v>0</v>
      </c>
      <c r="AJ350" s="25">
        <v>1108.24</v>
      </c>
      <c r="AK350" s="23">
        <v>241.1</v>
      </c>
      <c r="AL350" s="23"/>
      <c r="AM350" s="24"/>
      <c r="AN350" s="23"/>
      <c r="AO350" s="24"/>
      <c r="AP350" s="23"/>
      <c r="AQ350" s="24"/>
      <c r="AR350" s="23">
        <v>27.88</v>
      </c>
      <c r="AS350" s="23">
        <v>-1034</v>
      </c>
      <c r="AT350" s="23"/>
      <c r="AU350" s="24"/>
      <c r="AW350" s="27">
        <f t="shared" si="67"/>
        <v>1108.24035</v>
      </c>
      <c r="AX350" s="27">
        <f t="shared" si="68"/>
        <v>114.30034999999999</v>
      </c>
      <c r="AY350" s="27">
        <f t="shared" si="69"/>
        <v>17.210350000000002</v>
      </c>
      <c r="AZ350" s="27">
        <f t="shared" si="70"/>
        <v>3.5E-4</v>
      </c>
    </row>
    <row r="351" spans="1:52" ht="15" customHeight="1" x14ac:dyDescent="0.25">
      <c r="A351" s="13" t="str">
        <f>VLOOKUP(L351,[1]VALIDAÇÃO!$D$13:$E$350,2,0)</f>
        <v>DIRETO</v>
      </c>
      <c r="B351" s="14" t="str">
        <f t="shared" si="72"/>
        <v>27CONDOMINIO DO EDIFICIO EMPRESARIAL MARIE CURIE</v>
      </c>
      <c r="C351" s="15">
        <f t="shared" si="71"/>
        <v>27</v>
      </c>
      <c r="D351" s="16" t="str">
        <f t="shared" si="73"/>
        <v>55CONDOMINIO DO EDIFICIO EMPRESARIAL MARIE CURIE</v>
      </c>
      <c r="E351" s="17">
        <f t="shared" si="64"/>
        <v>55</v>
      </c>
      <c r="F351" s="18" t="str">
        <f t="shared" si="74"/>
        <v>82CONDOMINIO DO EDIFICIO EMPRESARIAL MARIE CURIE</v>
      </c>
      <c r="G351" s="18">
        <f t="shared" si="65"/>
        <v>82</v>
      </c>
      <c r="H351" s="19" t="str">
        <f t="shared" si="75"/>
        <v>83CONDOMINIO DO EDIFICIO EMPRESARIAL MARIE CURIE</v>
      </c>
      <c r="I351" s="19">
        <f t="shared" si="66"/>
        <v>83</v>
      </c>
      <c r="J351" s="13" t="s">
        <v>57</v>
      </c>
      <c r="K351" s="13" t="s">
        <v>461</v>
      </c>
      <c r="L351" s="13" t="s">
        <v>63</v>
      </c>
      <c r="M351" s="13" t="s">
        <v>60</v>
      </c>
      <c r="N351" s="20">
        <v>1304.22</v>
      </c>
      <c r="O351" s="20">
        <v>2156</v>
      </c>
      <c r="P351" s="21">
        <v>45600</v>
      </c>
      <c r="Q351" s="22"/>
      <c r="R351" s="23">
        <v>2156</v>
      </c>
      <c r="S351" s="24"/>
      <c r="T351" s="23"/>
      <c r="U351" s="24"/>
      <c r="V351" s="23"/>
      <c r="W351" s="23">
        <v>0.01</v>
      </c>
      <c r="X351" s="24">
        <v>0.2</v>
      </c>
      <c r="Y351" s="23"/>
      <c r="Z351" s="23"/>
      <c r="AA351" s="23">
        <v>1.81</v>
      </c>
      <c r="AB351" s="23">
        <v>12.379999999999999</v>
      </c>
      <c r="AC351" s="24">
        <v>53.08</v>
      </c>
      <c r="AD351" s="23">
        <v>139.00000000000003</v>
      </c>
      <c r="AE351" s="24">
        <v>593.0428571428572</v>
      </c>
      <c r="AF351" s="23"/>
      <c r="AG351" s="23"/>
      <c r="AH351" s="23">
        <v>8.1</v>
      </c>
      <c r="AI351" s="24">
        <v>0</v>
      </c>
      <c r="AJ351" s="25">
        <v>776</v>
      </c>
      <c r="AK351" s="23">
        <v>167.73000000000002</v>
      </c>
      <c r="AL351" s="23"/>
      <c r="AM351" s="24"/>
      <c r="AN351" s="23"/>
      <c r="AO351" s="24"/>
      <c r="AP351" s="23"/>
      <c r="AQ351" s="24"/>
      <c r="AR351" s="23">
        <v>31.82</v>
      </c>
      <c r="AS351" s="23">
        <v>-924</v>
      </c>
      <c r="AT351" s="23"/>
      <c r="AU351" s="24"/>
      <c r="AW351" s="27">
        <f t="shared" si="67"/>
        <v>776.00035100000002</v>
      </c>
      <c r="AX351" s="27">
        <f t="shared" si="68"/>
        <v>139.00035100000002</v>
      </c>
      <c r="AY351" s="27">
        <f t="shared" si="69"/>
        <v>12.380350999999999</v>
      </c>
      <c r="AZ351" s="27">
        <f t="shared" si="70"/>
        <v>3.5100000000000002E-4</v>
      </c>
    </row>
    <row r="352" spans="1:52" ht="15" customHeight="1" x14ac:dyDescent="0.25">
      <c r="A352" s="13" t="str">
        <f>VLOOKUP(L352,[1]VALIDAÇÃO!$D$13:$E$350,2,0)</f>
        <v>DIRETO</v>
      </c>
      <c r="B352" s="14" t="str">
        <f t="shared" si="72"/>
        <v>81RIO AVE CARNEIROS 01 SPE LTDA.</v>
      </c>
      <c r="C352" s="15">
        <f t="shared" si="71"/>
        <v>81</v>
      </c>
      <c r="D352" s="16" t="str">
        <f t="shared" si="73"/>
        <v>64RIO AVE CARNEIROS 01 SPE LTDA.</v>
      </c>
      <c r="E352" s="17">
        <f t="shared" si="64"/>
        <v>64</v>
      </c>
      <c r="F352" s="18" t="str">
        <f t="shared" si="74"/>
        <v>106RIO AVE CARNEIROS 01 SPE LTDA.</v>
      </c>
      <c r="G352" s="18">
        <f t="shared" si="65"/>
        <v>106</v>
      </c>
      <c r="H352" s="19" t="str">
        <f t="shared" si="75"/>
        <v>119RIO AVE CARNEIROS 01 SPE LTDA.</v>
      </c>
      <c r="I352" s="19">
        <f t="shared" si="66"/>
        <v>119</v>
      </c>
      <c r="J352" s="13" t="s">
        <v>61</v>
      </c>
      <c r="K352" s="13" t="s">
        <v>462</v>
      </c>
      <c r="L352" s="13" t="s">
        <v>71</v>
      </c>
      <c r="M352" s="13" t="s">
        <v>55</v>
      </c>
      <c r="N352" s="20">
        <v>1166.33</v>
      </c>
      <c r="O352" s="20">
        <v>1622.13</v>
      </c>
      <c r="P352" s="21">
        <v>45964</v>
      </c>
      <c r="Q352" s="22"/>
      <c r="R352" s="23">
        <v>1622.13</v>
      </c>
      <c r="S352" s="24"/>
      <c r="T352" s="23"/>
      <c r="U352" s="24"/>
      <c r="V352" s="23"/>
      <c r="W352" s="23"/>
      <c r="X352" s="24"/>
      <c r="Y352" s="23"/>
      <c r="Z352" s="23"/>
      <c r="AA352" s="23">
        <v>1.57</v>
      </c>
      <c r="AB352" s="23">
        <v>29.310000000000002</v>
      </c>
      <c r="AC352" s="24">
        <v>785.6</v>
      </c>
      <c r="AD352" s="23">
        <v>85.43</v>
      </c>
      <c r="AE352" s="24">
        <v>455</v>
      </c>
      <c r="AF352" s="23"/>
      <c r="AG352" s="23"/>
      <c r="AH352" s="23">
        <v>6.73</v>
      </c>
      <c r="AI352" s="24">
        <v>0</v>
      </c>
      <c r="AJ352" s="25">
        <v>314</v>
      </c>
      <c r="AK352" s="23">
        <v>71.81</v>
      </c>
      <c r="AL352" s="23">
        <v>-14.22</v>
      </c>
      <c r="AM352" s="24">
        <v>108</v>
      </c>
      <c r="AN352" s="23"/>
      <c r="AO352" s="24"/>
      <c r="AP352" s="23"/>
      <c r="AQ352" s="24"/>
      <c r="AR352" s="23">
        <v>26.759999999999998</v>
      </c>
      <c r="AS352" s="23">
        <v>-785.2</v>
      </c>
      <c r="AT352" s="23"/>
      <c r="AU352" s="24"/>
      <c r="AW352" s="27">
        <f t="shared" si="67"/>
        <v>314.00035200000002</v>
      </c>
      <c r="AX352" s="27">
        <f t="shared" si="68"/>
        <v>85.430352000000013</v>
      </c>
      <c r="AY352" s="27">
        <f t="shared" si="69"/>
        <v>29.310352000000002</v>
      </c>
      <c r="AZ352" s="27">
        <f t="shared" si="70"/>
        <v>3.5199999999999999E-4</v>
      </c>
    </row>
    <row r="353" spans="1:52" ht="15" customHeight="1" x14ac:dyDescent="0.25">
      <c r="A353" s="13" t="str">
        <f>VLOOKUP(L353,[1]VALIDAÇÃO!$D$13:$E$350,2,0)</f>
        <v>DIRETO</v>
      </c>
      <c r="B353" s="14" t="str">
        <f t="shared" si="72"/>
        <v>63RIO AVE CARNEIROS 01 SPE LTDA.</v>
      </c>
      <c r="C353" s="15">
        <f t="shared" si="71"/>
        <v>63</v>
      </c>
      <c r="D353" s="16" t="str">
        <f t="shared" si="73"/>
        <v>28RIO AVE CARNEIROS 01 SPE LTDA.</v>
      </c>
      <c r="E353" s="17">
        <f t="shared" si="64"/>
        <v>28</v>
      </c>
      <c r="F353" s="18" t="str">
        <f t="shared" si="74"/>
        <v>45RIO AVE CARNEIROS 01 SPE LTDA.</v>
      </c>
      <c r="G353" s="18">
        <f t="shared" si="65"/>
        <v>45</v>
      </c>
      <c r="H353" s="19" t="str">
        <f t="shared" si="75"/>
        <v>44RIO AVE CARNEIROS 01 SPE LTDA.</v>
      </c>
      <c r="I353" s="19">
        <f t="shared" si="66"/>
        <v>44</v>
      </c>
      <c r="J353" s="13" t="s">
        <v>61</v>
      </c>
      <c r="K353" s="13" t="s">
        <v>463</v>
      </c>
      <c r="L353" s="13" t="s">
        <v>54</v>
      </c>
      <c r="M353" s="13" t="s">
        <v>55</v>
      </c>
      <c r="N353" s="20">
        <v>1609.96</v>
      </c>
      <c r="O353" s="20">
        <v>1622.13</v>
      </c>
      <c r="P353" s="21">
        <v>45964</v>
      </c>
      <c r="Q353" s="22"/>
      <c r="R353" s="23">
        <v>1622.13</v>
      </c>
      <c r="S353" s="24"/>
      <c r="T353" s="23"/>
      <c r="U353" s="24"/>
      <c r="V353" s="23"/>
      <c r="W353" s="23"/>
      <c r="X353" s="24"/>
      <c r="Y353" s="23"/>
      <c r="Z353" s="23"/>
      <c r="AA353" s="23">
        <v>7.77</v>
      </c>
      <c r="AB353" s="23">
        <v>128.04</v>
      </c>
      <c r="AC353" s="24">
        <v>1212</v>
      </c>
      <c r="AD353" s="23">
        <v>315.32</v>
      </c>
      <c r="AE353" s="24">
        <v>2387.4</v>
      </c>
      <c r="AF353" s="23"/>
      <c r="AG353" s="23"/>
      <c r="AH353" s="23">
        <v>34.660000000000004</v>
      </c>
      <c r="AI353" s="24">
        <v>0</v>
      </c>
      <c r="AJ353" s="25">
        <v>393</v>
      </c>
      <c r="AK353" s="23">
        <v>88.09</v>
      </c>
      <c r="AL353" s="23"/>
      <c r="AM353" s="24"/>
      <c r="AN353" s="23"/>
      <c r="AO353" s="24"/>
      <c r="AP353" s="23">
        <v>34.19</v>
      </c>
      <c r="AQ353" s="24">
        <v>779.2</v>
      </c>
      <c r="AR353" s="23">
        <v>109.72</v>
      </c>
      <c r="AS353" s="23">
        <v>-765.2</v>
      </c>
      <c r="AT353" s="23"/>
      <c r="AU353" s="24"/>
      <c r="AW353" s="27">
        <f t="shared" si="67"/>
        <v>393.00035300000002</v>
      </c>
      <c r="AX353" s="27">
        <f t="shared" si="68"/>
        <v>315.32035300000001</v>
      </c>
      <c r="AY353" s="27">
        <f t="shared" si="69"/>
        <v>128.04035299999998</v>
      </c>
      <c r="AZ353" s="27">
        <f t="shared" si="70"/>
        <v>34.190352999999995</v>
      </c>
    </row>
    <row r="354" spans="1:52" ht="15" customHeight="1" x14ac:dyDescent="0.25">
      <c r="A354" s="13" t="str">
        <f>VLOOKUP(L354,[1]VALIDAÇÃO!$D$13:$E$350,2,0)</f>
        <v>INDIRETO</v>
      </c>
      <c r="B354" s="14" t="str">
        <f t="shared" si="72"/>
        <v>61RIO AVE 130 SPE LTDA</v>
      </c>
      <c r="C354" s="15">
        <f t="shared" si="71"/>
        <v>61</v>
      </c>
      <c r="D354" s="16" t="str">
        <f t="shared" si="73"/>
        <v>2RIO AVE 130 SPE LTDA</v>
      </c>
      <c r="E354" s="17">
        <f t="shared" si="64"/>
        <v>2</v>
      </c>
      <c r="F354" s="18" t="str">
        <f t="shared" si="74"/>
        <v>1RIO AVE 130 SPE LTDA</v>
      </c>
      <c r="G354" s="18">
        <f t="shared" si="65"/>
        <v>1</v>
      </c>
      <c r="H354" s="19" t="str">
        <f t="shared" si="75"/>
        <v>57RIO AVE 130 SPE LTDA</v>
      </c>
      <c r="I354" s="19">
        <f t="shared" si="66"/>
        <v>57</v>
      </c>
      <c r="J354" s="13" t="s">
        <v>102</v>
      </c>
      <c r="K354" s="13" t="s">
        <v>464</v>
      </c>
      <c r="L354" s="13" t="s">
        <v>162</v>
      </c>
      <c r="M354" s="13" t="s">
        <v>85</v>
      </c>
      <c r="N354" s="20">
        <v>2907.74</v>
      </c>
      <c r="O354" s="20">
        <v>4047.56</v>
      </c>
      <c r="P354" s="21">
        <v>45084</v>
      </c>
      <c r="Q354" s="22"/>
      <c r="R354" s="23">
        <v>4047.56</v>
      </c>
      <c r="S354" s="24"/>
      <c r="T354" s="23"/>
      <c r="U354" s="24"/>
      <c r="V354" s="23"/>
      <c r="W354" s="23"/>
      <c r="X354" s="24"/>
      <c r="Y354" s="23"/>
      <c r="Z354" s="23"/>
      <c r="AA354" s="23"/>
      <c r="AB354" s="23">
        <v>482.90000000000003</v>
      </c>
      <c r="AC354" s="24">
        <v>1011.9428571428571</v>
      </c>
      <c r="AD354" s="23">
        <v>1655.6100000000001</v>
      </c>
      <c r="AE354" s="24">
        <v>3416.2799999999997</v>
      </c>
      <c r="AF354" s="23"/>
      <c r="AG354" s="23"/>
      <c r="AH354" s="23"/>
      <c r="AI354" s="24"/>
      <c r="AJ354" s="25"/>
      <c r="AK354" s="23"/>
      <c r="AL354" s="23"/>
      <c r="AM354" s="24"/>
      <c r="AN354" s="23"/>
      <c r="AO354" s="24"/>
      <c r="AP354" s="23"/>
      <c r="AQ354" s="24"/>
      <c r="AR354" s="23">
        <v>409.09999999999997</v>
      </c>
      <c r="AS354" s="23">
        <v>-1734.67</v>
      </c>
      <c r="AT354" s="23"/>
      <c r="AU354" s="24"/>
      <c r="AW354" s="27">
        <f t="shared" si="67"/>
        <v>3.5399999999999999E-4</v>
      </c>
      <c r="AX354" s="27">
        <f t="shared" si="68"/>
        <v>1655.6103540000001</v>
      </c>
      <c r="AY354" s="27">
        <f t="shared" si="69"/>
        <v>482.90035400000005</v>
      </c>
      <c r="AZ354" s="27">
        <f t="shared" si="70"/>
        <v>3.5399999999999999E-4</v>
      </c>
    </row>
    <row r="355" spans="1:52" ht="15" customHeight="1" x14ac:dyDescent="0.25">
      <c r="A355" s="13" t="str">
        <f>VLOOKUP(L355,[1]VALIDAÇÃO!$D$13:$E$350,2,0)</f>
        <v>DIRETO</v>
      </c>
      <c r="B355" s="14" t="str">
        <f t="shared" si="72"/>
        <v>44RESERVA DO PAIVA SPE 01 LTDA.</v>
      </c>
      <c r="C355" s="15">
        <f t="shared" si="71"/>
        <v>44</v>
      </c>
      <c r="D355" s="16" t="str">
        <f t="shared" si="73"/>
        <v>41RESERVA DO PAIVA SPE 01 LTDA.</v>
      </c>
      <c r="E355" s="17">
        <f t="shared" si="64"/>
        <v>41</v>
      </c>
      <c r="F355" s="18" t="str">
        <f t="shared" si="74"/>
        <v>19RESERVA DO PAIVA SPE 01 LTDA.</v>
      </c>
      <c r="G355" s="18">
        <f t="shared" si="65"/>
        <v>19</v>
      </c>
      <c r="H355" s="19" t="str">
        <f t="shared" si="75"/>
        <v>11RESERVA DO PAIVA SPE 01 LTDA.</v>
      </c>
      <c r="I355" s="19">
        <f t="shared" si="66"/>
        <v>11</v>
      </c>
      <c r="J355" s="13" t="s">
        <v>68</v>
      </c>
      <c r="K355" s="13" t="s">
        <v>465</v>
      </c>
      <c r="L355" s="13" t="s">
        <v>63</v>
      </c>
      <c r="M355" s="13" t="s">
        <v>55</v>
      </c>
      <c r="N355" s="20">
        <v>2510.19</v>
      </c>
      <c r="O355" s="20">
        <v>2156</v>
      </c>
      <c r="P355" s="21">
        <v>45890</v>
      </c>
      <c r="Q355" s="22"/>
      <c r="R355" s="23">
        <v>2156</v>
      </c>
      <c r="S355" s="24"/>
      <c r="T355" s="23"/>
      <c r="U355" s="24"/>
      <c r="V355" s="23"/>
      <c r="W355" s="23"/>
      <c r="X355" s="24"/>
      <c r="Y355" s="23"/>
      <c r="Z355" s="23"/>
      <c r="AA355" s="23">
        <v>24</v>
      </c>
      <c r="AB355" s="23">
        <v>425.02</v>
      </c>
      <c r="AC355" s="24">
        <v>2158.1428571428569</v>
      </c>
      <c r="AD355" s="23">
        <v>209.56</v>
      </c>
      <c r="AE355" s="24">
        <v>1166.9285714285716</v>
      </c>
      <c r="AF355" s="23"/>
      <c r="AG355" s="23"/>
      <c r="AH355" s="23">
        <v>107.57000000000001</v>
      </c>
      <c r="AI355" s="24">
        <v>0</v>
      </c>
      <c r="AJ355" s="25">
        <v>645.33000000000004</v>
      </c>
      <c r="AK355" s="23">
        <v>142.82</v>
      </c>
      <c r="AL355" s="23">
        <v>-26.95</v>
      </c>
      <c r="AM355" s="24">
        <v>154</v>
      </c>
      <c r="AN355" s="23"/>
      <c r="AO355" s="24"/>
      <c r="AP355" s="23">
        <v>694.88</v>
      </c>
      <c r="AQ355" s="24">
        <v>2985.3571428571431</v>
      </c>
      <c r="AR355" s="23">
        <v>298.77999999999997</v>
      </c>
      <c r="AS355" s="23">
        <v>-924</v>
      </c>
      <c r="AT355" s="23"/>
      <c r="AU355" s="24"/>
      <c r="AW355" s="27">
        <f t="shared" si="67"/>
        <v>645.33035500000005</v>
      </c>
      <c r="AX355" s="27">
        <f t="shared" si="68"/>
        <v>209.56035500000002</v>
      </c>
      <c r="AY355" s="27">
        <f t="shared" si="69"/>
        <v>425.020355</v>
      </c>
      <c r="AZ355" s="27">
        <f t="shared" si="70"/>
        <v>694.88035500000001</v>
      </c>
    </row>
    <row r="356" spans="1:52" ht="15" customHeight="1" x14ac:dyDescent="0.25">
      <c r="A356" s="13" t="str">
        <f>VLOOKUP(L356,[1]VALIDAÇÃO!$D$13:$E$350,2,0)</f>
        <v>DIRETO</v>
      </c>
      <c r="B356" s="14" t="str">
        <f t="shared" si="72"/>
        <v>64RESERVA DO PAIVA SPE 03 LTDA</v>
      </c>
      <c r="C356" s="15">
        <f t="shared" si="71"/>
        <v>64</v>
      </c>
      <c r="D356" s="16" t="str">
        <f t="shared" si="73"/>
        <v>16RESERVA DO PAIVA SPE 03 LTDA</v>
      </c>
      <c r="E356" s="17">
        <f t="shared" si="64"/>
        <v>16</v>
      </c>
      <c r="F356" s="18" t="str">
        <f t="shared" si="74"/>
        <v>15RESERVA DO PAIVA SPE 03 LTDA</v>
      </c>
      <c r="G356" s="18">
        <f t="shared" si="65"/>
        <v>15</v>
      </c>
      <c r="H356" s="19" t="str">
        <f t="shared" si="75"/>
        <v>126RESERVA DO PAIVA SPE 03 LTDA</v>
      </c>
      <c r="I356" s="19">
        <f t="shared" si="66"/>
        <v>126</v>
      </c>
      <c r="J356" s="13" t="s">
        <v>52</v>
      </c>
      <c r="K356" s="13" t="s">
        <v>466</v>
      </c>
      <c r="L356" s="13" t="s">
        <v>189</v>
      </c>
      <c r="M356" s="13" t="s">
        <v>55</v>
      </c>
      <c r="N356" s="20">
        <v>1544.17</v>
      </c>
      <c r="O356" s="20">
        <v>2156</v>
      </c>
      <c r="P356" s="21">
        <v>45735</v>
      </c>
      <c r="Q356" s="22"/>
      <c r="R356" s="23">
        <v>2156</v>
      </c>
      <c r="S356" s="24"/>
      <c r="T356" s="23"/>
      <c r="U356" s="24"/>
      <c r="V356" s="23"/>
      <c r="W356" s="23">
        <v>1.44</v>
      </c>
      <c r="X356" s="24">
        <v>48.39</v>
      </c>
      <c r="Y356" s="23"/>
      <c r="Z356" s="23"/>
      <c r="AA356" s="23">
        <v>4.0199999999999996</v>
      </c>
      <c r="AB356" s="23">
        <v>369.87</v>
      </c>
      <c r="AC356" s="24">
        <v>1756.5271428571427</v>
      </c>
      <c r="AD356" s="23">
        <v>689.23</v>
      </c>
      <c r="AE356" s="24">
        <v>3356.5271428571432</v>
      </c>
      <c r="AF356" s="23"/>
      <c r="AG356" s="23"/>
      <c r="AH356" s="23">
        <v>17.95</v>
      </c>
      <c r="AI356" s="24">
        <v>0</v>
      </c>
      <c r="AJ356" s="25">
        <v>211.76</v>
      </c>
      <c r="AK356" s="23">
        <v>46.990000000000009</v>
      </c>
      <c r="AL356" s="23"/>
      <c r="AM356" s="24"/>
      <c r="AN356" s="23"/>
      <c r="AO356" s="24"/>
      <c r="AP356" s="23"/>
      <c r="AQ356" s="24"/>
      <c r="AR356" s="23">
        <v>236.42000000000002</v>
      </c>
      <c r="AS356" s="23">
        <v>-924</v>
      </c>
      <c r="AT356" s="23"/>
      <c r="AU356" s="24"/>
      <c r="AW356" s="27">
        <f t="shared" si="67"/>
        <v>211.760356</v>
      </c>
      <c r="AX356" s="27">
        <f t="shared" si="68"/>
        <v>689.23035600000003</v>
      </c>
      <c r="AY356" s="27">
        <f t="shared" si="69"/>
        <v>369.87035600000002</v>
      </c>
      <c r="AZ356" s="27">
        <f t="shared" si="70"/>
        <v>3.5599999999999998E-4</v>
      </c>
    </row>
    <row r="357" spans="1:52" ht="15" customHeight="1" x14ac:dyDescent="0.25">
      <c r="A357" s="13" t="str">
        <f>VLOOKUP(L357,[1]VALIDAÇÃO!$D$13:$E$350,2,0)</f>
        <v>DIRETO</v>
      </c>
      <c r="B357" s="14" t="str">
        <f t="shared" si="72"/>
        <v>107RIO AVE CARNEIROS 01 SPE LTDA.</v>
      </c>
      <c r="C357" s="15">
        <f t="shared" si="71"/>
        <v>107</v>
      </c>
      <c r="D357" s="16" t="str">
        <f t="shared" si="73"/>
        <v>116RIO AVE CARNEIROS 01 SPE LTDA.</v>
      </c>
      <c r="E357" s="17">
        <f t="shared" si="64"/>
        <v>116</v>
      </c>
      <c r="F357" s="18" t="str">
        <f t="shared" si="74"/>
        <v>29RIO AVE CARNEIROS 01 SPE LTDA.</v>
      </c>
      <c r="G357" s="18">
        <f t="shared" si="65"/>
        <v>29</v>
      </c>
      <c r="H357" s="19" t="str">
        <f t="shared" si="75"/>
        <v>32RIO AVE CARNEIROS 01 SPE LTDA.</v>
      </c>
      <c r="I357" s="19">
        <f t="shared" si="66"/>
        <v>32</v>
      </c>
      <c r="J357" s="13" t="s">
        <v>61</v>
      </c>
      <c r="K357" s="13" t="s">
        <v>467</v>
      </c>
      <c r="L357" s="13" t="s">
        <v>63</v>
      </c>
      <c r="M357" s="13" t="s">
        <v>55</v>
      </c>
      <c r="N357" s="20">
        <v>1198.18</v>
      </c>
      <c r="O357" s="20">
        <v>2156</v>
      </c>
      <c r="P357" s="21">
        <v>45817</v>
      </c>
      <c r="Q357" s="22"/>
      <c r="R357" s="23">
        <v>2156</v>
      </c>
      <c r="S357" s="24"/>
      <c r="T357" s="23"/>
      <c r="U357" s="24"/>
      <c r="V357" s="23"/>
      <c r="W357" s="23"/>
      <c r="X357" s="24"/>
      <c r="Y357" s="23"/>
      <c r="Z357" s="23"/>
      <c r="AA357" s="23">
        <v>0.76</v>
      </c>
      <c r="AB357" s="23">
        <v>164.52999999999997</v>
      </c>
      <c r="AC357" s="24">
        <v>1156.1857142857143</v>
      </c>
      <c r="AD357" s="23">
        <v>8.0399999999999991</v>
      </c>
      <c r="AE357" s="24">
        <v>32.471428571428568</v>
      </c>
      <c r="AF357" s="23"/>
      <c r="AG357" s="23"/>
      <c r="AH357" s="23">
        <v>3.86</v>
      </c>
      <c r="AI357" s="24">
        <v>0</v>
      </c>
      <c r="AJ357" s="25">
        <v>168.57999999999998</v>
      </c>
      <c r="AK357" s="23">
        <v>34.94</v>
      </c>
      <c r="AL357" s="23">
        <v>-10.85</v>
      </c>
      <c r="AM357" s="24">
        <v>62</v>
      </c>
      <c r="AN357" s="23"/>
      <c r="AO357" s="24"/>
      <c r="AP357" s="23">
        <v>38.78</v>
      </c>
      <c r="AQ357" s="24">
        <v>231.67142857142855</v>
      </c>
      <c r="AR357" s="23">
        <v>45.46</v>
      </c>
      <c r="AS357" s="23">
        <v>-1014</v>
      </c>
      <c r="AT357" s="23"/>
      <c r="AU357" s="24"/>
      <c r="AW357" s="27">
        <f t="shared" si="67"/>
        <v>168.58035699999999</v>
      </c>
      <c r="AX357" s="27">
        <f t="shared" si="68"/>
        <v>8.0403569999999984</v>
      </c>
      <c r="AY357" s="27">
        <f t="shared" si="69"/>
        <v>164.53035699999998</v>
      </c>
      <c r="AZ357" s="27">
        <f t="shared" si="70"/>
        <v>38.780357000000002</v>
      </c>
    </row>
    <row r="358" spans="1:52" ht="15" customHeight="1" x14ac:dyDescent="0.25">
      <c r="A358" s="13" t="str">
        <f>VLOOKUP(L358,[1]VALIDAÇÃO!$D$13:$E$350,2,0)</f>
        <v>DIRETO</v>
      </c>
      <c r="B358" s="14" t="str">
        <f t="shared" si="72"/>
        <v>14RESERVA DO PAIVA SPE 01 LTDA.</v>
      </c>
      <c r="C358" s="15">
        <f t="shared" si="71"/>
        <v>14</v>
      </c>
      <c r="D358" s="16" t="str">
        <f t="shared" si="73"/>
        <v>8RESERVA DO PAIVA SPE 01 LTDA.</v>
      </c>
      <c r="E358" s="17">
        <f t="shared" si="64"/>
        <v>8</v>
      </c>
      <c r="F358" s="18" t="str">
        <f t="shared" si="74"/>
        <v>58RESERVA DO PAIVA SPE 01 LTDA.</v>
      </c>
      <c r="G358" s="18">
        <f t="shared" si="65"/>
        <v>58</v>
      </c>
      <c r="H358" s="19" t="str">
        <f t="shared" si="75"/>
        <v>57RESERVA DO PAIVA SPE 01 LTDA.</v>
      </c>
      <c r="I358" s="19">
        <f t="shared" si="66"/>
        <v>57</v>
      </c>
      <c r="J358" s="13" t="s">
        <v>68</v>
      </c>
      <c r="K358" s="13" t="s">
        <v>468</v>
      </c>
      <c r="L358" s="13" t="s">
        <v>87</v>
      </c>
      <c r="M358" s="13" t="s">
        <v>55</v>
      </c>
      <c r="N358" s="20">
        <v>2555.02</v>
      </c>
      <c r="O358" s="20">
        <v>2156</v>
      </c>
      <c r="P358" s="21">
        <v>45355</v>
      </c>
      <c r="Q358" s="22"/>
      <c r="R358" s="23">
        <v>2156</v>
      </c>
      <c r="S358" s="24"/>
      <c r="T358" s="23"/>
      <c r="U358" s="24"/>
      <c r="V358" s="23"/>
      <c r="W358" s="23">
        <v>9.8699999999999992</v>
      </c>
      <c r="X358" s="24">
        <v>282.14</v>
      </c>
      <c r="Y358" s="23"/>
      <c r="Z358" s="23"/>
      <c r="AA358" s="23">
        <v>26.43</v>
      </c>
      <c r="AB358" s="23">
        <v>128.84</v>
      </c>
      <c r="AC358" s="24">
        <v>536.23571428571427</v>
      </c>
      <c r="AD358" s="23">
        <v>1000.66</v>
      </c>
      <c r="AE358" s="24">
        <v>3630.545714285714</v>
      </c>
      <c r="AF358" s="23"/>
      <c r="AG358" s="23"/>
      <c r="AH358" s="23">
        <v>119.37</v>
      </c>
      <c r="AI358" s="24">
        <v>0</v>
      </c>
      <c r="AJ358" s="25">
        <v>1049.27</v>
      </c>
      <c r="AK358" s="23">
        <v>227.62</v>
      </c>
      <c r="AL358" s="23"/>
      <c r="AM358" s="24"/>
      <c r="AN358" s="23"/>
      <c r="AO358" s="24"/>
      <c r="AP358" s="23">
        <v>209.42</v>
      </c>
      <c r="AQ358" s="24">
        <v>598.32999999999993</v>
      </c>
      <c r="AR358" s="23">
        <v>285.27</v>
      </c>
      <c r="AS358" s="23">
        <v>-1020.4</v>
      </c>
      <c r="AT358" s="23"/>
      <c r="AU358" s="24"/>
      <c r="AW358" s="27">
        <f t="shared" si="67"/>
        <v>1049.270358</v>
      </c>
      <c r="AX358" s="27">
        <f t="shared" si="68"/>
        <v>1000.660358</v>
      </c>
      <c r="AY358" s="27">
        <f t="shared" si="69"/>
        <v>128.84035800000001</v>
      </c>
      <c r="AZ358" s="27">
        <f t="shared" si="70"/>
        <v>209.42035799999999</v>
      </c>
    </row>
    <row r="359" spans="1:52" ht="15" customHeight="1" x14ac:dyDescent="0.25">
      <c r="A359" s="13" t="str">
        <f>VLOOKUP(L359,[1]VALIDAÇÃO!$D$13:$E$350,2,0)</f>
        <v>DIRETO</v>
      </c>
      <c r="B359" s="14" t="str">
        <f t="shared" si="72"/>
        <v>111RESERVA DO PAIVA SPE 03 LTDA</v>
      </c>
      <c r="C359" s="15">
        <f t="shared" si="71"/>
        <v>111</v>
      </c>
      <c r="D359" s="16" t="str">
        <f t="shared" si="73"/>
        <v>105RESERVA DO PAIVA SPE 03 LTDA</v>
      </c>
      <c r="E359" s="17">
        <f t="shared" si="64"/>
        <v>105</v>
      </c>
      <c r="F359" s="18" t="str">
        <f t="shared" si="74"/>
        <v>109RESERVA DO PAIVA SPE 03 LTDA</v>
      </c>
      <c r="G359" s="18">
        <f t="shared" si="65"/>
        <v>109</v>
      </c>
      <c r="H359" s="19" t="str">
        <f t="shared" si="75"/>
        <v>125RESERVA DO PAIVA SPE 03 LTDA</v>
      </c>
      <c r="I359" s="19">
        <f t="shared" si="66"/>
        <v>125</v>
      </c>
      <c r="J359" s="13" t="s">
        <v>52</v>
      </c>
      <c r="K359" s="13" t="s">
        <v>469</v>
      </c>
      <c r="L359" s="13" t="s">
        <v>54</v>
      </c>
      <c r="M359" s="13" t="s">
        <v>55</v>
      </c>
      <c r="N359" s="20">
        <v>703.36</v>
      </c>
      <c r="O359" s="20">
        <v>1622.13</v>
      </c>
      <c r="P359" s="21">
        <v>45789</v>
      </c>
      <c r="Q359" s="22"/>
      <c r="R359" s="23">
        <v>1622.13</v>
      </c>
      <c r="S359" s="24"/>
      <c r="T359" s="23"/>
      <c r="U359" s="24"/>
      <c r="V359" s="23"/>
      <c r="W359" s="23"/>
      <c r="X359" s="24"/>
      <c r="Y359" s="23"/>
      <c r="Z359" s="23"/>
      <c r="AA359" s="23">
        <v>0.49</v>
      </c>
      <c r="AB359" s="23">
        <v>35.71</v>
      </c>
      <c r="AC359" s="24">
        <v>297.24285714285713</v>
      </c>
      <c r="AD359" s="23">
        <v>117.66</v>
      </c>
      <c r="AE359" s="24">
        <v>690.94142857142856</v>
      </c>
      <c r="AF359" s="23"/>
      <c r="AG359" s="23"/>
      <c r="AH359" s="23">
        <v>2.2000000000000002</v>
      </c>
      <c r="AI359" s="24">
        <v>0</v>
      </c>
      <c r="AJ359" s="25">
        <v>91.23</v>
      </c>
      <c r="AK359" s="23">
        <v>20.079999999999998</v>
      </c>
      <c r="AL359" s="23">
        <v>-25.3</v>
      </c>
      <c r="AM359" s="24">
        <v>192.17</v>
      </c>
      <c r="AN359" s="23">
        <v>-57.93</v>
      </c>
      <c r="AO359" s="24">
        <v>1</v>
      </c>
      <c r="AP359" s="23"/>
      <c r="AQ359" s="24"/>
      <c r="AR359" s="23">
        <v>35.31</v>
      </c>
      <c r="AS359" s="23">
        <v>-695.2</v>
      </c>
      <c r="AT359" s="23">
        <v>-57.93</v>
      </c>
      <c r="AU359" s="24">
        <v>1</v>
      </c>
      <c r="AW359" s="27">
        <f t="shared" si="67"/>
        <v>91.230359000000007</v>
      </c>
      <c r="AX359" s="27">
        <f t="shared" si="68"/>
        <v>117.660359</v>
      </c>
      <c r="AY359" s="27">
        <f t="shared" si="69"/>
        <v>35.710359000000004</v>
      </c>
      <c r="AZ359" s="27">
        <f t="shared" si="70"/>
        <v>3.59E-4</v>
      </c>
    </row>
    <row r="360" spans="1:52" ht="15" customHeight="1" x14ac:dyDescent="0.25">
      <c r="A360" s="13" t="str">
        <f>VLOOKUP(L360,[1]VALIDAÇÃO!$D$13:$E$350,2,0)</f>
        <v>DIRETO</v>
      </c>
      <c r="B360" s="14" t="str">
        <f t="shared" si="72"/>
        <v>122RESERVA DO PAIVA SPE 03 LTDA</v>
      </c>
      <c r="C360" s="15">
        <f t="shared" si="71"/>
        <v>122</v>
      </c>
      <c r="D360" s="16" t="str">
        <f t="shared" si="73"/>
        <v>129RESERVA DO PAIVA SPE 03 LTDA</v>
      </c>
      <c r="E360" s="17">
        <f t="shared" si="64"/>
        <v>129</v>
      </c>
      <c r="F360" s="18" t="str">
        <f t="shared" si="74"/>
        <v>119RESERVA DO PAIVA SPE 03 LTDA</v>
      </c>
      <c r="G360" s="18">
        <f t="shared" si="65"/>
        <v>119</v>
      </c>
      <c r="H360" s="19" t="str">
        <f t="shared" si="75"/>
        <v>124RESERVA DO PAIVA SPE 03 LTDA</v>
      </c>
      <c r="I360" s="19">
        <f t="shared" si="66"/>
        <v>124</v>
      </c>
      <c r="J360" s="13" t="s">
        <v>52</v>
      </c>
      <c r="K360" s="13" t="s">
        <v>470</v>
      </c>
      <c r="L360" s="13" t="s">
        <v>54</v>
      </c>
      <c r="M360" s="13" t="s">
        <v>55</v>
      </c>
      <c r="N360" s="20">
        <v>533.48</v>
      </c>
      <c r="O360" s="20">
        <v>1622.13</v>
      </c>
      <c r="P360" s="21">
        <v>45922</v>
      </c>
      <c r="Q360" s="22"/>
      <c r="R360" s="23">
        <v>1622.13</v>
      </c>
      <c r="S360" s="24"/>
      <c r="T360" s="23"/>
      <c r="U360" s="24"/>
      <c r="V360" s="23"/>
      <c r="W360" s="23"/>
      <c r="X360" s="24"/>
      <c r="Y360" s="23"/>
      <c r="Z360" s="23"/>
      <c r="AA360" s="23">
        <v>0.12000000000000001</v>
      </c>
      <c r="AB360" s="23">
        <v>12.5</v>
      </c>
      <c r="AC360" s="24">
        <v>228.09999999999997</v>
      </c>
      <c r="AD360" s="23">
        <v>31.550000000000004</v>
      </c>
      <c r="AE360" s="24">
        <v>467.3857142857143</v>
      </c>
      <c r="AF360" s="23"/>
      <c r="AG360" s="23"/>
      <c r="AH360" s="23">
        <v>0.42000000000000004</v>
      </c>
      <c r="AI360" s="24">
        <v>0</v>
      </c>
      <c r="AJ360" s="25">
        <v>66.44</v>
      </c>
      <c r="AK360" s="23">
        <v>15.219999999999999</v>
      </c>
      <c r="AL360" s="23"/>
      <c r="AM360" s="24"/>
      <c r="AN360" s="23">
        <v>-115.87</v>
      </c>
      <c r="AO360" s="24">
        <v>2</v>
      </c>
      <c r="AP360" s="23"/>
      <c r="AQ360" s="24"/>
      <c r="AR360" s="23">
        <v>11.47</v>
      </c>
      <c r="AS360" s="23">
        <v>-695.2</v>
      </c>
      <c r="AT360" s="23">
        <v>-57.93</v>
      </c>
      <c r="AU360" s="24">
        <v>1</v>
      </c>
      <c r="AW360" s="27">
        <f t="shared" si="67"/>
        <v>66.440359999999998</v>
      </c>
      <c r="AX360" s="27">
        <f t="shared" si="68"/>
        <v>31.550360000000005</v>
      </c>
      <c r="AY360" s="27">
        <f t="shared" si="69"/>
        <v>12.500360000000001</v>
      </c>
      <c r="AZ360" s="27">
        <f t="shared" si="70"/>
        <v>3.6000000000000002E-4</v>
      </c>
    </row>
    <row r="361" spans="1:52" ht="15" customHeight="1" x14ac:dyDescent="0.25">
      <c r="A361" s="13" t="str">
        <f>VLOOKUP(L361,[1]VALIDAÇÃO!$D$13:$E$350,2,0)</f>
        <v>DIRETO</v>
      </c>
      <c r="B361" s="14" t="str">
        <f t="shared" si="72"/>
        <v>70RESERVA DO PAIVA SPE 03 LTDA</v>
      </c>
      <c r="C361" s="15">
        <f t="shared" si="71"/>
        <v>70</v>
      </c>
      <c r="D361" s="16" t="str">
        <f t="shared" si="73"/>
        <v>26RESERVA DO PAIVA SPE 03 LTDA</v>
      </c>
      <c r="E361" s="17">
        <f t="shared" si="64"/>
        <v>26</v>
      </c>
      <c r="F361" s="18" t="str">
        <f t="shared" si="74"/>
        <v>83RESERVA DO PAIVA SPE 03 LTDA</v>
      </c>
      <c r="G361" s="18">
        <f t="shared" si="65"/>
        <v>83</v>
      </c>
      <c r="H361" s="19" t="str">
        <f t="shared" si="75"/>
        <v>56RESERVA DO PAIVA SPE 03 LTDA</v>
      </c>
      <c r="I361" s="19">
        <f t="shared" si="66"/>
        <v>56</v>
      </c>
      <c r="J361" s="13" t="s">
        <v>52</v>
      </c>
      <c r="K361" s="13" t="s">
        <v>471</v>
      </c>
      <c r="L361" s="13" t="s">
        <v>54</v>
      </c>
      <c r="M361" s="13" t="s">
        <v>55</v>
      </c>
      <c r="N361" s="20">
        <v>1186.2</v>
      </c>
      <c r="O361" s="20">
        <v>1622.13</v>
      </c>
      <c r="P361" s="21">
        <v>45798</v>
      </c>
      <c r="Q361" s="22"/>
      <c r="R361" s="23">
        <v>1622.13</v>
      </c>
      <c r="S361" s="24"/>
      <c r="T361" s="23"/>
      <c r="U361" s="24"/>
      <c r="V361" s="23"/>
      <c r="W361" s="23">
        <v>0.96</v>
      </c>
      <c r="X361" s="24">
        <v>53.64</v>
      </c>
      <c r="Y361" s="23"/>
      <c r="Z361" s="23"/>
      <c r="AA361" s="23">
        <v>4.4000000000000004</v>
      </c>
      <c r="AB361" s="23">
        <v>86.089999999999989</v>
      </c>
      <c r="AC361" s="24">
        <v>804.05714285714294</v>
      </c>
      <c r="AD361" s="23">
        <v>543.16000000000008</v>
      </c>
      <c r="AE361" s="24">
        <v>3810.0128571428572</v>
      </c>
      <c r="AF361" s="23"/>
      <c r="AG361" s="23"/>
      <c r="AH361" s="23">
        <v>19.779999999999998</v>
      </c>
      <c r="AI361" s="24">
        <v>0</v>
      </c>
      <c r="AJ361" s="25">
        <v>198.63</v>
      </c>
      <c r="AK361" s="23">
        <v>43.97</v>
      </c>
      <c r="AL361" s="23"/>
      <c r="AM361" s="24"/>
      <c r="AN361" s="23">
        <v>-57.93</v>
      </c>
      <c r="AO361" s="24">
        <v>1</v>
      </c>
      <c r="AP361" s="23">
        <v>48.500000000000007</v>
      </c>
      <c r="AQ361" s="24">
        <v>384.97142857142859</v>
      </c>
      <c r="AR361" s="23">
        <v>151.76999999999998</v>
      </c>
      <c r="AS361" s="23">
        <v>-791.2</v>
      </c>
      <c r="AT361" s="23">
        <v>-115.87</v>
      </c>
      <c r="AU361" s="24">
        <v>2</v>
      </c>
      <c r="AW361" s="27">
        <f t="shared" si="67"/>
        <v>198.63036099999999</v>
      </c>
      <c r="AX361" s="27">
        <f t="shared" si="68"/>
        <v>543.16036100000008</v>
      </c>
      <c r="AY361" s="27">
        <f t="shared" si="69"/>
        <v>86.090360999999987</v>
      </c>
      <c r="AZ361" s="27">
        <f t="shared" si="70"/>
        <v>48.500361000000005</v>
      </c>
    </row>
    <row r="362" spans="1:52" ht="15" customHeight="1" x14ac:dyDescent="0.25">
      <c r="A362" s="13" t="str">
        <f>VLOOKUP(L362,[1]VALIDAÇÃO!$D$13:$E$350,2,0)</f>
        <v>DIRETO</v>
      </c>
      <c r="B362" s="14" t="str">
        <f t="shared" si="72"/>
        <v>57RIO AVE CARNEIROS 01 SPE LTDA.</v>
      </c>
      <c r="C362" s="15">
        <f t="shared" si="71"/>
        <v>57</v>
      </c>
      <c r="D362" s="16" t="str">
        <f t="shared" si="73"/>
        <v>134RIO AVE CARNEIROS 01 SPE LTDA.</v>
      </c>
      <c r="E362" s="17">
        <f t="shared" si="64"/>
        <v>134</v>
      </c>
      <c r="F362" s="18" t="str">
        <f t="shared" si="74"/>
        <v>95RIO AVE CARNEIROS 01 SPE LTDA.</v>
      </c>
      <c r="G362" s="18">
        <f t="shared" si="65"/>
        <v>95</v>
      </c>
      <c r="H362" s="19" t="str">
        <f t="shared" si="75"/>
        <v>59RIO AVE CARNEIROS 01 SPE LTDA.</v>
      </c>
      <c r="I362" s="19">
        <f t="shared" si="66"/>
        <v>59</v>
      </c>
      <c r="J362" s="13" t="s">
        <v>61</v>
      </c>
      <c r="K362" s="13" t="s">
        <v>472</v>
      </c>
      <c r="L362" s="13" t="s">
        <v>63</v>
      </c>
      <c r="M362" s="13" t="s">
        <v>55</v>
      </c>
      <c r="N362" s="20">
        <v>1319.94</v>
      </c>
      <c r="O362" s="20">
        <v>2156</v>
      </c>
      <c r="P362" s="21">
        <v>45910</v>
      </c>
      <c r="Q362" s="22"/>
      <c r="R362" s="23">
        <v>2156</v>
      </c>
      <c r="S362" s="24"/>
      <c r="T362" s="23"/>
      <c r="U362" s="24"/>
      <c r="V362" s="23"/>
      <c r="W362" s="23"/>
      <c r="X362" s="24"/>
      <c r="Y362" s="23"/>
      <c r="Z362" s="23"/>
      <c r="AA362" s="23">
        <v>1</v>
      </c>
      <c r="AB362" s="23">
        <v>40.22</v>
      </c>
      <c r="AC362" s="24">
        <v>445.71428571428567</v>
      </c>
      <c r="AD362" s="23">
        <v>2.0700000000000003</v>
      </c>
      <c r="AE362" s="24">
        <v>22.857142857142858</v>
      </c>
      <c r="AF362" s="23"/>
      <c r="AG362" s="23"/>
      <c r="AH362" s="23">
        <v>3.27</v>
      </c>
      <c r="AI362" s="24">
        <v>0</v>
      </c>
      <c r="AJ362" s="25">
        <v>414.31</v>
      </c>
      <c r="AK362" s="23">
        <v>94.17</v>
      </c>
      <c r="AL362" s="23">
        <v>-10.33</v>
      </c>
      <c r="AM362" s="24">
        <v>59</v>
      </c>
      <c r="AN362" s="23"/>
      <c r="AO362" s="24"/>
      <c r="AP362" s="23">
        <v>24.92</v>
      </c>
      <c r="AQ362" s="24">
        <v>234.75714285714287</v>
      </c>
      <c r="AR362" s="23">
        <v>17.59</v>
      </c>
      <c r="AS362" s="23">
        <v>-924</v>
      </c>
      <c r="AT362" s="23"/>
      <c r="AU362" s="24"/>
      <c r="AW362" s="27">
        <f t="shared" si="67"/>
        <v>414.310362</v>
      </c>
      <c r="AX362" s="27">
        <f t="shared" si="68"/>
        <v>2.0703620000000003</v>
      </c>
      <c r="AY362" s="27">
        <f t="shared" si="69"/>
        <v>40.220362000000002</v>
      </c>
      <c r="AZ362" s="27">
        <f t="shared" si="70"/>
        <v>24.920362000000001</v>
      </c>
    </row>
    <row r="363" spans="1:52" ht="15" customHeight="1" x14ac:dyDescent="0.25">
      <c r="A363" s="13" t="str">
        <f>VLOOKUP(L363,[1]VALIDAÇÃO!$D$13:$E$350,2,0)</f>
        <v>DIRETO</v>
      </c>
      <c r="B363" s="14" t="str">
        <f t="shared" si="72"/>
        <v>16RIO AVE CARNEIROS 01 SPE LTDA.</v>
      </c>
      <c r="C363" s="15">
        <f t="shared" si="71"/>
        <v>16</v>
      </c>
      <c r="D363" s="16" t="str">
        <f t="shared" si="73"/>
        <v>87RIO AVE CARNEIROS 01 SPE LTDA.</v>
      </c>
      <c r="E363" s="17">
        <f t="shared" si="64"/>
        <v>87</v>
      </c>
      <c r="F363" s="18" t="str">
        <f t="shared" si="74"/>
        <v>128RIO AVE CARNEIROS 01 SPE LTDA.</v>
      </c>
      <c r="G363" s="18">
        <f t="shared" si="65"/>
        <v>128</v>
      </c>
      <c r="H363" s="19" t="str">
        <f t="shared" si="75"/>
        <v>118RIO AVE CARNEIROS 01 SPE LTDA.</v>
      </c>
      <c r="I363" s="19">
        <f t="shared" si="66"/>
        <v>118</v>
      </c>
      <c r="J363" s="13" t="s">
        <v>61</v>
      </c>
      <c r="K363" s="13" t="s">
        <v>473</v>
      </c>
      <c r="L363" s="13" t="s">
        <v>59</v>
      </c>
      <c r="M363" s="13" t="s">
        <v>55</v>
      </c>
      <c r="N363" s="20">
        <v>1639.27</v>
      </c>
      <c r="O363" s="20">
        <v>2156</v>
      </c>
      <c r="P363" s="21">
        <v>45488</v>
      </c>
      <c r="Q363" s="22"/>
      <c r="R363" s="23">
        <v>2156</v>
      </c>
      <c r="S363" s="24"/>
      <c r="T363" s="23"/>
      <c r="U363" s="24"/>
      <c r="V363" s="23"/>
      <c r="W363" s="23"/>
      <c r="X363" s="24"/>
      <c r="Y363" s="23"/>
      <c r="Z363" s="23"/>
      <c r="AA363" s="23">
        <v>0.63</v>
      </c>
      <c r="AB363" s="23">
        <v>3.27</v>
      </c>
      <c r="AC363" s="24">
        <v>11</v>
      </c>
      <c r="AD363" s="23">
        <v>35.21</v>
      </c>
      <c r="AE363" s="24">
        <v>128.46285714285716</v>
      </c>
      <c r="AF363" s="23"/>
      <c r="AG363" s="23"/>
      <c r="AH363" s="23">
        <v>2.84</v>
      </c>
      <c r="AI363" s="24">
        <v>0</v>
      </c>
      <c r="AJ363" s="25">
        <v>765.24</v>
      </c>
      <c r="AK363" s="23">
        <v>169.47</v>
      </c>
      <c r="AL363" s="23"/>
      <c r="AM363" s="24"/>
      <c r="AN363" s="23"/>
      <c r="AO363" s="24"/>
      <c r="AP363" s="23"/>
      <c r="AQ363" s="24"/>
      <c r="AR363" s="23">
        <v>7.3500000000000005</v>
      </c>
      <c r="AS363" s="23">
        <v>-1004</v>
      </c>
      <c r="AT363" s="23"/>
      <c r="AU363" s="24"/>
      <c r="AW363" s="27">
        <f t="shared" si="67"/>
        <v>765.240363</v>
      </c>
      <c r="AX363" s="27">
        <f t="shared" si="68"/>
        <v>35.210363000000001</v>
      </c>
      <c r="AY363" s="27">
        <f t="shared" si="69"/>
        <v>3.2703630000000001</v>
      </c>
      <c r="AZ363" s="27">
        <f t="shared" si="70"/>
        <v>3.6299999999999999E-4</v>
      </c>
    </row>
    <row r="364" spans="1:52" ht="15" customHeight="1" x14ac:dyDescent="0.25">
      <c r="A364" s="13" t="str">
        <f>VLOOKUP(L364,[1]VALIDAÇÃO!$D$13:$E$350,2,0)</f>
        <v>DIRETO</v>
      </c>
      <c r="B364" s="14" t="str">
        <f t="shared" si="72"/>
        <v>11RESERVA DO PAIVA SPE 01 LTDA.</v>
      </c>
      <c r="C364" s="15">
        <f t="shared" si="71"/>
        <v>11</v>
      </c>
      <c r="D364" s="16" t="str">
        <f t="shared" si="73"/>
        <v>6RESERVA DO PAIVA SPE 01 LTDA.</v>
      </c>
      <c r="E364" s="17">
        <f t="shared" si="64"/>
        <v>6</v>
      </c>
      <c r="F364" s="18" t="str">
        <f t="shared" si="74"/>
        <v>5RESERVA DO PAIVA SPE 01 LTDA.</v>
      </c>
      <c r="G364" s="18">
        <f t="shared" si="65"/>
        <v>5</v>
      </c>
      <c r="H364" s="19" t="str">
        <f t="shared" si="75"/>
        <v>4RESERVA DO PAIVA SPE 01 LTDA.</v>
      </c>
      <c r="I364" s="19">
        <f t="shared" si="66"/>
        <v>4</v>
      </c>
      <c r="J364" s="13" t="s">
        <v>68</v>
      </c>
      <c r="K364" s="13" t="s">
        <v>474</v>
      </c>
      <c r="L364" s="13" t="s">
        <v>63</v>
      </c>
      <c r="M364" s="13" t="s">
        <v>55</v>
      </c>
      <c r="N364" s="20">
        <v>3356.58</v>
      </c>
      <c r="O364" s="20">
        <v>2156</v>
      </c>
      <c r="P364" s="21">
        <v>45446</v>
      </c>
      <c r="Q364" s="22"/>
      <c r="R364" s="23">
        <v>2156</v>
      </c>
      <c r="S364" s="24"/>
      <c r="T364" s="23"/>
      <c r="U364" s="24"/>
      <c r="V364" s="23"/>
      <c r="W364" s="23">
        <v>1.1599999999999999</v>
      </c>
      <c r="X364" s="24">
        <v>33.14</v>
      </c>
      <c r="Y364" s="23"/>
      <c r="Z364" s="23"/>
      <c r="AA364" s="23">
        <v>59.899999999999991</v>
      </c>
      <c r="AB364" s="23">
        <v>629.46</v>
      </c>
      <c r="AC364" s="24">
        <v>2396.9785714285717</v>
      </c>
      <c r="AD364" s="23">
        <v>1107.2</v>
      </c>
      <c r="AE364" s="24">
        <v>4055.8385714285714</v>
      </c>
      <c r="AF364" s="23"/>
      <c r="AG364" s="23"/>
      <c r="AH364" s="23">
        <v>270.79000000000002</v>
      </c>
      <c r="AI364" s="24">
        <v>0</v>
      </c>
      <c r="AJ364" s="25">
        <v>1137.76</v>
      </c>
      <c r="AK364" s="23">
        <v>246.99</v>
      </c>
      <c r="AL364" s="23">
        <v>-1.95</v>
      </c>
      <c r="AM364" s="24">
        <v>11.14</v>
      </c>
      <c r="AN364" s="23"/>
      <c r="AO364" s="24"/>
      <c r="AP364" s="23">
        <v>1019.11</v>
      </c>
      <c r="AQ364" s="24">
        <v>2925.0414285714287</v>
      </c>
      <c r="AR364" s="23">
        <v>607.19000000000005</v>
      </c>
      <c r="AS364" s="23">
        <v>-924</v>
      </c>
      <c r="AT364" s="23"/>
      <c r="AU364" s="24"/>
      <c r="AW364" s="27">
        <f t="shared" si="67"/>
        <v>1137.760364</v>
      </c>
      <c r="AX364" s="27">
        <f t="shared" si="68"/>
        <v>1107.200364</v>
      </c>
      <c r="AY364" s="27">
        <f t="shared" si="69"/>
        <v>629.46036400000003</v>
      </c>
      <c r="AZ364" s="27">
        <f t="shared" si="70"/>
        <v>1019.110364</v>
      </c>
    </row>
    <row r="365" spans="1:52" ht="15" customHeight="1" x14ac:dyDescent="0.25">
      <c r="A365" s="13" t="str">
        <f>VLOOKUP(L365,[1]VALIDAÇÃO!$D$13:$E$350,2,0)</f>
        <v>DIRETO</v>
      </c>
      <c r="B365" s="14" t="str">
        <f t="shared" si="72"/>
        <v>53RIO AVE 130 SPE LTDA</v>
      </c>
      <c r="C365" s="15">
        <f t="shared" si="71"/>
        <v>53</v>
      </c>
      <c r="D365" s="16" t="str">
        <f t="shared" si="73"/>
        <v>38RIO AVE 130 SPE LTDA</v>
      </c>
      <c r="E365" s="17">
        <f t="shared" si="64"/>
        <v>38</v>
      </c>
      <c r="F365" s="18" t="str">
        <f t="shared" si="74"/>
        <v>47RIO AVE 130 SPE LTDA</v>
      </c>
      <c r="G365" s="18">
        <f t="shared" si="65"/>
        <v>47</v>
      </c>
      <c r="H365" s="19" t="str">
        <f t="shared" si="75"/>
        <v>56RIO AVE 130 SPE LTDA</v>
      </c>
      <c r="I365" s="19">
        <f t="shared" si="66"/>
        <v>56</v>
      </c>
      <c r="J365" s="13" t="s">
        <v>102</v>
      </c>
      <c r="K365" s="13" t="s">
        <v>475</v>
      </c>
      <c r="L365" s="13" t="s">
        <v>54</v>
      </c>
      <c r="M365" s="13" t="s">
        <v>55</v>
      </c>
      <c r="N365" s="20">
        <v>651.9</v>
      </c>
      <c r="O365" s="20">
        <v>1622.13</v>
      </c>
      <c r="P365" s="21">
        <v>45362</v>
      </c>
      <c r="Q365" s="22"/>
      <c r="R365" s="23">
        <v>1622.13</v>
      </c>
      <c r="S365" s="24"/>
      <c r="T365" s="23"/>
      <c r="U365" s="24"/>
      <c r="V365" s="23"/>
      <c r="W365" s="23"/>
      <c r="X365" s="24"/>
      <c r="Y365" s="23"/>
      <c r="Z365" s="23"/>
      <c r="AA365" s="23">
        <v>0.17</v>
      </c>
      <c r="AB365" s="23">
        <v>30.79</v>
      </c>
      <c r="AC365" s="24">
        <v>173.48571428571427</v>
      </c>
      <c r="AD365" s="23">
        <v>32.15</v>
      </c>
      <c r="AE365" s="24">
        <v>164.98285714285714</v>
      </c>
      <c r="AF365" s="23"/>
      <c r="AG365" s="23"/>
      <c r="AH365" s="23">
        <v>0.69</v>
      </c>
      <c r="AI365" s="24">
        <v>0</v>
      </c>
      <c r="AJ365" s="25">
        <v>128.51999999999998</v>
      </c>
      <c r="AK365" s="23">
        <v>28.44</v>
      </c>
      <c r="AL365" s="23"/>
      <c r="AM365" s="24"/>
      <c r="AN365" s="23"/>
      <c r="AO365" s="24"/>
      <c r="AP365" s="23"/>
      <c r="AQ365" s="24"/>
      <c r="AR365" s="23">
        <v>13.09</v>
      </c>
      <c r="AS365" s="23">
        <v>-695.2</v>
      </c>
      <c r="AT365" s="23"/>
      <c r="AU365" s="24"/>
      <c r="AW365" s="27">
        <f t="shared" si="67"/>
        <v>128.52036499999997</v>
      </c>
      <c r="AX365" s="27">
        <f t="shared" si="68"/>
        <v>32.150365000000001</v>
      </c>
      <c r="AY365" s="27">
        <f t="shared" si="69"/>
        <v>30.790364999999998</v>
      </c>
      <c r="AZ365" s="27">
        <f t="shared" si="70"/>
        <v>3.6499999999999998E-4</v>
      </c>
    </row>
    <row r="366" spans="1:52" ht="15" customHeight="1" x14ac:dyDescent="0.25">
      <c r="A366" s="13" t="str">
        <f>VLOOKUP(L366,[1]VALIDAÇÃO!$D$13:$E$350,2,0)</f>
        <v>DIRETO</v>
      </c>
      <c r="B366" s="14" t="str">
        <f t="shared" si="72"/>
        <v>82RIO AVE CARNEIROS 01 SPE LTDA.</v>
      </c>
      <c r="C366" s="15">
        <f t="shared" si="71"/>
        <v>82</v>
      </c>
      <c r="D366" s="16" t="str">
        <f t="shared" si="73"/>
        <v>75RIO AVE CARNEIROS 01 SPE LTDA.</v>
      </c>
      <c r="E366" s="17">
        <f t="shared" si="64"/>
        <v>75</v>
      </c>
      <c r="F366" s="18" t="str">
        <f t="shared" si="74"/>
        <v>130RIO AVE CARNEIROS 01 SPE LTDA.</v>
      </c>
      <c r="G366" s="18">
        <f t="shared" si="65"/>
        <v>130</v>
      </c>
      <c r="H366" s="19" t="str">
        <f t="shared" si="75"/>
        <v>117RIO AVE CARNEIROS 01 SPE LTDA.</v>
      </c>
      <c r="I366" s="19">
        <f t="shared" si="66"/>
        <v>117</v>
      </c>
      <c r="J366" s="13" t="s">
        <v>61</v>
      </c>
      <c r="K366" s="13" t="s">
        <v>476</v>
      </c>
      <c r="L366" s="13" t="s">
        <v>54</v>
      </c>
      <c r="M366" s="13" t="s">
        <v>55</v>
      </c>
      <c r="N366" s="20">
        <v>913.14</v>
      </c>
      <c r="O366" s="20">
        <v>1622.13</v>
      </c>
      <c r="P366" s="21">
        <v>45733</v>
      </c>
      <c r="Q366" s="22"/>
      <c r="R366" s="23">
        <v>1622.13</v>
      </c>
      <c r="S366" s="24"/>
      <c r="T366" s="23"/>
      <c r="U366" s="24"/>
      <c r="V366" s="23"/>
      <c r="W366" s="23"/>
      <c r="X366" s="24"/>
      <c r="Y366" s="23"/>
      <c r="Z366" s="23"/>
      <c r="AA366" s="23">
        <v>0.55000000000000004</v>
      </c>
      <c r="AB366" s="23">
        <v>2.91</v>
      </c>
      <c r="AC366" s="24">
        <v>13</v>
      </c>
      <c r="AD366" s="23">
        <v>56.610000000000007</v>
      </c>
      <c r="AE366" s="24">
        <v>340.38571428571424</v>
      </c>
      <c r="AF366" s="31"/>
      <c r="AG366" s="23"/>
      <c r="AH366" s="23">
        <v>2.67</v>
      </c>
      <c r="AI366" s="24">
        <v>0</v>
      </c>
      <c r="AJ366" s="25">
        <v>313.27</v>
      </c>
      <c r="AK366" s="23">
        <v>68.489999999999995</v>
      </c>
      <c r="AL366" s="23">
        <v>-23.04</v>
      </c>
      <c r="AM366" s="24">
        <v>175</v>
      </c>
      <c r="AN366" s="23"/>
      <c r="AO366" s="24"/>
      <c r="AP366" s="23"/>
      <c r="AQ366" s="24"/>
      <c r="AR366" s="23">
        <v>12.18</v>
      </c>
      <c r="AS366" s="23">
        <v>-775.2</v>
      </c>
      <c r="AT366" s="23"/>
      <c r="AU366" s="24"/>
      <c r="AW366" s="27">
        <f t="shared" si="67"/>
        <v>313.27036599999997</v>
      </c>
      <c r="AX366" s="27">
        <f t="shared" si="68"/>
        <v>56.610366000000006</v>
      </c>
      <c r="AY366" s="27">
        <f t="shared" si="69"/>
        <v>2.9103660000000002</v>
      </c>
      <c r="AZ366" s="27">
        <f t="shared" si="70"/>
        <v>3.6600000000000001E-4</v>
      </c>
    </row>
    <row r="367" spans="1:52" ht="15" customHeight="1" x14ac:dyDescent="0.25">
      <c r="A367" s="13" t="str">
        <f>VLOOKUP(L367,[1]VALIDAÇÃO!$D$13:$E$350,2,0)</f>
        <v>DIRETO</v>
      </c>
      <c r="B367" s="14" t="str">
        <f t="shared" si="72"/>
        <v>121RIO AVE CARNEIROS 01 SPE LTDA.</v>
      </c>
      <c r="C367" s="15">
        <f t="shared" si="71"/>
        <v>121</v>
      </c>
      <c r="D367" s="16" t="str">
        <f t="shared" si="73"/>
        <v>84RIO AVE CARNEIROS 01 SPE LTDA.</v>
      </c>
      <c r="E367" s="17">
        <f t="shared" si="64"/>
        <v>84</v>
      </c>
      <c r="F367" s="18" t="str">
        <f t="shared" si="74"/>
        <v>140RIO AVE CARNEIROS 01 SPE LTDA.</v>
      </c>
      <c r="G367" s="18">
        <f t="shared" si="65"/>
        <v>140</v>
      </c>
      <c r="H367" s="19" t="str">
        <f t="shared" si="75"/>
        <v>116RIO AVE CARNEIROS 01 SPE LTDA.</v>
      </c>
      <c r="I367" s="19">
        <f t="shared" si="66"/>
        <v>116</v>
      </c>
      <c r="J367" s="13" t="s">
        <v>61</v>
      </c>
      <c r="K367" s="13" t="s">
        <v>477</v>
      </c>
      <c r="L367" s="13" t="s">
        <v>54</v>
      </c>
      <c r="M367" s="13" t="s">
        <v>55</v>
      </c>
      <c r="N367" s="20">
        <v>815.52</v>
      </c>
      <c r="O367" s="20">
        <v>1622.13</v>
      </c>
      <c r="P367" s="21">
        <v>45705</v>
      </c>
      <c r="Q367" s="22"/>
      <c r="R367" s="23">
        <v>1622.13</v>
      </c>
      <c r="S367" s="24"/>
      <c r="T367" s="23"/>
      <c r="U367" s="24"/>
      <c r="V367" s="23"/>
      <c r="W367" s="23"/>
      <c r="X367" s="24"/>
      <c r="Y367" s="23"/>
      <c r="Z367" s="23"/>
      <c r="AA367" s="23">
        <v>0.01</v>
      </c>
      <c r="AB367" s="23"/>
      <c r="AC367" s="24"/>
      <c r="AD367" s="23">
        <v>38.61</v>
      </c>
      <c r="AE367" s="24">
        <v>201.42857142857142</v>
      </c>
      <c r="AF367" s="23"/>
      <c r="AG367" s="23"/>
      <c r="AH367" s="23">
        <v>3.0000000000000006E-2</v>
      </c>
      <c r="AI367" s="24">
        <v>0</v>
      </c>
      <c r="AJ367" s="25">
        <v>61.39</v>
      </c>
      <c r="AK367" s="23">
        <v>14.450000000000001</v>
      </c>
      <c r="AL367" s="23">
        <v>-22.38</v>
      </c>
      <c r="AM367" s="24">
        <v>170</v>
      </c>
      <c r="AN367" s="23"/>
      <c r="AO367" s="24"/>
      <c r="AP367" s="23"/>
      <c r="AQ367" s="24"/>
      <c r="AR367" s="23">
        <v>8.6100000000000012</v>
      </c>
      <c r="AS367" s="23">
        <v>-785.2</v>
      </c>
      <c r="AT367" s="23"/>
      <c r="AU367" s="24"/>
      <c r="AW367" s="27">
        <f t="shared" si="67"/>
        <v>61.390366999999998</v>
      </c>
      <c r="AX367" s="27">
        <f t="shared" si="68"/>
        <v>38.610366999999997</v>
      </c>
      <c r="AY367" s="27">
        <f t="shared" si="69"/>
        <v>3.6699999999999998E-4</v>
      </c>
      <c r="AZ367" s="27">
        <f t="shared" si="70"/>
        <v>3.6699999999999998E-4</v>
      </c>
    </row>
    <row r="368" spans="1:52" ht="15" customHeight="1" x14ac:dyDescent="0.25">
      <c r="A368" s="13" t="str">
        <f>VLOOKUP(L368,[1]VALIDAÇÃO!$D$13:$E$350,2,0)</f>
        <v>DIRETO</v>
      </c>
      <c r="B368" s="14" t="str">
        <f t="shared" si="72"/>
        <v>140RIO AVE CARNEIROS 01 SPE LTDA.</v>
      </c>
      <c r="C368" s="15">
        <f t="shared" si="71"/>
        <v>140</v>
      </c>
      <c r="D368" s="16" t="str">
        <f t="shared" si="73"/>
        <v>123RIO AVE CARNEIROS 01 SPE LTDA.</v>
      </c>
      <c r="E368" s="17">
        <f t="shared" si="64"/>
        <v>123</v>
      </c>
      <c r="F368" s="18" t="str">
        <f t="shared" si="74"/>
        <v>36RIO AVE CARNEIROS 01 SPE LTDA.</v>
      </c>
      <c r="G368" s="18">
        <f t="shared" si="65"/>
        <v>36</v>
      </c>
      <c r="H368" s="19" t="str">
        <f t="shared" si="75"/>
        <v>24RIO AVE CARNEIROS 01 SPE LTDA.</v>
      </c>
      <c r="I368" s="19">
        <f t="shared" si="66"/>
        <v>24</v>
      </c>
      <c r="J368" s="13" t="s">
        <v>61</v>
      </c>
      <c r="K368" s="13" t="s">
        <v>478</v>
      </c>
      <c r="L368" s="13" t="s">
        <v>63</v>
      </c>
      <c r="M368" s="13" t="s">
        <v>55</v>
      </c>
      <c r="N368" s="20">
        <v>955.66</v>
      </c>
      <c r="O368" s="20">
        <v>2156</v>
      </c>
      <c r="P368" s="21">
        <v>45964</v>
      </c>
      <c r="Q368" s="22"/>
      <c r="R368" s="23">
        <v>2156</v>
      </c>
      <c r="S368" s="24"/>
      <c r="T368" s="23"/>
      <c r="U368" s="24"/>
      <c r="V368" s="23"/>
      <c r="W368" s="23"/>
      <c r="X368" s="24"/>
      <c r="Y368" s="23"/>
      <c r="Z368" s="23"/>
      <c r="AA368" s="23"/>
      <c r="AB368" s="23">
        <v>145.78</v>
      </c>
      <c r="AC368" s="24">
        <v>490</v>
      </c>
      <c r="AD368" s="23">
        <v>4.45</v>
      </c>
      <c r="AE368" s="24">
        <v>29.6</v>
      </c>
      <c r="AF368" s="23"/>
      <c r="AG368" s="23"/>
      <c r="AH368" s="23"/>
      <c r="AI368" s="24"/>
      <c r="AJ368" s="25"/>
      <c r="AK368" s="23"/>
      <c r="AL368" s="23"/>
      <c r="AM368" s="24"/>
      <c r="AN368" s="23">
        <v>-77</v>
      </c>
      <c r="AO368" s="24">
        <v>1</v>
      </c>
      <c r="AP368" s="23">
        <v>45.46</v>
      </c>
      <c r="AQ368" s="24">
        <v>779.2</v>
      </c>
      <c r="AR368" s="23">
        <v>45.11</v>
      </c>
      <c r="AS368" s="23">
        <v>-924</v>
      </c>
      <c r="AT368" s="23">
        <v>-154</v>
      </c>
      <c r="AU368" s="24">
        <v>2</v>
      </c>
      <c r="AW368" s="27">
        <f t="shared" si="67"/>
        <v>3.68E-4</v>
      </c>
      <c r="AX368" s="27">
        <f t="shared" si="68"/>
        <v>4.4503680000000001</v>
      </c>
      <c r="AY368" s="27">
        <f t="shared" si="69"/>
        <v>145.78036800000001</v>
      </c>
      <c r="AZ368" s="27">
        <f t="shared" si="70"/>
        <v>45.460368000000003</v>
      </c>
    </row>
    <row r="369" spans="1:52" ht="15" customHeight="1" x14ac:dyDescent="0.25">
      <c r="A369" s="13" t="str">
        <f>VLOOKUP(L369,[1]VALIDAÇÃO!$D$13:$E$350,2,0)</f>
        <v>DIRETO</v>
      </c>
      <c r="B369" s="14" t="str">
        <f t="shared" si="72"/>
        <v>87RESERVA DO PAIVA SPE 03 LTDA</v>
      </c>
      <c r="C369" s="15">
        <f t="shared" si="71"/>
        <v>87</v>
      </c>
      <c r="D369" s="16" t="str">
        <f t="shared" si="73"/>
        <v>100RESERVA DO PAIVA SPE 03 LTDA</v>
      </c>
      <c r="E369" s="17">
        <f t="shared" si="64"/>
        <v>100</v>
      </c>
      <c r="F369" s="18" t="str">
        <f t="shared" si="74"/>
        <v>53RESERVA DO PAIVA SPE 03 LTDA</v>
      </c>
      <c r="G369" s="18">
        <f t="shared" si="65"/>
        <v>53</v>
      </c>
      <c r="H369" s="19" t="str">
        <f t="shared" si="75"/>
        <v>38RESERVA DO PAIVA SPE 03 LTDA</v>
      </c>
      <c r="I369" s="19">
        <f t="shared" si="66"/>
        <v>38</v>
      </c>
      <c r="J369" s="13" t="s">
        <v>52</v>
      </c>
      <c r="K369" s="13" t="s">
        <v>479</v>
      </c>
      <c r="L369" s="13" t="s">
        <v>54</v>
      </c>
      <c r="M369" s="13" t="s">
        <v>55</v>
      </c>
      <c r="N369" s="20">
        <v>1301.21</v>
      </c>
      <c r="O369" s="20">
        <v>1622.13</v>
      </c>
      <c r="P369" s="21">
        <v>45971</v>
      </c>
      <c r="Q369" s="22"/>
      <c r="R369" s="23">
        <v>1622.13</v>
      </c>
      <c r="S369" s="24"/>
      <c r="T369" s="23"/>
      <c r="U369" s="24"/>
      <c r="V369" s="23"/>
      <c r="W369" s="23"/>
      <c r="X369" s="24"/>
      <c r="Y369" s="23"/>
      <c r="Z369" s="23"/>
      <c r="AA369" s="23">
        <v>3.52</v>
      </c>
      <c r="AB369" s="23">
        <v>170.34</v>
      </c>
      <c r="AC369" s="24">
        <v>761</v>
      </c>
      <c r="AD369" s="23">
        <v>136.99</v>
      </c>
      <c r="AE369" s="24">
        <v>612</v>
      </c>
      <c r="AF369" s="23"/>
      <c r="AG369" s="23"/>
      <c r="AH369" s="23">
        <v>16.21</v>
      </c>
      <c r="AI369" s="24">
        <v>0</v>
      </c>
      <c r="AJ369" s="25">
        <v>164.29</v>
      </c>
      <c r="AK369" s="23">
        <v>35.720000000000006</v>
      </c>
      <c r="AL369" s="23">
        <v>-7.9</v>
      </c>
      <c r="AM369" s="24">
        <v>60</v>
      </c>
      <c r="AN369" s="23"/>
      <c r="AO369" s="24"/>
      <c r="AP369" s="23">
        <v>162.57</v>
      </c>
      <c r="AQ369" s="24">
        <v>1264</v>
      </c>
      <c r="AR369" s="23">
        <v>105.39</v>
      </c>
      <c r="AS369" s="23">
        <v>-695.2</v>
      </c>
      <c r="AT369" s="23"/>
      <c r="AU369" s="24"/>
      <c r="AW369" s="27">
        <f t="shared" si="67"/>
        <v>164.290369</v>
      </c>
      <c r="AX369" s="27">
        <f t="shared" si="68"/>
        <v>136.99036900000002</v>
      </c>
      <c r="AY369" s="27">
        <f t="shared" si="69"/>
        <v>170.34036900000001</v>
      </c>
      <c r="AZ369" s="27">
        <f t="shared" si="70"/>
        <v>162.570369</v>
      </c>
    </row>
    <row r="370" spans="1:52" ht="15" customHeight="1" x14ac:dyDescent="0.25">
      <c r="A370" s="13" t="str">
        <f>VLOOKUP(L370,[1]VALIDAÇÃO!$D$13:$E$350,2,0)</f>
        <v>DIRETO</v>
      </c>
      <c r="B370" s="14" t="str">
        <f t="shared" si="72"/>
        <v>6RIO AVE 200 SPE LTDA.</v>
      </c>
      <c r="C370" s="15">
        <f t="shared" si="71"/>
        <v>6</v>
      </c>
      <c r="D370" s="16" t="str">
        <f t="shared" si="73"/>
        <v>65RIO AVE 200 SPE LTDA.</v>
      </c>
      <c r="E370" s="17">
        <f t="shared" si="64"/>
        <v>65</v>
      </c>
      <c r="F370" s="18" t="str">
        <f t="shared" si="74"/>
        <v>43RIO AVE 200 SPE LTDA.</v>
      </c>
      <c r="G370" s="18">
        <f t="shared" si="65"/>
        <v>43</v>
      </c>
      <c r="H370" s="19" t="str">
        <f t="shared" si="75"/>
        <v>51RIO AVE 200 SPE LTDA.</v>
      </c>
      <c r="I370" s="19">
        <f t="shared" si="66"/>
        <v>51</v>
      </c>
      <c r="J370" s="13" t="s">
        <v>48</v>
      </c>
      <c r="K370" s="13" t="s">
        <v>480</v>
      </c>
      <c r="L370" s="13" t="s">
        <v>66</v>
      </c>
      <c r="M370" s="13" t="s">
        <v>55</v>
      </c>
      <c r="N370" s="20">
        <v>2022.54</v>
      </c>
      <c r="O370" s="20">
        <v>2156</v>
      </c>
      <c r="P370" s="21">
        <v>45938</v>
      </c>
      <c r="Q370" s="22"/>
      <c r="R370" s="23">
        <v>2156</v>
      </c>
      <c r="S370" s="24"/>
      <c r="T370" s="23"/>
      <c r="U370" s="24"/>
      <c r="V370" s="23"/>
      <c r="W370" s="23"/>
      <c r="X370" s="24"/>
      <c r="Y370" s="23"/>
      <c r="Z370" s="23"/>
      <c r="AA370" s="23">
        <v>0.51</v>
      </c>
      <c r="AB370" s="23">
        <v>8.4899999999999984</v>
      </c>
      <c r="AC370" s="24">
        <v>116.42857142857142</v>
      </c>
      <c r="AD370" s="23">
        <v>3.84</v>
      </c>
      <c r="AE370" s="24">
        <v>18.857142857142858</v>
      </c>
      <c r="AF370" s="23"/>
      <c r="AG370" s="23"/>
      <c r="AH370" s="23">
        <v>1.7999999999999998</v>
      </c>
      <c r="AI370" s="24">
        <v>0</v>
      </c>
      <c r="AJ370" s="25">
        <v>1137.56</v>
      </c>
      <c r="AK370" s="23">
        <v>256.45999999999998</v>
      </c>
      <c r="AL370" s="23"/>
      <c r="AM370" s="24"/>
      <c r="AN370" s="23"/>
      <c r="AO370" s="24"/>
      <c r="AP370" s="23"/>
      <c r="AQ370" s="24"/>
      <c r="AR370" s="23">
        <v>3.4699999999999998</v>
      </c>
      <c r="AS370" s="23">
        <v>-984</v>
      </c>
      <c r="AT370" s="23"/>
      <c r="AU370" s="24"/>
      <c r="AW370" s="27">
        <f t="shared" si="67"/>
        <v>1137.5603699999999</v>
      </c>
      <c r="AX370" s="27">
        <f t="shared" si="68"/>
        <v>3.8403700000000001</v>
      </c>
      <c r="AY370" s="27">
        <f t="shared" si="69"/>
        <v>8.4903699999999986</v>
      </c>
      <c r="AZ370" s="27">
        <f t="shared" si="70"/>
        <v>3.6999999999999999E-4</v>
      </c>
    </row>
    <row r="371" spans="1:52" ht="15" customHeight="1" x14ac:dyDescent="0.25">
      <c r="A371" s="13" t="str">
        <f>VLOOKUP(L371,[1]VALIDAÇÃO!$D$13:$E$350,2,0)</f>
        <v>DIRETO</v>
      </c>
      <c r="B371" s="14" t="str">
        <f t="shared" si="72"/>
        <v>6CONDOMINIO DO EDIFICIO EMPRESARIAL MARIE CURIE</v>
      </c>
      <c r="C371" s="15">
        <f t="shared" si="71"/>
        <v>6</v>
      </c>
      <c r="D371" s="16" t="str">
        <f t="shared" si="73"/>
        <v>94CONDOMINIO DO EDIFICIO EMPRESARIAL MARIE CURIE</v>
      </c>
      <c r="E371" s="17">
        <f t="shared" si="64"/>
        <v>94</v>
      </c>
      <c r="F371" s="18" t="str">
        <f t="shared" si="74"/>
        <v>91CONDOMINIO DO EDIFICIO EMPRESARIAL MARIE CURIE</v>
      </c>
      <c r="G371" s="18">
        <f t="shared" si="65"/>
        <v>91</v>
      </c>
      <c r="H371" s="19" t="str">
        <f t="shared" si="75"/>
        <v>82CONDOMINIO DO EDIFICIO EMPRESARIAL MARIE CURIE</v>
      </c>
      <c r="I371" s="19">
        <f t="shared" si="66"/>
        <v>82</v>
      </c>
      <c r="J371" s="13" t="s">
        <v>57</v>
      </c>
      <c r="K371" s="13" t="s">
        <v>481</v>
      </c>
      <c r="L371" s="13" t="s">
        <v>66</v>
      </c>
      <c r="M371" s="13" t="s">
        <v>60</v>
      </c>
      <c r="N371" s="20">
        <v>1765.98</v>
      </c>
      <c r="O371" s="20">
        <v>2156</v>
      </c>
      <c r="P371" s="21">
        <v>45355</v>
      </c>
      <c r="Q371" s="22"/>
      <c r="R371" s="23">
        <v>2156</v>
      </c>
      <c r="S371" s="24"/>
      <c r="T371" s="23"/>
      <c r="U371" s="24"/>
      <c r="V371" s="23"/>
      <c r="W371" s="23"/>
      <c r="X371" s="24"/>
      <c r="Y371" s="23"/>
      <c r="Z371" s="23"/>
      <c r="AA371" s="23">
        <v>0.94</v>
      </c>
      <c r="AB371" s="23">
        <v>2.2799999999999998</v>
      </c>
      <c r="AC371" s="24">
        <v>7.66</v>
      </c>
      <c r="AD371" s="23">
        <v>39.050000000000004</v>
      </c>
      <c r="AE371" s="24">
        <v>145.36714285714285</v>
      </c>
      <c r="AF371" s="23"/>
      <c r="AG371" s="23"/>
      <c r="AH371" s="23">
        <v>4.8100000000000005</v>
      </c>
      <c r="AI371" s="24">
        <v>0</v>
      </c>
      <c r="AJ371" s="25">
        <v>1694.62</v>
      </c>
      <c r="AK371" s="23">
        <v>362.82</v>
      </c>
      <c r="AL371" s="23"/>
      <c r="AM371" s="24"/>
      <c r="AN371" s="23"/>
      <c r="AO371" s="24"/>
      <c r="AP371" s="23"/>
      <c r="AQ371" s="24"/>
      <c r="AR371" s="23">
        <v>6.9600000000000009</v>
      </c>
      <c r="AS371" s="23">
        <v>-924</v>
      </c>
      <c r="AT371" s="23"/>
      <c r="AU371" s="24"/>
      <c r="AW371" s="27">
        <f t="shared" si="67"/>
        <v>1694.620371</v>
      </c>
      <c r="AX371" s="27">
        <f t="shared" si="68"/>
        <v>39.050371000000005</v>
      </c>
      <c r="AY371" s="27">
        <f t="shared" si="69"/>
        <v>2.2803709999999997</v>
      </c>
      <c r="AZ371" s="27">
        <f t="shared" si="70"/>
        <v>3.7100000000000002E-4</v>
      </c>
    </row>
    <row r="372" spans="1:52" ht="15" customHeight="1" x14ac:dyDescent="0.25">
      <c r="A372" s="13" t="str">
        <f>VLOOKUP(L372,[1]VALIDAÇÃO!$D$13:$E$350,2,0)</f>
        <v>DIRETO</v>
      </c>
      <c r="B372" s="14" t="str">
        <f t="shared" si="72"/>
        <v>49CONDOMINIO DO EDIFICIO EMPRESARIAL MARIE CURIE</v>
      </c>
      <c r="C372" s="15">
        <f t="shared" si="71"/>
        <v>49</v>
      </c>
      <c r="D372" s="16" t="str">
        <f t="shared" si="73"/>
        <v>9CONDOMINIO DO EDIFICIO EMPRESARIAL MARIE CURIE</v>
      </c>
      <c r="E372" s="17">
        <f t="shared" si="64"/>
        <v>9</v>
      </c>
      <c r="F372" s="18" t="str">
        <f t="shared" si="74"/>
        <v>38CONDOMINIO DO EDIFICIO EMPRESARIAL MARIE CURIE</v>
      </c>
      <c r="G372" s="18">
        <f t="shared" si="65"/>
        <v>38</v>
      </c>
      <c r="H372" s="19" t="str">
        <f t="shared" si="75"/>
        <v>81CONDOMINIO DO EDIFICIO EMPRESARIAL MARIE CURIE</v>
      </c>
      <c r="I372" s="19">
        <f t="shared" si="66"/>
        <v>81</v>
      </c>
      <c r="J372" s="13" t="s">
        <v>57</v>
      </c>
      <c r="K372" s="13" t="s">
        <v>482</v>
      </c>
      <c r="L372" s="13" t="s">
        <v>63</v>
      </c>
      <c r="M372" s="13" t="s">
        <v>60</v>
      </c>
      <c r="N372" s="20">
        <v>1322.43</v>
      </c>
      <c r="O372" s="20">
        <v>2156</v>
      </c>
      <c r="P372" s="21">
        <v>45453</v>
      </c>
      <c r="Q372" s="22"/>
      <c r="R372" s="23">
        <v>2156</v>
      </c>
      <c r="S372" s="24"/>
      <c r="T372" s="23"/>
      <c r="U372" s="24"/>
      <c r="V372" s="23"/>
      <c r="W372" s="23">
        <v>0.22</v>
      </c>
      <c r="X372" s="24">
        <v>6.25</v>
      </c>
      <c r="Y372" s="23"/>
      <c r="Z372" s="23"/>
      <c r="AA372" s="23">
        <v>5.29</v>
      </c>
      <c r="AB372" s="23">
        <v>107.74000000000001</v>
      </c>
      <c r="AC372" s="24">
        <v>500.24142857142857</v>
      </c>
      <c r="AD372" s="23">
        <v>524.82000000000005</v>
      </c>
      <c r="AE372" s="24">
        <v>2053.4285714285716</v>
      </c>
      <c r="AF372" s="23"/>
      <c r="AG372" s="23"/>
      <c r="AH372" s="23">
        <v>25.39</v>
      </c>
      <c r="AI372" s="24">
        <v>0</v>
      </c>
      <c r="AJ372" s="25">
        <v>530.85</v>
      </c>
      <c r="AK372" s="23">
        <v>115.10000000000001</v>
      </c>
      <c r="AL372" s="23"/>
      <c r="AM372" s="24"/>
      <c r="AN372" s="23"/>
      <c r="AO372" s="24"/>
      <c r="AP372" s="23"/>
      <c r="AQ372" s="24"/>
      <c r="AR372" s="23">
        <v>107.03</v>
      </c>
      <c r="AS372" s="23">
        <v>-924</v>
      </c>
      <c r="AT372" s="23"/>
      <c r="AU372" s="24"/>
      <c r="AW372" s="27">
        <f t="shared" si="67"/>
        <v>530.85037199999999</v>
      </c>
      <c r="AX372" s="27">
        <f t="shared" si="68"/>
        <v>524.82037200000002</v>
      </c>
      <c r="AY372" s="27">
        <f t="shared" si="69"/>
        <v>107.74037200000001</v>
      </c>
      <c r="AZ372" s="27">
        <f t="shared" si="70"/>
        <v>3.7199999999999999E-4</v>
      </c>
    </row>
    <row r="373" spans="1:52" ht="15" customHeight="1" x14ac:dyDescent="0.25">
      <c r="A373" s="13" t="str">
        <f>VLOOKUP(L373,[1]VALIDAÇÃO!$D$13:$E$350,2,0)</f>
        <v>DIRETO</v>
      </c>
      <c r="B373" s="14" t="str">
        <f t="shared" si="72"/>
        <v>139RIO AVE CARNEIROS 01 SPE LTDA.</v>
      </c>
      <c r="C373" s="15">
        <f t="shared" si="71"/>
        <v>139</v>
      </c>
      <c r="D373" s="16" t="str">
        <f t="shared" si="73"/>
        <v>130RIO AVE CARNEIROS 01 SPE LTDA.</v>
      </c>
      <c r="E373" s="17">
        <f t="shared" si="64"/>
        <v>130</v>
      </c>
      <c r="F373" s="18" t="str">
        <f t="shared" si="74"/>
        <v>139RIO AVE CARNEIROS 01 SPE LTDA.</v>
      </c>
      <c r="G373" s="18">
        <f t="shared" si="65"/>
        <v>139</v>
      </c>
      <c r="H373" s="19" t="str">
        <f t="shared" si="75"/>
        <v>115RIO AVE CARNEIROS 01 SPE LTDA.</v>
      </c>
      <c r="I373" s="19">
        <f t="shared" si="66"/>
        <v>115</v>
      </c>
      <c r="J373" s="13" t="s">
        <v>61</v>
      </c>
      <c r="K373" s="13" t="s">
        <v>483</v>
      </c>
      <c r="L373" s="13" t="s">
        <v>63</v>
      </c>
      <c r="M373" s="13" t="s">
        <v>55</v>
      </c>
      <c r="N373" s="20">
        <v>801.3</v>
      </c>
      <c r="O373" s="20">
        <v>1925</v>
      </c>
      <c r="P373" s="21">
        <v>45995</v>
      </c>
      <c r="Q373" s="22"/>
      <c r="R373" s="23">
        <v>1925</v>
      </c>
      <c r="S373" s="24"/>
      <c r="T373" s="23"/>
      <c r="U373" s="24"/>
      <c r="V373" s="23"/>
      <c r="W373" s="23"/>
      <c r="X373" s="24"/>
      <c r="Y373" s="23"/>
      <c r="Z373" s="23"/>
      <c r="AA373" s="23"/>
      <c r="AB373" s="23"/>
      <c r="AC373" s="24"/>
      <c r="AD373" s="23">
        <v>3.27</v>
      </c>
      <c r="AE373" s="24">
        <v>11</v>
      </c>
      <c r="AF373" s="23"/>
      <c r="AG373" s="23"/>
      <c r="AH373" s="23"/>
      <c r="AI373" s="24"/>
      <c r="AJ373" s="25"/>
      <c r="AK373" s="23"/>
      <c r="AL373" s="23"/>
      <c r="AM373" s="24"/>
      <c r="AN373" s="23"/>
      <c r="AO373" s="24"/>
      <c r="AP373" s="23"/>
      <c r="AQ373" s="24"/>
      <c r="AR373" s="23">
        <v>0.82</v>
      </c>
      <c r="AS373" s="23">
        <v>-924</v>
      </c>
      <c r="AT373" s="23"/>
      <c r="AU373" s="24"/>
      <c r="AW373" s="27">
        <f t="shared" si="67"/>
        <v>3.7300000000000001E-4</v>
      </c>
      <c r="AX373" s="27">
        <f t="shared" si="68"/>
        <v>3.2703730000000002</v>
      </c>
      <c r="AY373" s="27">
        <f t="shared" si="69"/>
        <v>3.7300000000000001E-4</v>
      </c>
      <c r="AZ373" s="27">
        <f t="shared" si="70"/>
        <v>3.7300000000000001E-4</v>
      </c>
    </row>
    <row r="374" spans="1:52" ht="15" customHeight="1" x14ac:dyDescent="0.25">
      <c r="A374" s="13" t="str">
        <f>VLOOKUP(L374,[1]VALIDAÇÃO!$D$13:$E$350,2,0)</f>
        <v>DIRETO</v>
      </c>
      <c r="B374" s="14" t="str">
        <f t="shared" si="72"/>
        <v>1RESERVA DO PAIVA SPE 03 LTDA</v>
      </c>
      <c r="C374" s="15">
        <f t="shared" si="71"/>
        <v>1</v>
      </c>
      <c r="D374" s="16" t="str">
        <f t="shared" si="73"/>
        <v>47RESERVA DO PAIVA SPE 03 LTDA</v>
      </c>
      <c r="E374" s="17">
        <f t="shared" si="64"/>
        <v>47</v>
      </c>
      <c r="F374" s="18" t="str">
        <f t="shared" si="74"/>
        <v>65RESERVA DO PAIVA SPE 03 LTDA</v>
      </c>
      <c r="G374" s="18">
        <f t="shared" si="65"/>
        <v>65</v>
      </c>
      <c r="H374" s="19" t="str">
        <f t="shared" si="75"/>
        <v>78RESERVA DO PAIVA SPE 03 LTDA</v>
      </c>
      <c r="I374" s="19">
        <f t="shared" si="66"/>
        <v>78</v>
      </c>
      <c r="J374" s="13" t="s">
        <v>52</v>
      </c>
      <c r="K374" s="13" t="s">
        <v>484</v>
      </c>
      <c r="L374" s="13" t="s">
        <v>59</v>
      </c>
      <c r="M374" s="13" t="s">
        <v>55</v>
      </c>
      <c r="N374" s="20">
        <v>2235.34</v>
      </c>
      <c r="O374" s="20">
        <v>2156</v>
      </c>
      <c r="P374" s="21">
        <v>45453</v>
      </c>
      <c r="Q374" s="22"/>
      <c r="R374" s="23">
        <v>2156</v>
      </c>
      <c r="S374" s="24"/>
      <c r="T374" s="23"/>
      <c r="U374" s="24"/>
      <c r="V374" s="23"/>
      <c r="W374" s="23"/>
      <c r="X374" s="24"/>
      <c r="Y374" s="23"/>
      <c r="Z374" s="23"/>
      <c r="AA374" s="23">
        <v>14.17</v>
      </c>
      <c r="AB374" s="23">
        <v>131.94</v>
      </c>
      <c r="AC374" s="24">
        <v>512.62142857142851</v>
      </c>
      <c r="AD374" s="23">
        <v>330.72</v>
      </c>
      <c r="AE374" s="24">
        <v>1323.5128571428572</v>
      </c>
      <c r="AF374" s="23"/>
      <c r="AG374" s="23"/>
      <c r="AH374" s="23">
        <v>64.81</v>
      </c>
      <c r="AI374" s="24">
        <v>0</v>
      </c>
      <c r="AJ374" s="25">
        <v>1756.99</v>
      </c>
      <c r="AK374" s="23">
        <v>387.02</v>
      </c>
      <c r="AL374" s="23">
        <v>-30.98</v>
      </c>
      <c r="AM374" s="24">
        <v>177</v>
      </c>
      <c r="AN374" s="23"/>
      <c r="AO374" s="24"/>
      <c r="AP374" s="23">
        <v>13.72</v>
      </c>
      <c r="AQ374" s="24">
        <v>39.200000000000003</v>
      </c>
      <c r="AR374" s="23">
        <v>99.11</v>
      </c>
      <c r="AS374" s="23">
        <v>-998</v>
      </c>
      <c r="AT374" s="23"/>
      <c r="AU374" s="24"/>
      <c r="AW374" s="27">
        <f t="shared" si="67"/>
        <v>1756.990374</v>
      </c>
      <c r="AX374" s="27">
        <f t="shared" si="68"/>
        <v>330.72037400000005</v>
      </c>
      <c r="AY374" s="27">
        <f t="shared" si="69"/>
        <v>131.94037399999999</v>
      </c>
      <c r="AZ374" s="27">
        <f t="shared" si="70"/>
        <v>13.720374000000001</v>
      </c>
    </row>
    <row r="375" spans="1:52" ht="15" customHeight="1" x14ac:dyDescent="0.25">
      <c r="A375" s="13" t="str">
        <f>VLOOKUP(L375,[1]VALIDAÇÃO!$D$13:$E$350,2,0)</f>
        <v>DIRETO</v>
      </c>
      <c r="B375" s="14" t="str">
        <f t="shared" si="72"/>
        <v>19RIO AVE 130 SPE LTDA</v>
      </c>
      <c r="C375" s="15">
        <f t="shared" si="71"/>
        <v>19</v>
      </c>
      <c r="D375" s="16" t="str">
        <f t="shared" si="73"/>
        <v>46RIO AVE 130 SPE LTDA</v>
      </c>
      <c r="E375" s="17">
        <f t="shared" si="64"/>
        <v>46</v>
      </c>
      <c r="F375" s="18" t="str">
        <f t="shared" si="74"/>
        <v>41RIO AVE 130 SPE LTDA</v>
      </c>
      <c r="G375" s="18">
        <f t="shared" si="65"/>
        <v>41</v>
      </c>
      <c r="H375" s="19" t="str">
        <f t="shared" si="75"/>
        <v>20RIO AVE 130 SPE LTDA</v>
      </c>
      <c r="I375" s="19">
        <f t="shared" si="66"/>
        <v>20</v>
      </c>
      <c r="J375" s="13" t="s">
        <v>102</v>
      </c>
      <c r="K375" s="13" t="s">
        <v>485</v>
      </c>
      <c r="L375" s="13" t="s">
        <v>92</v>
      </c>
      <c r="M375" s="13" t="s">
        <v>55</v>
      </c>
      <c r="N375" s="20">
        <v>1764.96</v>
      </c>
      <c r="O375" s="20">
        <v>2156</v>
      </c>
      <c r="P375" s="21">
        <v>45922</v>
      </c>
      <c r="Q375" s="22"/>
      <c r="R375" s="23">
        <v>2156</v>
      </c>
      <c r="S375" s="24"/>
      <c r="T375" s="23"/>
      <c r="U375" s="24"/>
      <c r="V375" s="23"/>
      <c r="W375" s="23"/>
      <c r="X375" s="24"/>
      <c r="Y375" s="23"/>
      <c r="Z375" s="23"/>
      <c r="AA375" s="23">
        <v>5.76</v>
      </c>
      <c r="AB375" s="23">
        <v>107.69999999999999</v>
      </c>
      <c r="AC375" s="24">
        <v>362</v>
      </c>
      <c r="AD375" s="23">
        <v>12.500000000000002</v>
      </c>
      <c r="AE375" s="24">
        <v>171.42857142857142</v>
      </c>
      <c r="AF375" s="23"/>
      <c r="AG375" s="23"/>
      <c r="AH375" s="23">
        <v>25.98</v>
      </c>
      <c r="AI375" s="24">
        <v>0</v>
      </c>
      <c r="AJ375" s="25">
        <v>755</v>
      </c>
      <c r="AK375" s="23">
        <v>168.68</v>
      </c>
      <c r="AL375" s="23">
        <v>-106.22999999999998</v>
      </c>
      <c r="AM375" s="24">
        <v>607</v>
      </c>
      <c r="AN375" s="23"/>
      <c r="AO375" s="24"/>
      <c r="AP375" s="23">
        <v>124.6</v>
      </c>
      <c r="AQ375" s="24">
        <v>356</v>
      </c>
      <c r="AR375" s="23">
        <v>54.31</v>
      </c>
      <c r="AS375" s="23">
        <v>-924</v>
      </c>
      <c r="AT375" s="23"/>
      <c r="AU375" s="24"/>
      <c r="AW375" s="27">
        <f t="shared" si="67"/>
        <v>755.00037499999996</v>
      </c>
      <c r="AX375" s="27">
        <f t="shared" si="68"/>
        <v>12.500375000000002</v>
      </c>
      <c r="AY375" s="27">
        <f t="shared" si="69"/>
        <v>107.70037499999999</v>
      </c>
      <c r="AZ375" s="27">
        <f t="shared" si="70"/>
        <v>124.600375</v>
      </c>
    </row>
    <row r="376" spans="1:52" ht="15" customHeight="1" x14ac:dyDescent="0.25">
      <c r="A376" s="13" t="str">
        <f>VLOOKUP(L376,[1]VALIDAÇÃO!$D$13:$E$350,2,0)</f>
        <v>DIRETO</v>
      </c>
      <c r="B376" s="14" t="str">
        <f t="shared" si="72"/>
        <v>33RESERVA DO PAIVA SPE 01 LTDA.</v>
      </c>
      <c r="C376" s="15">
        <f t="shared" si="71"/>
        <v>33</v>
      </c>
      <c r="D376" s="16" t="str">
        <f t="shared" si="73"/>
        <v>20RESERVA DO PAIVA SPE 01 LTDA.</v>
      </c>
      <c r="E376" s="17">
        <f t="shared" si="64"/>
        <v>20</v>
      </c>
      <c r="F376" s="18" t="str">
        <f t="shared" si="74"/>
        <v>12RESERVA DO PAIVA SPE 01 LTDA.</v>
      </c>
      <c r="G376" s="18">
        <f t="shared" si="65"/>
        <v>12</v>
      </c>
      <c r="H376" s="19" t="str">
        <f t="shared" si="75"/>
        <v>30RESERVA DO PAIVA SPE 01 LTDA.</v>
      </c>
      <c r="I376" s="19">
        <f t="shared" si="66"/>
        <v>30</v>
      </c>
      <c r="J376" s="13" t="s">
        <v>68</v>
      </c>
      <c r="K376" s="13" t="s">
        <v>486</v>
      </c>
      <c r="L376" s="13" t="s">
        <v>54</v>
      </c>
      <c r="M376" s="13" t="s">
        <v>55</v>
      </c>
      <c r="N376" s="20">
        <v>2157.5300000000002</v>
      </c>
      <c r="O376" s="20">
        <v>1622.13</v>
      </c>
      <c r="P376" s="21">
        <v>45516</v>
      </c>
      <c r="Q376" s="22"/>
      <c r="R376" s="23">
        <v>1622.13</v>
      </c>
      <c r="S376" s="24"/>
      <c r="T376" s="23"/>
      <c r="U376" s="24"/>
      <c r="V376" s="23"/>
      <c r="W376" s="23"/>
      <c r="X376" s="24"/>
      <c r="Y376" s="23"/>
      <c r="Z376" s="23"/>
      <c r="AA376" s="23">
        <v>29.889999999999997</v>
      </c>
      <c r="AB376" s="23">
        <v>474.5</v>
      </c>
      <c r="AC376" s="24">
        <v>2422.8871428571429</v>
      </c>
      <c r="AD376" s="23">
        <v>650.94000000000005</v>
      </c>
      <c r="AE376" s="24">
        <v>3301.6000000000004</v>
      </c>
      <c r="AF376" s="23"/>
      <c r="AG376" s="23"/>
      <c r="AH376" s="23">
        <v>134.44999999999999</v>
      </c>
      <c r="AI376" s="24">
        <v>0</v>
      </c>
      <c r="AJ376" s="25">
        <v>765.93000000000006</v>
      </c>
      <c r="AK376" s="23">
        <v>168.38</v>
      </c>
      <c r="AL376" s="23"/>
      <c r="AM376" s="24"/>
      <c r="AN376" s="23"/>
      <c r="AO376" s="24"/>
      <c r="AP376" s="23">
        <v>408.39000000000004</v>
      </c>
      <c r="AQ376" s="24">
        <v>1724.5671428571429</v>
      </c>
      <c r="AR376" s="23">
        <v>336.27</v>
      </c>
      <c r="AS376" s="23">
        <v>-695.2</v>
      </c>
      <c r="AT376" s="23"/>
      <c r="AU376" s="24"/>
      <c r="AW376" s="27">
        <f t="shared" si="67"/>
        <v>765.93037600000002</v>
      </c>
      <c r="AX376" s="27">
        <f t="shared" si="68"/>
        <v>650.94037600000001</v>
      </c>
      <c r="AY376" s="27">
        <f t="shared" si="69"/>
        <v>474.50037600000002</v>
      </c>
      <c r="AZ376" s="27">
        <f t="shared" si="70"/>
        <v>408.39037600000006</v>
      </c>
    </row>
    <row r="377" spans="1:52" ht="15" customHeight="1" x14ac:dyDescent="0.25">
      <c r="A377" s="13" t="str">
        <f>VLOOKUP(L377,[1]VALIDAÇÃO!$D$13:$E$350,2,0)</f>
        <v>DIRETO</v>
      </c>
      <c r="B377" s="14" t="str">
        <f t="shared" si="72"/>
        <v>51RESERVA DO PAIVA SPE 01 LTDA.</v>
      </c>
      <c r="C377" s="15">
        <f t="shared" si="71"/>
        <v>51</v>
      </c>
      <c r="D377" s="16" t="str">
        <f t="shared" si="73"/>
        <v>14RESERVA DO PAIVA SPE 01 LTDA.</v>
      </c>
      <c r="E377" s="17">
        <f t="shared" si="64"/>
        <v>14</v>
      </c>
      <c r="F377" s="18" t="str">
        <f t="shared" si="74"/>
        <v>64RESERVA DO PAIVA SPE 01 LTDA.</v>
      </c>
      <c r="G377" s="18">
        <f t="shared" si="65"/>
        <v>64</v>
      </c>
      <c r="H377" s="19" t="str">
        <f t="shared" si="75"/>
        <v>70RESERVA DO PAIVA SPE 01 LTDA.</v>
      </c>
      <c r="I377" s="19">
        <f t="shared" si="66"/>
        <v>70</v>
      </c>
      <c r="J377" s="13" t="s">
        <v>68</v>
      </c>
      <c r="K377" s="13" t="s">
        <v>487</v>
      </c>
      <c r="L377" s="13" t="s">
        <v>54</v>
      </c>
      <c r="M377" s="13" t="s">
        <v>55</v>
      </c>
      <c r="N377" s="20">
        <v>1839.98</v>
      </c>
      <c r="O377" s="20">
        <v>1622.13</v>
      </c>
      <c r="P377" s="21">
        <v>45355</v>
      </c>
      <c r="Q377" s="22"/>
      <c r="R377" s="23">
        <v>1622.13</v>
      </c>
      <c r="S377" s="24"/>
      <c r="T377" s="23"/>
      <c r="U377" s="24"/>
      <c r="V377" s="23"/>
      <c r="W377" s="23"/>
      <c r="X377" s="24"/>
      <c r="Y377" s="23"/>
      <c r="Z377" s="23"/>
      <c r="AA377" s="23">
        <v>14.290000000000001</v>
      </c>
      <c r="AB377" s="23">
        <v>80.03</v>
      </c>
      <c r="AC377" s="24">
        <v>402.99</v>
      </c>
      <c r="AD377" s="23">
        <v>790.99</v>
      </c>
      <c r="AE377" s="24">
        <v>3774.5328571428572</v>
      </c>
      <c r="AF377" s="23"/>
      <c r="AG377" s="23"/>
      <c r="AH377" s="23">
        <v>64.39</v>
      </c>
      <c r="AI377" s="24">
        <v>0</v>
      </c>
      <c r="AJ377" s="25">
        <v>535.74</v>
      </c>
      <c r="AK377" s="23">
        <v>117.62</v>
      </c>
      <c r="AL377" s="23"/>
      <c r="AM377" s="24"/>
      <c r="AN377" s="23"/>
      <c r="AO377" s="24"/>
      <c r="AP377" s="23">
        <v>157.92000000000002</v>
      </c>
      <c r="AQ377" s="24">
        <v>599.70000000000005</v>
      </c>
      <c r="AR377" s="23">
        <v>223.04000000000002</v>
      </c>
      <c r="AS377" s="23">
        <v>-791.6</v>
      </c>
      <c r="AT377" s="23"/>
      <c r="AU377" s="24"/>
      <c r="AW377" s="27">
        <f t="shared" si="67"/>
        <v>535.74037699999997</v>
      </c>
      <c r="AX377" s="27">
        <f t="shared" si="68"/>
        <v>790.99037699999997</v>
      </c>
      <c r="AY377" s="27">
        <f t="shared" si="69"/>
        <v>80.030377000000001</v>
      </c>
      <c r="AZ377" s="27">
        <f t="shared" si="70"/>
        <v>157.920377</v>
      </c>
    </row>
    <row r="378" spans="1:52" ht="15" customHeight="1" x14ac:dyDescent="0.25">
      <c r="A378" s="13" t="str">
        <f>VLOOKUP(L378,[1]VALIDAÇÃO!$D$13:$E$350,2,0)</f>
        <v>DIRETO</v>
      </c>
      <c r="B378" s="14" t="str">
        <f t="shared" si="72"/>
        <v>103RESERVA DO PAIVA SPE 03 LTDA</v>
      </c>
      <c r="C378" s="15">
        <f t="shared" si="71"/>
        <v>103</v>
      </c>
      <c r="D378" s="16" t="str">
        <f t="shared" si="73"/>
        <v>127RESERVA DO PAIVA SPE 03 LTDA</v>
      </c>
      <c r="E378" s="17">
        <f t="shared" si="64"/>
        <v>127</v>
      </c>
      <c r="F378" s="18" t="str">
        <f t="shared" si="74"/>
        <v>102RESERVA DO PAIVA SPE 03 LTDA</v>
      </c>
      <c r="G378" s="18">
        <f t="shared" si="65"/>
        <v>102</v>
      </c>
      <c r="H378" s="19" t="str">
        <f t="shared" si="75"/>
        <v>123RESERVA DO PAIVA SPE 03 LTDA</v>
      </c>
      <c r="I378" s="19">
        <f t="shared" si="66"/>
        <v>123</v>
      </c>
      <c r="J378" s="13" t="s">
        <v>52</v>
      </c>
      <c r="K378" s="13" t="s">
        <v>487</v>
      </c>
      <c r="L378" s="13" t="s">
        <v>54</v>
      </c>
      <c r="M378" s="13" t="s">
        <v>55</v>
      </c>
      <c r="N378" s="20">
        <v>717.14</v>
      </c>
      <c r="O378" s="20">
        <v>1622.13</v>
      </c>
      <c r="P378" s="21">
        <v>45880</v>
      </c>
      <c r="Q378" s="22"/>
      <c r="R378" s="23">
        <v>1622.13</v>
      </c>
      <c r="S378" s="24"/>
      <c r="T378" s="23"/>
      <c r="U378" s="24"/>
      <c r="V378" s="23"/>
      <c r="W378" s="23"/>
      <c r="X378" s="24"/>
      <c r="Y378" s="23"/>
      <c r="Z378" s="23"/>
      <c r="AA378" s="23">
        <v>0.18</v>
      </c>
      <c r="AB378" s="23">
        <v>42.309999999999995</v>
      </c>
      <c r="AC378" s="24">
        <v>522.62857142857138</v>
      </c>
      <c r="AD378" s="23">
        <v>46.68</v>
      </c>
      <c r="AE378" s="24">
        <v>576.67142857142858</v>
      </c>
      <c r="AF378" s="23"/>
      <c r="AG378" s="23"/>
      <c r="AH378" s="23">
        <v>0.89</v>
      </c>
      <c r="AI378" s="24">
        <v>0</v>
      </c>
      <c r="AJ378" s="25">
        <v>113.89999999999999</v>
      </c>
      <c r="AK378" s="23">
        <v>25.68</v>
      </c>
      <c r="AL378" s="23"/>
      <c r="AM378" s="24"/>
      <c r="AN378" s="23"/>
      <c r="AO378" s="24"/>
      <c r="AP378" s="23"/>
      <c r="AQ378" s="24"/>
      <c r="AR378" s="23">
        <v>16.16</v>
      </c>
      <c r="AS378" s="23">
        <v>-695.2</v>
      </c>
      <c r="AT378" s="23"/>
      <c r="AU378" s="24"/>
      <c r="AW378" s="27">
        <f t="shared" si="67"/>
        <v>113.90037799999999</v>
      </c>
      <c r="AX378" s="27">
        <f t="shared" si="68"/>
        <v>46.680377999999997</v>
      </c>
      <c r="AY378" s="27">
        <f t="shared" si="69"/>
        <v>42.310377999999993</v>
      </c>
      <c r="AZ378" s="27">
        <f t="shared" si="70"/>
        <v>3.7800000000000003E-4</v>
      </c>
    </row>
    <row r="379" spans="1:52" ht="15" customHeight="1" x14ac:dyDescent="0.25">
      <c r="A379" s="13" t="str">
        <f>VLOOKUP(L379,[1]VALIDAÇÃO!$D$13:$E$350,2,0)</f>
        <v>DIRETO</v>
      </c>
      <c r="B379" s="14" t="str">
        <f t="shared" si="72"/>
        <v>38CONDOMINIO DO EDIFICIO EMPRESARIAL MARIE CURIE</v>
      </c>
      <c r="C379" s="15">
        <f t="shared" si="71"/>
        <v>38</v>
      </c>
      <c r="D379" s="16" t="str">
        <f t="shared" si="73"/>
        <v>99CONDOMINIO DO EDIFICIO EMPRESARIAL MARIE CURIE</v>
      </c>
      <c r="E379" s="17">
        <f t="shared" si="64"/>
        <v>99</v>
      </c>
      <c r="F379" s="18" t="str">
        <f t="shared" si="74"/>
        <v>54CONDOMINIO DO EDIFICIO EMPRESARIAL MARIE CURIE</v>
      </c>
      <c r="G379" s="18">
        <f t="shared" si="65"/>
        <v>54</v>
      </c>
      <c r="H379" s="19" t="str">
        <f t="shared" si="75"/>
        <v>39CONDOMINIO DO EDIFICIO EMPRESARIAL MARIE CURIE</v>
      </c>
      <c r="I379" s="19">
        <f t="shared" si="66"/>
        <v>39</v>
      </c>
      <c r="J379" s="13" t="s">
        <v>57</v>
      </c>
      <c r="K379" s="13" t="s">
        <v>488</v>
      </c>
      <c r="L379" s="13" t="s">
        <v>54</v>
      </c>
      <c r="M379" s="13" t="s">
        <v>60</v>
      </c>
      <c r="N379" s="20">
        <v>958.44</v>
      </c>
      <c r="O379" s="20">
        <v>1622.13</v>
      </c>
      <c r="P379" s="21">
        <v>45443</v>
      </c>
      <c r="Q379" s="22"/>
      <c r="R379" s="23">
        <v>1622.13</v>
      </c>
      <c r="S379" s="24"/>
      <c r="T379" s="23"/>
      <c r="U379" s="24"/>
      <c r="V379" s="23"/>
      <c r="W379" s="23"/>
      <c r="X379" s="24"/>
      <c r="Y379" s="23"/>
      <c r="Z379" s="23"/>
      <c r="AA379" s="23">
        <v>1.1600000000000001</v>
      </c>
      <c r="AB379" s="23">
        <v>64.430000000000007</v>
      </c>
      <c r="AC379" s="24">
        <v>395.07142857142856</v>
      </c>
      <c r="AD379" s="23">
        <v>23.72</v>
      </c>
      <c r="AE379" s="24">
        <v>160.20714285714286</v>
      </c>
      <c r="AF379" s="23"/>
      <c r="AG379" s="23"/>
      <c r="AH379" s="23">
        <v>5.7399999999999993</v>
      </c>
      <c r="AI379" s="24">
        <v>0</v>
      </c>
      <c r="AJ379" s="25">
        <v>614.16000000000008</v>
      </c>
      <c r="AK379" s="23">
        <v>130.23000000000002</v>
      </c>
      <c r="AL379" s="23"/>
      <c r="AM379" s="24"/>
      <c r="AN379" s="23"/>
      <c r="AO379" s="24"/>
      <c r="AP379" s="23">
        <v>1.1000000000000001</v>
      </c>
      <c r="AQ379" s="24">
        <v>12.988571428571428</v>
      </c>
      <c r="AR379" s="23">
        <v>16.580000000000002</v>
      </c>
      <c r="AS379" s="23">
        <v>-695.2</v>
      </c>
      <c r="AT379" s="23"/>
      <c r="AU379" s="24"/>
      <c r="AW379" s="27">
        <f t="shared" si="67"/>
        <v>614.16037900000003</v>
      </c>
      <c r="AX379" s="27">
        <f t="shared" si="68"/>
        <v>23.720378999999998</v>
      </c>
      <c r="AY379" s="27">
        <f t="shared" si="69"/>
        <v>64.430379000000002</v>
      </c>
      <c r="AZ379" s="27">
        <f t="shared" si="70"/>
        <v>1.100379</v>
      </c>
    </row>
    <row r="380" spans="1:52" ht="15" customHeight="1" x14ac:dyDescent="0.25">
      <c r="A380" s="13" t="str">
        <f>VLOOKUP(L380,[1]VALIDAÇÃO!$D$13:$E$350,2,0)</f>
        <v>DIRETO</v>
      </c>
      <c r="B380" s="14" t="str">
        <f t="shared" si="72"/>
        <v>55RIO AVE 130 SPE LTDA</v>
      </c>
      <c r="C380" s="15">
        <f t="shared" si="71"/>
        <v>55</v>
      </c>
      <c r="D380" s="16" t="str">
        <f t="shared" si="73"/>
        <v>11RIO AVE 130 SPE LTDA</v>
      </c>
      <c r="E380" s="17">
        <f t="shared" si="64"/>
        <v>11</v>
      </c>
      <c r="F380" s="18" t="str">
        <f t="shared" si="74"/>
        <v>2RIO AVE 130 SPE LTDA</v>
      </c>
      <c r="G380" s="18">
        <f t="shared" si="65"/>
        <v>2</v>
      </c>
      <c r="H380" s="19" t="str">
        <f t="shared" si="75"/>
        <v>12RIO AVE 130 SPE LTDA</v>
      </c>
      <c r="I380" s="19">
        <f t="shared" si="66"/>
        <v>12</v>
      </c>
      <c r="J380" s="13" t="s">
        <v>102</v>
      </c>
      <c r="K380" s="13" t="s">
        <v>489</v>
      </c>
      <c r="L380" s="13" t="s">
        <v>66</v>
      </c>
      <c r="M380" s="13" t="s">
        <v>55</v>
      </c>
      <c r="N380" s="20">
        <v>1680.72</v>
      </c>
      <c r="O380" s="20">
        <v>2156</v>
      </c>
      <c r="P380" s="21">
        <v>44987</v>
      </c>
      <c r="Q380" s="22"/>
      <c r="R380" s="23">
        <v>2156</v>
      </c>
      <c r="S380" s="24"/>
      <c r="T380" s="23"/>
      <c r="U380" s="24"/>
      <c r="V380" s="23"/>
      <c r="W380" s="23"/>
      <c r="X380" s="24"/>
      <c r="Y380" s="23"/>
      <c r="Z380" s="23"/>
      <c r="AA380" s="23">
        <v>0.3</v>
      </c>
      <c r="AB380" s="23">
        <v>434.51000000000005</v>
      </c>
      <c r="AC380" s="24">
        <v>1664.3614285714284</v>
      </c>
      <c r="AD380" s="23">
        <v>718.8</v>
      </c>
      <c r="AE380" s="24">
        <v>2889.1585714285711</v>
      </c>
      <c r="AF380" s="23"/>
      <c r="AG380" s="23"/>
      <c r="AH380" s="23">
        <v>1.1599999999999999</v>
      </c>
      <c r="AI380" s="24">
        <v>0</v>
      </c>
      <c r="AJ380" s="25">
        <v>15.28</v>
      </c>
      <c r="AK380" s="23">
        <v>3.38</v>
      </c>
      <c r="AL380" s="23">
        <v>-30.45</v>
      </c>
      <c r="AM380" s="24">
        <v>174</v>
      </c>
      <c r="AN380" s="23"/>
      <c r="AO380" s="24"/>
      <c r="AP380" s="23">
        <v>161.81</v>
      </c>
      <c r="AQ380" s="24">
        <v>471.17</v>
      </c>
      <c r="AR380" s="23">
        <v>288.77</v>
      </c>
      <c r="AS380" s="23">
        <v>-924</v>
      </c>
      <c r="AT380" s="23"/>
      <c r="AU380" s="24"/>
      <c r="AW380" s="27">
        <f t="shared" si="67"/>
        <v>15.280379999999999</v>
      </c>
      <c r="AX380" s="27">
        <f t="shared" si="68"/>
        <v>718.8003799999999</v>
      </c>
      <c r="AY380" s="27">
        <f t="shared" si="69"/>
        <v>434.51038000000005</v>
      </c>
      <c r="AZ380" s="27">
        <f t="shared" si="70"/>
        <v>161.81038000000001</v>
      </c>
    </row>
    <row r="381" spans="1:52" ht="15" customHeight="1" x14ac:dyDescent="0.25">
      <c r="A381" s="13" t="str">
        <f>VLOOKUP(L381,[1]VALIDAÇÃO!$D$13:$E$350,2,0)</f>
        <v>DIRETO</v>
      </c>
      <c r="B381" s="14" t="str">
        <f t="shared" si="72"/>
        <v>19RESERVA DO PAIVA SPE 01 LTDA.</v>
      </c>
      <c r="C381" s="15">
        <f t="shared" si="71"/>
        <v>19</v>
      </c>
      <c r="D381" s="16" t="str">
        <f t="shared" si="73"/>
        <v>28RESERVA DO PAIVA SPE 01 LTDA.</v>
      </c>
      <c r="E381" s="17">
        <f t="shared" si="64"/>
        <v>28</v>
      </c>
      <c r="F381" s="18" t="str">
        <f t="shared" si="74"/>
        <v>26RESERVA DO PAIVA SPE 01 LTDA.</v>
      </c>
      <c r="G381" s="18">
        <f t="shared" si="65"/>
        <v>26</v>
      </c>
      <c r="H381" s="19" t="str">
        <f t="shared" si="75"/>
        <v>15RESERVA DO PAIVA SPE 01 LTDA.</v>
      </c>
      <c r="I381" s="19">
        <f t="shared" si="66"/>
        <v>15</v>
      </c>
      <c r="J381" s="13" t="s">
        <v>68</v>
      </c>
      <c r="K381" s="13" t="s">
        <v>490</v>
      </c>
      <c r="L381" s="13" t="s">
        <v>54</v>
      </c>
      <c r="M381" s="13" t="s">
        <v>55</v>
      </c>
      <c r="N381" s="20">
        <v>2429.02</v>
      </c>
      <c r="O381" s="20">
        <v>1622.13</v>
      </c>
      <c r="P381" s="21">
        <v>45600</v>
      </c>
      <c r="Q381" s="22"/>
      <c r="R381" s="23">
        <v>1622.13</v>
      </c>
      <c r="S381" s="24"/>
      <c r="T381" s="23"/>
      <c r="U381" s="24"/>
      <c r="V381" s="23"/>
      <c r="W381" s="23"/>
      <c r="X381" s="24"/>
      <c r="Y381" s="23"/>
      <c r="Z381" s="23"/>
      <c r="AA381" s="23">
        <v>36.179999999999993</v>
      </c>
      <c r="AB381" s="23">
        <v>380.89</v>
      </c>
      <c r="AC381" s="24">
        <v>1900.1742857142858</v>
      </c>
      <c r="AD381" s="23">
        <v>440.08000000000004</v>
      </c>
      <c r="AE381" s="24">
        <v>2211.3428571428572</v>
      </c>
      <c r="AF381" s="23"/>
      <c r="AG381" s="23"/>
      <c r="AH381" s="23">
        <v>164.46</v>
      </c>
      <c r="AI381" s="24">
        <v>0</v>
      </c>
      <c r="AJ381" s="25">
        <v>912.5</v>
      </c>
      <c r="AK381" s="23">
        <v>197.92</v>
      </c>
      <c r="AL381" s="23"/>
      <c r="AM381" s="24"/>
      <c r="AN381" s="23"/>
      <c r="AO381" s="24"/>
      <c r="AP381" s="23">
        <v>584.22</v>
      </c>
      <c r="AQ381" s="24">
        <v>2427.5071428571428</v>
      </c>
      <c r="AR381" s="23">
        <v>315.02999999999997</v>
      </c>
      <c r="AS381" s="23">
        <v>-695.2</v>
      </c>
      <c r="AT381" s="23"/>
      <c r="AU381" s="24"/>
      <c r="AW381" s="27">
        <f t="shared" si="67"/>
        <v>912.50038099999995</v>
      </c>
      <c r="AX381" s="27">
        <f t="shared" si="68"/>
        <v>440.08038100000005</v>
      </c>
      <c r="AY381" s="27">
        <f t="shared" si="69"/>
        <v>380.89038099999999</v>
      </c>
      <c r="AZ381" s="27">
        <f t="shared" si="70"/>
        <v>584.22038099999997</v>
      </c>
    </row>
    <row r="382" spans="1:52" ht="15" customHeight="1" x14ac:dyDescent="0.25">
      <c r="A382" s="13" t="str">
        <f>VLOOKUP(L382,[1]VALIDAÇÃO!$D$13:$E$350,2,0)</f>
        <v>DIRETO</v>
      </c>
      <c r="B382" s="14" t="str">
        <f t="shared" si="72"/>
        <v>11RIO AVE PRAIA HOTEL SPE LTDA.</v>
      </c>
      <c r="C382" s="15">
        <f t="shared" si="71"/>
        <v>11</v>
      </c>
      <c r="D382" s="16" t="str">
        <f t="shared" si="73"/>
        <v>26RIO AVE PRAIA HOTEL SPE LTDA.</v>
      </c>
      <c r="E382" s="17">
        <f t="shared" si="64"/>
        <v>26</v>
      </c>
      <c r="F382" s="18" t="str">
        <f t="shared" si="74"/>
        <v>5RIO AVE PRAIA HOTEL SPE LTDA.</v>
      </c>
      <c r="G382" s="18">
        <f t="shared" si="65"/>
        <v>5</v>
      </c>
      <c r="H382" s="19" t="str">
        <f t="shared" si="75"/>
        <v>19RIO AVE PRAIA HOTEL SPE LTDA.</v>
      </c>
      <c r="I382" s="19">
        <f t="shared" si="66"/>
        <v>19</v>
      </c>
      <c r="J382" s="13" t="s">
        <v>80</v>
      </c>
      <c r="K382" s="13" t="s">
        <v>491</v>
      </c>
      <c r="L382" s="13" t="s">
        <v>63</v>
      </c>
      <c r="M382" s="13" t="s">
        <v>82</v>
      </c>
      <c r="N382" s="20">
        <v>2054.9699999999998</v>
      </c>
      <c r="O382" s="20">
        <v>2079</v>
      </c>
      <c r="P382" s="21">
        <v>45300</v>
      </c>
      <c r="Q382" s="22"/>
      <c r="R382" s="23">
        <v>2079</v>
      </c>
      <c r="S382" s="24"/>
      <c r="T382" s="23"/>
      <c r="U382" s="24"/>
      <c r="V382" s="23"/>
      <c r="W382" s="23"/>
      <c r="X382" s="24"/>
      <c r="Y382" s="23"/>
      <c r="Z382" s="23"/>
      <c r="AA382" s="23">
        <v>4.3599999999999994</v>
      </c>
      <c r="AB382" s="23">
        <v>438.42999999999995</v>
      </c>
      <c r="AC382" s="24">
        <v>1625.3571428571429</v>
      </c>
      <c r="AD382" s="23"/>
      <c r="AE382" s="24"/>
      <c r="AF382" s="31">
        <v>5.48</v>
      </c>
      <c r="AG382" s="23">
        <v>5.48</v>
      </c>
      <c r="AH382" s="23">
        <v>19.899999999999999</v>
      </c>
      <c r="AI382" s="24">
        <v>0</v>
      </c>
      <c r="AJ382" s="25">
        <v>413.31</v>
      </c>
      <c r="AK382" s="23">
        <v>87.07</v>
      </c>
      <c r="AL382" s="23"/>
      <c r="AM382" s="24"/>
      <c r="AN382" s="23"/>
      <c r="AO382" s="24"/>
      <c r="AP382" s="23">
        <v>185.47</v>
      </c>
      <c r="AQ382" s="24">
        <v>544.21428571428567</v>
      </c>
      <c r="AR382" s="23">
        <v>136.92000000000002</v>
      </c>
      <c r="AS382" s="23">
        <v>-431.2</v>
      </c>
      <c r="AT382" s="23"/>
      <c r="AU382" s="24"/>
      <c r="AW382" s="27">
        <f t="shared" si="67"/>
        <v>413.310382</v>
      </c>
      <c r="AX382" s="27">
        <f t="shared" si="68"/>
        <v>3.8200000000000002E-4</v>
      </c>
      <c r="AY382" s="27">
        <f t="shared" si="69"/>
        <v>438.43038199999995</v>
      </c>
      <c r="AZ382" s="27">
        <f t="shared" si="70"/>
        <v>185.470382</v>
      </c>
    </row>
    <row r="383" spans="1:52" ht="15" customHeight="1" x14ac:dyDescent="0.25">
      <c r="A383" s="13" t="str">
        <f>VLOOKUP(L383,[1]VALIDAÇÃO!$D$13:$E$350,2,0)</f>
        <v>INDIRETO</v>
      </c>
      <c r="B383" s="14" t="str">
        <f t="shared" si="72"/>
        <v>149RESERVA DO PAIVA SPE 03 LTDA</v>
      </c>
      <c r="C383" s="15">
        <f t="shared" si="71"/>
        <v>149</v>
      </c>
      <c r="D383" s="16" t="str">
        <f t="shared" si="73"/>
        <v>1RESERVA DO PAIVA SPE 03 LTDA</v>
      </c>
      <c r="E383" s="17">
        <f t="shared" si="64"/>
        <v>1</v>
      </c>
      <c r="F383" s="18" t="str">
        <f t="shared" si="74"/>
        <v>1RESERVA DO PAIVA SPE 03 LTDA</v>
      </c>
      <c r="G383" s="18">
        <f t="shared" si="65"/>
        <v>1</v>
      </c>
      <c r="H383" s="19" t="str">
        <f t="shared" si="75"/>
        <v>2RESERVA DO PAIVA SPE 03 LTDA</v>
      </c>
      <c r="I383" s="19">
        <f t="shared" si="66"/>
        <v>2</v>
      </c>
      <c r="J383" s="13" t="s">
        <v>52</v>
      </c>
      <c r="K383" s="13" t="s">
        <v>492</v>
      </c>
      <c r="L383" s="13" t="s">
        <v>134</v>
      </c>
      <c r="M383" s="13" t="s">
        <v>85</v>
      </c>
      <c r="N383" s="20">
        <v>4237.3900000000003</v>
      </c>
      <c r="O383" s="20">
        <v>3362.24</v>
      </c>
      <c r="P383" s="21">
        <v>45572</v>
      </c>
      <c r="Q383" s="22"/>
      <c r="R383" s="23">
        <v>3362.24</v>
      </c>
      <c r="S383" s="24"/>
      <c r="T383" s="23"/>
      <c r="U383" s="24"/>
      <c r="V383" s="23"/>
      <c r="W383" s="23">
        <v>0.36</v>
      </c>
      <c r="X383" s="24">
        <v>6.12</v>
      </c>
      <c r="Y383" s="23"/>
      <c r="Z383" s="23"/>
      <c r="AA383" s="23"/>
      <c r="AB383" s="23">
        <v>1010.8199999999999</v>
      </c>
      <c r="AC383" s="24">
        <v>2468.4542857142856</v>
      </c>
      <c r="AD383" s="23">
        <v>2404.2600000000002</v>
      </c>
      <c r="AE383" s="24">
        <v>5973.2885714285712</v>
      </c>
      <c r="AF383" s="23"/>
      <c r="AG383" s="23"/>
      <c r="AH383" s="23"/>
      <c r="AI383" s="24"/>
      <c r="AJ383" s="25"/>
      <c r="AK383" s="23"/>
      <c r="AL383" s="23"/>
      <c r="AM383" s="24"/>
      <c r="AN383" s="23"/>
      <c r="AO383" s="24"/>
      <c r="AP383" s="23">
        <v>1040.46</v>
      </c>
      <c r="AQ383" s="24">
        <v>2038.6914285714286</v>
      </c>
      <c r="AR383" s="23">
        <v>958.33999999999992</v>
      </c>
      <c r="AS383" s="23">
        <v>-1440.96</v>
      </c>
      <c r="AT383" s="23"/>
      <c r="AU383" s="24"/>
      <c r="AW383" s="27">
        <f t="shared" si="67"/>
        <v>3.8299999999999999E-4</v>
      </c>
      <c r="AX383" s="27">
        <f t="shared" si="68"/>
        <v>2404.2603830000003</v>
      </c>
      <c r="AY383" s="27">
        <f t="shared" si="69"/>
        <v>1010.820383</v>
      </c>
      <c r="AZ383" s="27">
        <f t="shared" si="70"/>
        <v>1040.4603830000001</v>
      </c>
    </row>
    <row r="384" spans="1:52" ht="15" customHeight="1" x14ac:dyDescent="0.25">
      <c r="A384" s="13" t="str">
        <f>VLOOKUP(L384,[1]VALIDAÇÃO!$D$13:$E$350,2,0)</f>
        <v>INDIRETO</v>
      </c>
      <c r="B384" s="14" t="str">
        <f t="shared" si="72"/>
        <v>68RIO AVE 200 SPE LTDA.</v>
      </c>
      <c r="C384" s="15">
        <f t="shared" si="71"/>
        <v>68</v>
      </c>
      <c r="D384" s="16" t="str">
        <f t="shared" si="73"/>
        <v>3RIO AVE 200 SPE LTDA.</v>
      </c>
      <c r="E384" s="17">
        <f t="shared" si="64"/>
        <v>3</v>
      </c>
      <c r="F384" s="18" t="str">
        <f t="shared" si="74"/>
        <v>7RIO AVE 200 SPE LTDA.</v>
      </c>
      <c r="G384" s="18">
        <f t="shared" si="65"/>
        <v>7</v>
      </c>
      <c r="H384" s="19" t="str">
        <f t="shared" si="75"/>
        <v>50RIO AVE 200 SPE LTDA.</v>
      </c>
      <c r="I384" s="19">
        <f t="shared" si="66"/>
        <v>50</v>
      </c>
      <c r="J384" s="13" t="s">
        <v>48</v>
      </c>
      <c r="K384" s="13" t="s">
        <v>493</v>
      </c>
      <c r="L384" s="13" t="s">
        <v>494</v>
      </c>
      <c r="M384" s="13" t="s">
        <v>51</v>
      </c>
      <c r="N384" s="20">
        <v>2505.96</v>
      </c>
      <c r="O384" s="20">
        <v>3090.87</v>
      </c>
      <c r="P384" s="21">
        <v>45937</v>
      </c>
      <c r="Q384" s="22"/>
      <c r="R384" s="23">
        <v>3090.87</v>
      </c>
      <c r="S384" s="24"/>
      <c r="T384" s="23"/>
      <c r="U384" s="24"/>
      <c r="V384" s="23"/>
      <c r="W384" s="23"/>
      <c r="X384" s="24"/>
      <c r="Y384" s="23"/>
      <c r="Z384" s="23"/>
      <c r="AA384" s="23"/>
      <c r="AB384" s="23">
        <v>180.95</v>
      </c>
      <c r="AC384" s="24">
        <v>927.42857142857144</v>
      </c>
      <c r="AD384" s="23">
        <v>674.92</v>
      </c>
      <c r="AE384" s="24">
        <v>2896.7142857142858</v>
      </c>
      <c r="AF384" s="23"/>
      <c r="AG384" s="23"/>
      <c r="AH384" s="23"/>
      <c r="AI384" s="24"/>
      <c r="AJ384" s="25"/>
      <c r="AK384" s="23"/>
      <c r="AL384" s="23"/>
      <c r="AM384" s="24"/>
      <c r="AN384" s="23"/>
      <c r="AO384" s="24"/>
      <c r="AP384" s="23"/>
      <c r="AQ384" s="24"/>
      <c r="AR384" s="23">
        <v>202.01</v>
      </c>
      <c r="AS384" s="23">
        <v>-1374.66</v>
      </c>
      <c r="AT384" s="23"/>
      <c r="AU384" s="24"/>
      <c r="AW384" s="27">
        <f t="shared" si="67"/>
        <v>3.8400000000000001E-4</v>
      </c>
      <c r="AX384" s="27">
        <f t="shared" si="68"/>
        <v>674.92038400000001</v>
      </c>
      <c r="AY384" s="27">
        <f t="shared" si="69"/>
        <v>180.95038399999999</v>
      </c>
      <c r="AZ384" s="27">
        <f t="shared" si="70"/>
        <v>3.8400000000000001E-4</v>
      </c>
    </row>
    <row r="385" spans="1:52" ht="15" customHeight="1" x14ac:dyDescent="0.25">
      <c r="A385" s="13" t="str">
        <f>VLOOKUP(L385,[1]VALIDAÇÃO!$D$13:$E$350,2,0)</f>
        <v>DIRETO</v>
      </c>
      <c r="B385" s="14" t="str">
        <f t="shared" si="72"/>
        <v>13RESERVA DO PAIVA SPE 01 LTDA.</v>
      </c>
      <c r="C385" s="15">
        <f t="shared" si="71"/>
        <v>13</v>
      </c>
      <c r="D385" s="16" t="str">
        <f t="shared" si="73"/>
        <v>73RESERVA DO PAIVA SPE 01 LTDA.</v>
      </c>
      <c r="E385" s="17">
        <f t="shared" si="64"/>
        <v>73</v>
      </c>
      <c r="F385" s="18" t="str">
        <f t="shared" si="74"/>
        <v>11RESERVA DO PAIVA SPE 01 LTDA.</v>
      </c>
      <c r="G385" s="18">
        <f t="shared" si="65"/>
        <v>11</v>
      </c>
      <c r="H385" s="19" t="str">
        <f t="shared" si="75"/>
        <v>44RESERVA DO PAIVA SPE 01 LTDA.</v>
      </c>
      <c r="I385" s="19">
        <f t="shared" si="66"/>
        <v>44</v>
      </c>
      <c r="J385" s="13" t="s">
        <v>68</v>
      </c>
      <c r="K385" s="13" t="s">
        <v>495</v>
      </c>
      <c r="L385" s="13" t="s">
        <v>63</v>
      </c>
      <c r="M385" s="13" t="s">
        <v>55</v>
      </c>
      <c r="N385" s="20">
        <v>2015.12</v>
      </c>
      <c r="O385" s="20">
        <v>2156</v>
      </c>
      <c r="P385" s="21">
        <v>45341</v>
      </c>
      <c r="Q385" s="22"/>
      <c r="R385" s="23">
        <v>2156</v>
      </c>
      <c r="S385" s="24"/>
      <c r="T385" s="23"/>
      <c r="U385" s="24"/>
      <c r="V385" s="23"/>
      <c r="W385" s="23"/>
      <c r="X385" s="24"/>
      <c r="Y385" s="23"/>
      <c r="Z385" s="23"/>
      <c r="AA385" s="23">
        <v>16.329999999999998</v>
      </c>
      <c r="AB385" s="23">
        <v>490.28999999999996</v>
      </c>
      <c r="AC385" s="24">
        <v>1659.50875</v>
      </c>
      <c r="AD385" s="23">
        <v>32.28</v>
      </c>
      <c r="AE385" s="24">
        <v>108.57875000000001</v>
      </c>
      <c r="AF385" s="31"/>
      <c r="AG385" s="23"/>
      <c r="AH385" s="23">
        <v>71.87</v>
      </c>
      <c r="AI385" s="24">
        <v>0</v>
      </c>
      <c r="AJ385" s="25">
        <v>1050.21</v>
      </c>
      <c r="AK385" s="23">
        <v>229.63</v>
      </c>
      <c r="AL385" s="23">
        <v>-24.17</v>
      </c>
      <c r="AM385" s="24">
        <v>138.13999999999999</v>
      </c>
      <c r="AN385" s="23"/>
      <c r="AO385" s="24"/>
      <c r="AP385" s="23">
        <v>285.35000000000002</v>
      </c>
      <c r="AQ385" s="24">
        <v>815.28</v>
      </c>
      <c r="AR385" s="23">
        <v>181.46</v>
      </c>
      <c r="AS385" s="23">
        <v>-924</v>
      </c>
      <c r="AT385" s="23"/>
      <c r="AU385" s="24"/>
      <c r="AW385" s="27">
        <f t="shared" si="67"/>
        <v>1050.2103850000001</v>
      </c>
      <c r="AX385" s="27">
        <f t="shared" si="68"/>
        <v>32.280385000000003</v>
      </c>
      <c r="AY385" s="27">
        <f t="shared" si="69"/>
        <v>490.29038499999996</v>
      </c>
      <c r="AZ385" s="27">
        <f t="shared" si="70"/>
        <v>285.35038500000002</v>
      </c>
    </row>
    <row r="386" spans="1:52" ht="15" customHeight="1" x14ac:dyDescent="0.25">
      <c r="A386" s="13" t="str">
        <f>VLOOKUP(L386,[1]VALIDAÇÃO!$D$13:$E$350,2,0)</f>
        <v>DIRETO</v>
      </c>
      <c r="B386" s="14" t="str">
        <f t="shared" si="72"/>
        <v>93RIO AVE CARNEIROS 01 SPE LTDA.</v>
      </c>
      <c r="C386" s="15">
        <f t="shared" si="71"/>
        <v>93</v>
      </c>
      <c r="D386" s="16" t="str">
        <f t="shared" si="73"/>
        <v>29RIO AVE CARNEIROS 01 SPE LTDA.</v>
      </c>
      <c r="E386" s="17">
        <f t="shared" ref="E386:E449" si="76">1+SUMPRODUCT(($J$2:$J$1437=$J386)*(AX$2:AX$1437&gt;AX386))</f>
        <v>29</v>
      </c>
      <c r="F386" s="18" t="str">
        <f t="shared" si="74"/>
        <v>44RIO AVE CARNEIROS 01 SPE LTDA.</v>
      </c>
      <c r="G386" s="18">
        <f t="shared" ref="G386:G449" si="77">1+SUMPRODUCT(($J$2:$J$1437=$J386)*(AY$2:AY$1437&gt;AY386))</f>
        <v>44</v>
      </c>
      <c r="H386" s="19" t="str">
        <f t="shared" si="75"/>
        <v>46RIO AVE CARNEIROS 01 SPE LTDA.</v>
      </c>
      <c r="I386" s="19">
        <f t="shared" ref="I386:I449" si="78">1+SUMPRODUCT(($J$2:$J$1437=$J386)*(AZ$2:AZ$1437&gt;AZ386))</f>
        <v>46</v>
      </c>
      <c r="J386" s="13" t="s">
        <v>61</v>
      </c>
      <c r="K386" s="13" t="s">
        <v>496</v>
      </c>
      <c r="L386" s="13" t="s">
        <v>54</v>
      </c>
      <c r="M386" s="13" t="s">
        <v>55</v>
      </c>
      <c r="N386" s="20">
        <v>1334.84</v>
      </c>
      <c r="O386" s="20">
        <v>1622.13</v>
      </c>
      <c r="P386" s="21">
        <v>45964</v>
      </c>
      <c r="Q386" s="22"/>
      <c r="R386" s="23">
        <v>1622.13</v>
      </c>
      <c r="S386" s="24"/>
      <c r="T386" s="23"/>
      <c r="U386" s="24"/>
      <c r="V386" s="23"/>
      <c r="W386" s="23"/>
      <c r="X386" s="24"/>
      <c r="Y386" s="23"/>
      <c r="Z386" s="23"/>
      <c r="AA386" s="23">
        <v>5.13</v>
      </c>
      <c r="AB386" s="23">
        <v>129.61000000000001</v>
      </c>
      <c r="AC386" s="24">
        <v>1219</v>
      </c>
      <c r="AD386" s="23">
        <v>292.75</v>
      </c>
      <c r="AE386" s="24">
        <v>2437.1999999999998</v>
      </c>
      <c r="AF386" s="23"/>
      <c r="AG386" s="23"/>
      <c r="AH386" s="23">
        <v>22.150000000000002</v>
      </c>
      <c r="AI386" s="24">
        <v>0</v>
      </c>
      <c r="AJ386" s="25">
        <v>261.33</v>
      </c>
      <c r="AK386" s="23">
        <v>60.22</v>
      </c>
      <c r="AL386" s="23"/>
      <c r="AM386" s="24"/>
      <c r="AN386" s="23"/>
      <c r="AO386" s="24"/>
      <c r="AP386" s="23">
        <v>33.979999999999997</v>
      </c>
      <c r="AQ386" s="24">
        <v>774.40000000000009</v>
      </c>
      <c r="AR386" s="23">
        <v>105.47999999999999</v>
      </c>
      <c r="AS386" s="23">
        <v>-695.2</v>
      </c>
      <c r="AT386" s="23"/>
      <c r="AU386" s="24"/>
      <c r="AW386" s="27">
        <f t="shared" ref="AW386:AW449" si="79">AJ386+ROW(C386)/1000000</f>
        <v>261.33038599999998</v>
      </c>
      <c r="AX386" s="27">
        <f t="shared" ref="AX386:AX449" si="80">AD386+ROW(C386)/1000000</f>
        <v>292.75038599999999</v>
      </c>
      <c r="AY386" s="27">
        <f t="shared" ref="AY386:AY449" si="81">AB386+ROW(A386)/1000000</f>
        <v>129.61038600000001</v>
      </c>
      <c r="AZ386" s="27">
        <f t="shared" ref="AZ386:AZ449" si="82">AP386+ROW(A386)/1000000</f>
        <v>33.980385999999996</v>
      </c>
    </row>
    <row r="387" spans="1:52" ht="15" customHeight="1" x14ac:dyDescent="0.25">
      <c r="A387" s="13" t="str">
        <f>VLOOKUP(L387,[1]VALIDAÇÃO!$D$13:$E$350,2,0)</f>
        <v>DIRETO</v>
      </c>
      <c r="B387" s="14" t="str">
        <f t="shared" si="72"/>
        <v>38RESERVA DO PAIVA SPE 03 LTDA</v>
      </c>
      <c r="C387" s="15">
        <f t="shared" ref="C387:C450" si="83">1+SUMPRODUCT(($J$2:$J$1437=J387)*($AW$2:$AW$1437&gt;AW387))</f>
        <v>38</v>
      </c>
      <c r="D387" s="16" t="str">
        <f t="shared" si="73"/>
        <v>19RESERVA DO PAIVA SPE 03 LTDA</v>
      </c>
      <c r="E387" s="17">
        <f t="shared" si="76"/>
        <v>19</v>
      </c>
      <c r="F387" s="18" t="str">
        <f t="shared" si="74"/>
        <v>50RESERVA DO PAIVA SPE 03 LTDA</v>
      </c>
      <c r="G387" s="18">
        <f t="shared" si="77"/>
        <v>50</v>
      </c>
      <c r="H387" s="19" t="str">
        <f t="shared" si="75"/>
        <v>63RESERVA DO PAIVA SPE 03 LTDA</v>
      </c>
      <c r="I387" s="19">
        <f t="shared" si="78"/>
        <v>63</v>
      </c>
      <c r="J387" s="13" t="s">
        <v>52</v>
      </c>
      <c r="K387" s="13" t="s">
        <v>496</v>
      </c>
      <c r="L387" s="13" t="s">
        <v>63</v>
      </c>
      <c r="M387" s="13" t="s">
        <v>55</v>
      </c>
      <c r="N387" s="20">
        <v>616.42999999999995</v>
      </c>
      <c r="O387" s="20">
        <v>2156</v>
      </c>
      <c r="P387" s="21">
        <v>45432</v>
      </c>
      <c r="Q387" s="22"/>
      <c r="R387" s="23">
        <v>2156</v>
      </c>
      <c r="S387" s="24"/>
      <c r="T387" s="23"/>
      <c r="U387" s="24"/>
      <c r="V387" s="23"/>
      <c r="W387" s="23">
        <v>2.14</v>
      </c>
      <c r="X387" s="24">
        <v>60.55</v>
      </c>
      <c r="Y387" s="23"/>
      <c r="Z387" s="23"/>
      <c r="AA387" s="23">
        <v>5.4899999999999993</v>
      </c>
      <c r="AB387" s="23">
        <v>194.26</v>
      </c>
      <c r="AC387" s="24">
        <v>829.99</v>
      </c>
      <c r="AD387" s="23">
        <v>653.59</v>
      </c>
      <c r="AE387" s="24">
        <v>2620.3085714285717</v>
      </c>
      <c r="AF387" s="23"/>
      <c r="AG387" s="23"/>
      <c r="AH387" s="23">
        <v>25</v>
      </c>
      <c r="AI387" s="24">
        <v>0</v>
      </c>
      <c r="AJ387" s="25">
        <v>362.04999999999995</v>
      </c>
      <c r="AK387" s="23">
        <v>78.349999999999994</v>
      </c>
      <c r="AL387" s="23">
        <v>-28.03</v>
      </c>
      <c r="AM387" s="24">
        <v>160.16999999999999</v>
      </c>
      <c r="AN387" s="23"/>
      <c r="AO387" s="24"/>
      <c r="AP387" s="23">
        <v>36.67</v>
      </c>
      <c r="AQ387" s="24">
        <v>104.76</v>
      </c>
      <c r="AR387" s="23">
        <v>174.64</v>
      </c>
      <c r="AS387" s="23">
        <v>-924</v>
      </c>
      <c r="AT387" s="23"/>
      <c r="AU387" s="24"/>
      <c r="AW387" s="27">
        <f t="shared" si="79"/>
        <v>362.05038699999994</v>
      </c>
      <c r="AX387" s="27">
        <f t="shared" si="80"/>
        <v>653.59038700000008</v>
      </c>
      <c r="AY387" s="27">
        <f t="shared" si="81"/>
        <v>194.26038699999998</v>
      </c>
      <c r="AZ387" s="27">
        <f t="shared" si="82"/>
        <v>36.670387000000005</v>
      </c>
    </row>
    <row r="388" spans="1:52" ht="15" customHeight="1" x14ac:dyDescent="0.25">
      <c r="A388" s="13" t="str">
        <f>VLOOKUP(L388,[1]VALIDAÇÃO!$D$13:$E$350,2,0)</f>
        <v>DIRETO</v>
      </c>
      <c r="B388" s="14" t="str">
        <f t="shared" si="72"/>
        <v>86RESERVA DO PAIVA SPE 03 LTDA</v>
      </c>
      <c r="C388" s="15">
        <f t="shared" si="83"/>
        <v>86</v>
      </c>
      <c r="D388" s="16" t="str">
        <f t="shared" si="73"/>
        <v>99RESERVA DO PAIVA SPE 03 LTDA</v>
      </c>
      <c r="E388" s="17">
        <f t="shared" si="76"/>
        <v>99</v>
      </c>
      <c r="F388" s="18" t="str">
        <f t="shared" si="74"/>
        <v>64RESERVA DO PAIVA SPE 03 LTDA</v>
      </c>
      <c r="G388" s="18">
        <f t="shared" si="77"/>
        <v>64</v>
      </c>
      <c r="H388" s="19" t="str">
        <f t="shared" si="75"/>
        <v>45RESERVA DO PAIVA SPE 03 LTDA</v>
      </c>
      <c r="I388" s="19">
        <f t="shared" si="78"/>
        <v>45</v>
      </c>
      <c r="J388" s="13" t="s">
        <v>52</v>
      </c>
      <c r="K388" s="13" t="s">
        <v>496</v>
      </c>
      <c r="L388" s="13" t="s">
        <v>54</v>
      </c>
      <c r="M388" s="13" t="s">
        <v>55</v>
      </c>
      <c r="N388" s="20">
        <v>1370.55</v>
      </c>
      <c r="O388" s="20">
        <v>1622.13</v>
      </c>
      <c r="P388" s="21">
        <v>45978</v>
      </c>
      <c r="Q388" s="22"/>
      <c r="R388" s="23">
        <v>1622.13</v>
      </c>
      <c r="S388" s="24"/>
      <c r="T388" s="23"/>
      <c r="U388" s="24"/>
      <c r="V388" s="23"/>
      <c r="W388" s="23"/>
      <c r="X388" s="24"/>
      <c r="Y388" s="23"/>
      <c r="Z388" s="23"/>
      <c r="AA388" s="23">
        <v>3.27</v>
      </c>
      <c r="AB388" s="23">
        <v>134.52000000000001</v>
      </c>
      <c r="AC388" s="24">
        <v>601</v>
      </c>
      <c r="AD388" s="23">
        <v>144.82</v>
      </c>
      <c r="AE388" s="24">
        <v>647</v>
      </c>
      <c r="AF388" s="23"/>
      <c r="AG388" s="23"/>
      <c r="AH388" s="23">
        <v>15.06</v>
      </c>
      <c r="AI388" s="24">
        <v>0</v>
      </c>
      <c r="AJ388" s="25">
        <v>164.29</v>
      </c>
      <c r="AK388" s="23">
        <v>35.720000000000006</v>
      </c>
      <c r="AL388" s="23"/>
      <c r="AM388" s="24"/>
      <c r="AN388" s="23"/>
      <c r="AO388" s="24"/>
      <c r="AP388" s="23">
        <v>126.66</v>
      </c>
      <c r="AQ388" s="24">
        <v>481</v>
      </c>
      <c r="AR388" s="23">
        <v>88.26</v>
      </c>
      <c r="AS388" s="23">
        <v>-695.2</v>
      </c>
      <c r="AT388" s="23"/>
      <c r="AU388" s="24"/>
      <c r="AW388" s="27">
        <f t="shared" si="79"/>
        <v>164.29038799999998</v>
      </c>
      <c r="AX388" s="27">
        <f t="shared" si="80"/>
        <v>144.82038799999998</v>
      </c>
      <c r="AY388" s="27">
        <f t="shared" si="81"/>
        <v>134.520388</v>
      </c>
      <c r="AZ388" s="27">
        <f t="shared" si="82"/>
        <v>126.660388</v>
      </c>
    </row>
    <row r="389" spans="1:52" ht="15" customHeight="1" x14ac:dyDescent="0.25">
      <c r="A389" s="13" t="str">
        <f>VLOOKUP(L389,[1]VALIDAÇÃO!$D$13:$E$350,2,0)</f>
        <v>DIRETO</v>
      </c>
      <c r="B389" s="14" t="str">
        <f t="shared" si="72"/>
        <v>10RESERVA DO PAIVA SPE 01 LTDA.</v>
      </c>
      <c r="C389" s="15">
        <f t="shared" si="83"/>
        <v>10</v>
      </c>
      <c r="D389" s="16" t="str">
        <f t="shared" si="73"/>
        <v>56RESERVA DO PAIVA SPE 01 LTDA.</v>
      </c>
      <c r="E389" s="17">
        <f t="shared" si="76"/>
        <v>56</v>
      </c>
      <c r="F389" s="18" t="str">
        <f t="shared" si="74"/>
        <v>18RESERVA DO PAIVA SPE 01 LTDA.</v>
      </c>
      <c r="G389" s="18">
        <f t="shared" si="77"/>
        <v>18</v>
      </c>
      <c r="H389" s="19" t="str">
        <f t="shared" si="75"/>
        <v>22RESERVA DO PAIVA SPE 01 LTDA.</v>
      </c>
      <c r="I389" s="19">
        <f t="shared" si="78"/>
        <v>22</v>
      </c>
      <c r="J389" s="13" t="s">
        <v>68</v>
      </c>
      <c r="K389" s="13" t="s">
        <v>497</v>
      </c>
      <c r="L389" s="13" t="s">
        <v>63</v>
      </c>
      <c r="M389" s="13" t="s">
        <v>55</v>
      </c>
      <c r="N389" s="20">
        <v>2289.3000000000002</v>
      </c>
      <c r="O389" s="20">
        <v>2156</v>
      </c>
      <c r="P389" s="21">
        <v>45482</v>
      </c>
      <c r="Q389" s="22"/>
      <c r="R389" s="23">
        <v>2156</v>
      </c>
      <c r="S389" s="24"/>
      <c r="T389" s="23"/>
      <c r="U389" s="24"/>
      <c r="V389" s="23"/>
      <c r="W389" s="23"/>
      <c r="X389" s="24"/>
      <c r="Y389" s="23"/>
      <c r="Z389" s="23"/>
      <c r="AA389" s="23">
        <v>22.59</v>
      </c>
      <c r="AB389" s="23">
        <v>439.94</v>
      </c>
      <c r="AC389" s="24">
        <v>1545.3614285714284</v>
      </c>
      <c r="AD389" s="23">
        <v>112.19</v>
      </c>
      <c r="AE389" s="24">
        <v>380.70428571428567</v>
      </c>
      <c r="AF389" s="23"/>
      <c r="AG389" s="23"/>
      <c r="AH389" s="23">
        <v>101.85</v>
      </c>
      <c r="AI389" s="24">
        <v>0</v>
      </c>
      <c r="AJ389" s="25">
        <v>1162.9100000000001</v>
      </c>
      <c r="AK389" s="23">
        <v>253.75</v>
      </c>
      <c r="AL389" s="23">
        <v>-28.55</v>
      </c>
      <c r="AM389" s="24">
        <v>163.13999999999999</v>
      </c>
      <c r="AN389" s="23"/>
      <c r="AO389" s="24"/>
      <c r="AP389" s="23">
        <v>488.45000000000005</v>
      </c>
      <c r="AQ389" s="24">
        <v>1432.62</v>
      </c>
      <c r="AR389" s="23">
        <v>229.95999999999998</v>
      </c>
      <c r="AS389" s="23">
        <v>-924</v>
      </c>
      <c r="AT389" s="23"/>
      <c r="AU389" s="24"/>
      <c r="AW389" s="27">
        <f t="shared" si="79"/>
        <v>1162.9103890000001</v>
      </c>
      <c r="AX389" s="27">
        <f t="shared" si="80"/>
        <v>112.190389</v>
      </c>
      <c r="AY389" s="27">
        <f t="shared" si="81"/>
        <v>439.94038899999998</v>
      </c>
      <c r="AZ389" s="27">
        <f t="shared" si="82"/>
        <v>488.45038900000003</v>
      </c>
    </row>
    <row r="390" spans="1:52" ht="15" customHeight="1" x14ac:dyDescent="0.25">
      <c r="A390" s="13" t="str">
        <f>VLOOKUP(L390,[1]VALIDAÇÃO!$D$13:$E$350,2,0)</f>
        <v>DIRETO</v>
      </c>
      <c r="B390" s="14" t="str">
        <f t="shared" si="72"/>
        <v>104CONDOMINIO DO EDIFICIO EMPRESARIAL MARIE CURIE</v>
      </c>
      <c r="C390" s="15">
        <f t="shared" si="83"/>
        <v>104</v>
      </c>
      <c r="D390" s="16" t="str">
        <f t="shared" si="73"/>
        <v>19CONDOMINIO DO EDIFICIO EMPRESARIAL MARIE CURIE</v>
      </c>
      <c r="E390" s="17">
        <f t="shared" si="76"/>
        <v>19</v>
      </c>
      <c r="F390" s="18" t="str">
        <f t="shared" si="74"/>
        <v>27CONDOMINIO DO EDIFICIO EMPRESARIAL MARIE CURIE</v>
      </c>
      <c r="G390" s="18">
        <f t="shared" si="77"/>
        <v>27</v>
      </c>
      <c r="H390" s="19" t="str">
        <f t="shared" si="75"/>
        <v>12CONDOMINIO DO EDIFICIO EMPRESARIAL MARIE CURIE</v>
      </c>
      <c r="I390" s="19">
        <f t="shared" si="78"/>
        <v>12</v>
      </c>
      <c r="J390" s="13" t="s">
        <v>57</v>
      </c>
      <c r="K390" s="13" t="s">
        <v>498</v>
      </c>
      <c r="L390" s="13" t="s">
        <v>54</v>
      </c>
      <c r="M390" s="13" t="s">
        <v>60</v>
      </c>
      <c r="N390" s="20">
        <v>1389.5</v>
      </c>
      <c r="O390" s="20">
        <v>1622.13</v>
      </c>
      <c r="P390" s="21">
        <v>45909</v>
      </c>
      <c r="Q390" s="22"/>
      <c r="R390" s="23">
        <v>1622.13</v>
      </c>
      <c r="S390" s="24"/>
      <c r="T390" s="23"/>
      <c r="U390" s="24"/>
      <c r="V390" s="23"/>
      <c r="W390" s="23"/>
      <c r="X390" s="24"/>
      <c r="Y390" s="23"/>
      <c r="Z390" s="23"/>
      <c r="AA390" s="23">
        <v>3.8600000000000003</v>
      </c>
      <c r="AB390" s="23">
        <v>149.36000000000001</v>
      </c>
      <c r="AC390" s="24">
        <v>1264.6042857142857</v>
      </c>
      <c r="AD390" s="23">
        <v>309.41999999999996</v>
      </c>
      <c r="AE390" s="24">
        <v>2593.0757142857142</v>
      </c>
      <c r="AF390" s="23"/>
      <c r="AG390" s="23"/>
      <c r="AH390" s="23">
        <v>16.93</v>
      </c>
      <c r="AI390" s="24">
        <v>0</v>
      </c>
      <c r="AJ390" s="25">
        <v>161.53</v>
      </c>
      <c r="AK390" s="23">
        <v>36.090000000000003</v>
      </c>
      <c r="AL390" s="23"/>
      <c r="AM390" s="24"/>
      <c r="AN390" s="23"/>
      <c r="AO390" s="24"/>
      <c r="AP390" s="23">
        <v>169.6</v>
      </c>
      <c r="AQ390" s="24">
        <v>935.46142857142854</v>
      </c>
      <c r="AR390" s="23">
        <v>142.08000000000001</v>
      </c>
      <c r="AS390" s="23">
        <v>-695.2</v>
      </c>
      <c r="AT390" s="23"/>
      <c r="AU390" s="24"/>
      <c r="AW390" s="27">
        <f t="shared" si="79"/>
        <v>161.53039000000001</v>
      </c>
      <c r="AX390" s="27">
        <f t="shared" si="80"/>
        <v>309.42038999999994</v>
      </c>
      <c r="AY390" s="27">
        <f t="shared" si="81"/>
        <v>149.36039000000002</v>
      </c>
      <c r="AZ390" s="27">
        <f t="shared" si="82"/>
        <v>169.60039</v>
      </c>
    </row>
    <row r="391" spans="1:52" ht="15" customHeight="1" x14ac:dyDescent="0.25">
      <c r="A391" s="13" t="str">
        <f>VLOOKUP(L391,[1]VALIDAÇÃO!$D$13:$E$350,2,0)</f>
        <v>DIRETO</v>
      </c>
      <c r="B391" s="14" t="str">
        <f t="shared" si="72"/>
        <v>25RIO AVE CARNEIROS 01 SPE LTDA.</v>
      </c>
      <c r="C391" s="15">
        <f t="shared" si="83"/>
        <v>25</v>
      </c>
      <c r="D391" s="16" t="str">
        <f t="shared" si="73"/>
        <v>8RIO AVE CARNEIROS 01 SPE LTDA.</v>
      </c>
      <c r="E391" s="17">
        <f t="shared" si="76"/>
        <v>8</v>
      </c>
      <c r="F391" s="18" t="str">
        <f t="shared" si="74"/>
        <v>41RIO AVE CARNEIROS 01 SPE LTDA.</v>
      </c>
      <c r="G391" s="18">
        <f t="shared" si="77"/>
        <v>41</v>
      </c>
      <c r="H391" s="19" t="str">
        <f t="shared" si="75"/>
        <v>12RIO AVE CARNEIROS 01 SPE LTDA.</v>
      </c>
      <c r="I391" s="19">
        <f t="shared" si="78"/>
        <v>12</v>
      </c>
      <c r="J391" s="13" t="s">
        <v>61</v>
      </c>
      <c r="K391" s="13" t="s">
        <v>499</v>
      </c>
      <c r="L391" s="13" t="s">
        <v>500</v>
      </c>
      <c r="M391" s="13" t="s">
        <v>55</v>
      </c>
      <c r="N391" s="20">
        <v>1749.53</v>
      </c>
      <c r="O391" s="20">
        <v>2156</v>
      </c>
      <c r="P391" s="21">
        <v>45617</v>
      </c>
      <c r="Q391" s="22"/>
      <c r="R391" s="23">
        <v>2156</v>
      </c>
      <c r="S391" s="24"/>
      <c r="T391" s="23"/>
      <c r="U391" s="24"/>
      <c r="V391" s="23"/>
      <c r="W391" s="23"/>
      <c r="X391" s="24"/>
      <c r="Y391" s="23"/>
      <c r="Z391" s="23"/>
      <c r="AA391" s="23">
        <v>11.739999999999998</v>
      </c>
      <c r="AB391" s="23">
        <v>134.47</v>
      </c>
      <c r="AC391" s="24">
        <v>562.61714285714288</v>
      </c>
      <c r="AD391" s="23">
        <v>708.94</v>
      </c>
      <c r="AE391" s="24">
        <v>2732.3828571428571</v>
      </c>
      <c r="AF391" s="23"/>
      <c r="AG391" s="23"/>
      <c r="AH391" s="23">
        <v>53.61</v>
      </c>
      <c r="AI391" s="24">
        <v>0</v>
      </c>
      <c r="AJ391" s="25">
        <v>618.62</v>
      </c>
      <c r="AK391" s="23">
        <v>136.06</v>
      </c>
      <c r="AL391" s="23"/>
      <c r="AM391" s="24"/>
      <c r="AN391" s="23"/>
      <c r="AO391" s="24"/>
      <c r="AP391" s="23">
        <v>70.989999999999995</v>
      </c>
      <c r="AQ391" s="24">
        <v>251.26</v>
      </c>
      <c r="AR391" s="23">
        <v>177.41</v>
      </c>
      <c r="AS391" s="23">
        <v>-924</v>
      </c>
      <c r="AT391" s="23"/>
      <c r="AU391" s="24"/>
      <c r="AW391" s="27">
        <f t="shared" si="79"/>
        <v>618.62039100000004</v>
      </c>
      <c r="AX391" s="27">
        <f t="shared" si="80"/>
        <v>708.94039100000009</v>
      </c>
      <c r="AY391" s="27">
        <f t="shared" si="81"/>
        <v>134.47039100000001</v>
      </c>
      <c r="AZ391" s="27">
        <f t="shared" si="82"/>
        <v>70.990390999999988</v>
      </c>
    </row>
    <row r="392" spans="1:52" ht="15" customHeight="1" x14ac:dyDescent="0.25">
      <c r="A392" s="13" t="str">
        <f>VLOOKUP(L392,[1]VALIDAÇÃO!$D$13:$E$350,2,0)</f>
        <v>DIRETO</v>
      </c>
      <c r="B392" s="14" t="str">
        <f t="shared" si="72"/>
        <v>72RESERVA DO PAIVA SPE 03 LTDA</v>
      </c>
      <c r="C392" s="15">
        <f t="shared" si="83"/>
        <v>72</v>
      </c>
      <c r="D392" s="16" t="str">
        <f t="shared" si="73"/>
        <v>59RESERVA DO PAIVA SPE 03 LTDA</v>
      </c>
      <c r="E392" s="17">
        <f t="shared" si="76"/>
        <v>59</v>
      </c>
      <c r="F392" s="18" t="str">
        <f t="shared" si="74"/>
        <v>27RESERVA DO PAIVA SPE 03 LTDA</v>
      </c>
      <c r="G392" s="18">
        <f t="shared" si="77"/>
        <v>27</v>
      </c>
      <c r="H392" s="19" t="str">
        <f t="shared" si="75"/>
        <v>122RESERVA DO PAIVA SPE 03 LTDA</v>
      </c>
      <c r="I392" s="19">
        <f t="shared" si="78"/>
        <v>122</v>
      </c>
      <c r="J392" s="13" t="s">
        <v>52</v>
      </c>
      <c r="K392" s="13" t="s">
        <v>501</v>
      </c>
      <c r="L392" s="13" t="s">
        <v>63</v>
      </c>
      <c r="M392" s="13" t="s">
        <v>55</v>
      </c>
      <c r="N392" s="20">
        <v>1199.49</v>
      </c>
      <c r="O392" s="20">
        <v>2156</v>
      </c>
      <c r="P392" s="21">
        <v>45749</v>
      </c>
      <c r="Q392" s="22"/>
      <c r="R392" s="23">
        <v>2156</v>
      </c>
      <c r="S392" s="24"/>
      <c r="T392" s="23"/>
      <c r="U392" s="24"/>
      <c r="V392" s="23"/>
      <c r="W392" s="23"/>
      <c r="X392" s="24"/>
      <c r="Y392" s="23"/>
      <c r="Z392" s="23"/>
      <c r="AA392" s="23">
        <v>2.1799999999999997</v>
      </c>
      <c r="AB392" s="23">
        <v>279.59999999999997</v>
      </c>
      <c r="AC392" s="24">
        <v>1255.4271428571428</v>
      </c>
      <c r="AD392" s="23">
        <v>263.71000000000004</v>
      </c>
      <c r="AE392" s="24">
        <v>1121.4128571428571</v>
      </c>
      <c r="AF392" s="23"/>
      <c r="AG392" s="23"/>
      <c r="AH392" s="23">
        <v>9.49</v>
      </c>
      <c r="AI392" s="24">
        <v>0</v>
      </c>
      <c r="AJ392" s="25">
        <v>187.79999999999998</v>
      </c>
      <c r="AK392" s="23">
        <v>42.480000000000004</v>
      </c>
      <c r="AL392" s="23">
        <v>-42.38</v>
      </c>
      <c r="AM392" s="24">
        <v>242.17</v>
      </c>
      <c r="AN392" s="23">
        <v>-77</v>
      </c>
      <c r="AO392" s="24">
        <v>1</v>
      </c>
      <c r="AP392" s="23"/>
      <c r="AQ392" s="24"/>
      <c r="AR392" s="23">
        <v>122.07999999999998</v>
      </c>
      <c r="AS392" s="23">
        <v>-924</v>
      </c>
      <c r="AT392" s="23">
        <v>-77</v>
      </c>
      <c r="AU392" s="24">
        <v>1</v>
      </c>
      <c r="AW392" s="27">
        <f t="shared" si="79"/>
        <v>187.80039199999999</v>
      </c>
      <c r="AX392" s="27">
        <f t="shared" si="80"/>
        <v>263.71039200000001</v>
      </c>
      <c r="AY392" s="27">
        <f t="shared" si="81"/>
        <v>279.60039199999994</v>
      </c>
      <c r="AZ392" s="27">
        <f t="shared" si="82"/>
        <v>3.9199999999999999E-4</v>
      </c>
    </row>
    <row r="393" spans="1:52" ht="15" customHeight="1" x14ac:dyDescent="0.25">
      <c r="A393" s="13" t="str">
        <f>VLOOKUP(L393,[1]VALIDAÇÃO!$D$13:$E$350,2,0)</f>
        <v>DIRETO</v>
      </c>
      <c r="B393" s="14" t="str">
        <f t="shared" si="72"/>
        <v>54RESERVA DO PAIVA SPE 01 LTDA.</v>
      </c>
      <c r="C393" s="15">
        <f t="shared" si="83"/>
        <v>54</v>
      </c>
      <c r="D393" s="16" t="str">
        <f t="shared" si="73"/>
        <v>50RESERVA DO PAIVA SPE 01 LTDA.</v>
      </c>
      <c r="E393" s="17">
        <f t="shared" si="76"/>
        <v>50</v>
      </c>
      <c r="F393" s="18" t="str">
        <f t="shared" si="74"/>
        <v>57RESERVA DO PAIVA SPE 01 LTDA.</v>
      </c>
      <c r="G393" s="18">
        <f t="shared" si="77"/>
        <v>57</v>
      </c>
      <c r="H393" s="19" t="str">
        <f t="shared" si="75"/>
        <v>54RESERVA DO PAIVA SPE 01 LTDA.</v>
      </c>
      <c r="I393" s="19">
        <f t="shared" si="78"/>
        <v>54</v>
      </c>
      <c r="J393" s="13" t="s">
        <v>68</v>
      </c>
      <c r="K393" s="13" t="s">
        <v>502</v>
      </c>
      <c r="L393" s="13" t="s">
        <v>63</v>
      </c>
      <c r="M393" s="13" t="s">
        <v>55</v>
      </c>
      <c r="N393" s="20">
        <v>1433.26</v>
      </c>
      <c r="O393" s="20">
        <v>2156</v>
      </c>
      <c r="P393" s="21">
        <v>45603</v>
      </c>
      <c r="Q393" s="22"/>
      <c r="R393" s="23">
        <v>2156</v>
      </c>
      <c r="S393" s="24"/>
      <c r="T393" s="23"/>
      <c r="U393" s="24"/>
      <c r="V393" s="23"/>
      <c r="W393" s="23"/>
      <c r="X393" s="24"/>
      <c r="Y393" s="23"/>
      <c r="Z393" s="23"/>
      <c r="AA393" s="23">
        <v>4.97</v>
      </c>
      <c r="AB393" s="23">
        <v>137.04</v>
      </c>
      <c r="AC393" s="24">
        <v>648.00428571428574</v>
      </c>
      <c r="AD393" s="23">
        <v>145.63</v>
      </c>
      <c r="AE393" s="24">
        <v>520.18999999999994</v>
      </c>
      <c r="AF393" s="23"/>
      <c r="AG393" s="23"/>
      <c r="AH393" s="23">
        <v>22.13</v>
      </c>
      <c r="AI393" s="24">
        <v>0</v>
      </c>
      <c r="AJ393" s="25">
        <v>515.04999999999995</v>
      </c>
      <c r="AK393" s="23">
        <v>113.49</v>
      </c>
      <c r="AL393" s="23">
        <v>-22.77</v>
      </c>
      <c r="AM393" s="24">
        <v>130.13999999999999</v>
      </c>
      <c r="AN393" s="23"/>
      <c r="AO393" s="24"/>
      <c r="AP393" s="23">
        <v>226.41000000000003</v>
      </c>
      <c r="AQ393" s="24">
        <v>683.36428571428564</v>
      </c>
      <c r="AR393" s="23">
        <v>111.55</v>
      </c>
      <c r="AS393" s="23">
        <v>-924</v>
      </c>
      <c r="AT393" s="23"/>
      <c r="AU393" s="24"/>
      <c r="AW393" s="27">
        <f t="shared" si="79"/>
        <v>515.05039299999999</v>
      </c>
      <c r="AX393" s="27">
        <f t="shared" si="80"/>
        <v>145.630393</v>
      </c>
      <c r="AY393" s="27">
        <f t="shared" si="81"/>
        <v>137.04039299999999</v>
      </c>
      <c r="AZ393" s="27">
        <f t="shared" si="82"/>
        <v>226.41039300000003</v>
      </c>
    </row>
    <row r="394" spans="1:52" ht="15" customHeight="1" x14ac:dyDescent="0.25">
      <c r="A394" s="13" t="str">
        <f>VLOOKUP(L394,[1]VALIDAÇÃO!$D$13:$E$350,2,0)</f>
        <v>DIRETO</v>
      </c>
      <c r="B394" s="14" t="str">
        <f t="shared" si="72"/>
        <v>115RESERVA DO PAIVA SPE 03 LTDA</v>
      </c>
      <c r="C394" s="15">
        <f t="shared" si="83"/>
        <v>115</v>
      </c>
      <c r="D394" s="16" t="str">
        <f t="shared" si="73"/>
        <v>61RESERVA DO PAIVA SPE 03 LTDA</v>
      </c>
      <c r="E394" s="17">
        <f t="shared" si="76"/>
        <v>61</v>
      </c>
      <c r="F394" s="18" t="str">
        <f t="shared" si="74"/>
        <v>146RESERVA DO PAIVA SPE 03 LTDA</v>
      </c>
      <c r="G394" s="18">
        <f t="shared" si="77"/>
        <v>146</v>
      </c>
      <c r="H394" s="19" t="str">
        <f t="shared" si="75"/>
        <v>121RESERVA DO PAIVA SPE 03 LTDA</v>
      </c>
      <c r="I394" s="19">
        <f t="shared" si="78"/>
        <v>121</v>
      </c>
      <c r="J394" s="13" t="s">
        <v>52</v>
      </c>
      <c r="K394" s="13" t="s">
        <v>503</v>
      </c>
      <c r="L394" s="13" t="s">
        <v>54</v>
      </c>
      <c r="M394" s="13" t="s">
        <v>55</v>
      </c>
      <c r="N394" s="20">
        <v>1081.94</v>
      </c>
      <c r="O394" s="20">
        <v>1622.13</v>
      </c>
      <c r="P394" s="21">
        <v>45951</v>
      </c>
      <c r="Q394" s="22"/>
      <c r="R394" s="23">
        <v>1622.13</v>
      </c>
      <c r="S394" s="24"/>
      <c r="T394" s="23"/>
      <c r="U394" s="24"/>
      <c r="V394" s="23"/>
      <c r="W394" s="23"/>
      <c r="X394" s="24"/>
      <c r="Y394" s="23"/>
      <c r="Z394" s="23"/>
      <c r="AA394" s="23">
        <v>1.03</v>
      </c>
      <c r="AB394" s="23"/>
      <c r="AC394" s="24"/>
      <c r="AD394" s="23">
        <v>260.44</v>
      </c>
      <c r="AE394" s="24">
        <v>1556.2</v>
      </c>
      <c r="AF394" s="23"/>
      <c r="AG394" s="23"/>
      <c r="AH394" s="23">
        <v>4.7300000000000004</v>
      </c>
      <c r="AI394" s="24">
        <v>0</v>
      </c>
      <c r="AJ394" s="25">
        <v>82.14</v>
      </c>
      <c r="AK394" s="23">
        <v>17.86</v>
      </c>
      <c r="AL394" s="23"/>
      <c r="AM394" s="24"/>
      <c r="AN394" s="23"/>
      <c r="AO394" s="24"/>
      <c r="AP394" s="23"/>
      <c r="AQ394" s="24"/>
      <c r="AR394" s="23">
        <v>58.16</v>
      </c>
      <c r="AS394" s="23">
        <v>-695.2</v>
      </c>
      <c r="AT394" s="23"/>
      <c r="AU394" s="24"/>
      <c r="AW394" s="27">
        <f t="shared" si="79"/>
        <v>82.140394000000001</v>
      </c>
      <c r="AX394" s="27">
        <f t="shared" si="80"/>
        <v>260.44039399999997</v>
      </c>
      <c r="AY394" s="27">
        <f t="shared" si="81"/>
        <v>3.9399999999999998E-4</v>
      </c>
      <c r="AZ394" s="27">
        <f t="shared" si="82"/>
        <v>3.9399999999999998E-4</v>
      </c>
    </row>
    <row r="395" spans="1:52" ht="15" customHeight="1" x14ac:dyDescent="0.25">
      <c r="A395" s="13" t="str">
        <f>VLOOKUP(L395,[1]VALIDAÇÃO!$D$13:$E$350,2,0)</f>
        <v>DIRETO</v>
      </c>
      <c r="B395" s="14" t="str">
        <f t="shared" si="72"/>
        <v>104RESERVA DO PAIVA SPE 03 LTDA</v>
      </c>
      <c r="C395" s="15">
        <f t="shared" si="83"/>
        <v>104</v>
      </c>
      <c r="D395" s="16" t="str">
        <f t="shared" si="73"/>
        <v>37RESERVA DO PAIVA SPE 03 LTDA</v>
      </c>
      <c r="E395" s="17">
        <f t="shared" si="76"/>
        <v>37</v>
      </c>
      <c r="F395" s="18" t="str">
        <f t="shared" si="74"/>
        <v>25RESERVA DO PAIVA SPE 03 LTDA</v>
      </c>
      <c r="G395" s="18">
        <f t="shared" si="77"/>
        <v>25</v>
      </c>
      <c r="H395" s="19" t="str">
        <f t="shared" si="75"/>
        <v>60RESERVA DO PAIVA SPE 03 LTDA</v>
      </c>
      <c r="I395" s="19">
        <f t="shared" si="78"/>
        <v>60</v>
      </c>
      <c r="J395" s="13" t="s">
        <v>52</v>
      </c>
      <c r="K395" s="13" t="s">
        <v>504</v>
      </c>
      <c r="L395" s="13" t="s">
        <v>54</v>
      </c>
      <c r="M395" s="13" t="s">
        <v>55</v>
      </c>
      <c r="N395" s="20">
        <v>1339.75</v>
      </c>
      <c r="O395" s="20">
        <v>1622.13</v>
      </c>
      <c r="P395" s="21">
        <v>45887</v>
      </c>
      <c r="Q395" s="22"/>
      <c r="R395" s="23">
        <v>1622.13</v>
      </c>
      <c r="S395" s="24"/>
      <c r="T395" s="23"/>
      <c r="U395" s="24"/>
      <c r="V395" s="23"/>
      <c r="W395" s="23"/>
      <c r="X395" s="24"/>
      <c r="Y395" s="23"/>
      <c r="Z395" s="23"/>
      <c r="AA395" s="23">
        <v>3.32</v>
      </c>
      <c r="AB395" s="23">
        <v>288.71000000000004</v>
      </c>
      <c r="AC395" s="24">
        <v>2022.0714285714284</v>
      </c>
      <c r="AD395" s="23">
        <v>405.46</v>
      </c>
      <c r="AE395" s="24">
        <v>3353.5714285714284</v>
      </c>
      <c r="AF395" s="23"/>
      <c r="AG395" s="23"/>
      <c r="AH395" s="23">
        <v>14.57</v>
      </c>
      <c r="AI395" s="24">
        <v>0</v>
      </c>
      <c r="AJ395" s="25">
        <v>110.31</v>
      </c>
      <c r="AK395" s="23">
        <v>24.47</v>
      </c>
      <c r="AL395" s="23"/>
      <c r="AM395" s="24"/>
      <c r="AN395" s="23"/>
      <c r="AO395" s="24"/>
      <c r="AP395" s="23">
        <v>45.220000000000006</v>
      </c>
      <c r="AQ395" s="24">
        <v>566.07142857142856</v>
      </c>
      <c r="AR395" s="23">
        <v>168.38</v>
      </c>
      <c r="AS395" s="23">
        <v>-695.2</v>
      </c>
      <c r="AT395" s="23"/>
      <c r="AU395" s="24"/>
      <c r="AW395" s="27">
        <f t="shared" si="79"/>
        <v>110.310395</v>
      </c>
      <c r="AX395" s="27">
        <f t="shared" si="80"/>
        <v>405.46039500000001</v>
      </c>
      <c r="AY395" s="27">
        <f t="shared" si="81"/>
        <v>288.71039500000006</v>
      </c>
      <c r="AZ395" s="27">
        <f t="shared" si="82"/>
        <v>45.220395000000003</v>
      </c>
    </row>
    <row r="396" spans="1:52" ht="15" customHeight="1" x14ac:dyDescent="0.25">
      <c r="A396" s="13" t="str">
        <f>VLOOKUP(L396,[1]VALIDAÇÃO!$D$13:$E$350,2,0)</f>
        <v>DIRETO</v>
      </c>
      <c r="B396" s="14" t="str">
        <f t="shared" si="72"/>
        <v>87RIO AVE CARNEIROS 01 SPE LTDA.</v>
      </c>
      <c r="C396" s="15">
        <f t="shared" si="83"/>
        <v>87</v>
      </c>
      <c r="D396" s="16" t="str">
        <f t="shared" si="73"/>
        <v>142RIO AVE CARNEIROS 01 SPE LTDA.</v>
      </c>
      <c r="E396" s="17">
        <f t="shared" si="76"/>
        <v>142</v>
      </c>
      <c r="F396" s="18" t="str">
        <f t="shared" si="74"/>
        <v>55RIO AVE CARNEIROS 01 SPE LTDA.</v>
      </c>
      <c r="G396" s="18">
        <f t="shared" si="77"/>
        <v>55</v>
      </c>
      <c r="H396" s="19" t="str">
        <f t="shared" si="75"/>
        <v>74RIO AVE CARNEIROS 01 SPE LTDA.</v>
      </c>
      <c r="I396" s="19">
        <f t="shared" si="78"/>
        <v>74</v>
      </c>
      <c r="J396" s="13" t="s">
        <v>61</v>
      </c>
      <c r="K396" s="13" t="s">
        <v>505</v>
      </c>
      <c r="L396" s="13" t="s">
        <v>54</v>
      </c>
      <c r="M396" s="13" t="s">
        <v>55</v>
      </c>
      <c r="N396" s="20">
        <v>901.85</v>
      </c>
      <c r="O396" s="20">
        <v>1622.13</v>
      </c>
      <c r="P396" s="21">
        <v>45782</v>
      </c>
      <c r="Q396" s="22"/>
      <c r="R396" s="23">
        <v>1622.13</v>
      </c>
      <c r="S396" s="24"/>
      <c r="T396" s="23"/>
      <c r="U396" s="24"/>
      <c r="V396" s="23"/>
      <c r="W396" s="23"/>
      <c r="X396" s="24"/>
      <c r="Y396" s="23"/>
      <c r="Z396" s="23"/>
      <c r="AA396" s="23">
        <v>1.1199999999999999</v>
      </c>
      <c r="AB396" s="23">
        <v>106.47</v>
      </c>
      <c r="AC396" s="24">
        <v>886.32857142857142</v>
      </c>
      <c r="AD396" s="23">
        <v>0.52</v>
      </c>
      <c r="AE396" s="24">
        <v>4.2857142857142856</v>
      </c>
      <c r="AF396" s="23"/>
      <c r="AG396" s="23"/>
      <c r="AH396" s="23">
        <v>5.07</v>
      </c>
      <c r="AI396" s="24">
        <v>0</v>
      </c>
      <c r="AJ396" s="25">
        <v>285.18</v>
      </c>
      <c r="AK396" s="23">
        <v>63</v>
      </c>
      <c r="AL396" s="23">
        <v>-1.58</v>
      </c>
      <c r="AM396" s="24">
        <v>12</v>
      </c>
      <c r="AN396" s="23"/>
      <c r="AO396" s="24"/>
      <c r="AP396" s="23">
        <v>13.790000000000001</v>
      </c>
      <c r="AQ396" s="24">
        <v>97.55714285714285</v>
      </c>
      <c r="AR396" s="23">
        <v>26.229999999999997</v>
      </c>
      <c r="AS396" s="23">
        <v>-695.2</v>
      </c>
      <c r="AT396" s="23"/>
      <c r="AU396" s="24"/>
      <c r="AW396" s="27">
        <f t="shared" si="79"/>
        <v>285.18039600000003</v>
      </c>
      <c r="AX396" s="27">
        <f t="shared" si="80"/>
        <v>0.52039599999999997</v>
      </c>
      <c r="AY396" s="27">
        <f t="shared" si="81"/>
        <v>106.47039599999999</v>
      </c>
      <c r="AZ396" s="27">
        <f t="shared" si="82"/>
        <v>13.790396000000001</v>
      </c>
    </row>
    <row r="397" spans="1:52" ht="15" customHeight="1" x14ac:dyDescent="0.25">
      <c r="A397" s="13" t="str">
        <f>VLOOKUP(L397,[1]VALIDAÇÃO!$D$13:$E$350,2,0)</f>
        <v>DIRETO</v>
      </c>
      <c r="B397" s="14" t="str">
        <f t="shared" si="72"/>
        <v>56RIO AVE CARNEIROS 01 SPE LTDA.</v>
      </c>
      <c r="C397" s="15">
        <f t="shared" si="83"/>
        <v>56</v>
      </c>
      <c r="D397" s="16" t="str">
        <f t="shared" si="73"/>
        <v>150RIO AVE CARNEIROS 01 SPE LTDA.</v>
      </c>
      <c r="E397" s="17">
        <f t="shared" si="76"/>
        <v>150</v>
      </c>
      <c r="F397" s="18" t="str">
        <f t="shared" si="74"/>
        <v>97RIO AVE CARNEIROS 01 SPE LTDA.</v>
      </c>
      <c r="G397" s="18">
        <f t="shared" si="77"/>
        <v>97</v>
      </c>
      <c r="H397" s="19" t="str">
        <f t="shared" si="75"/>
        <v>22RIO AVE CARNEIROS 01 SPE LTDA.</v>
      </c>
      <c r="I397" s="19">
        <f t="shared" si="78"/>
        <v>22</v>
      </c>
      <c r="J397" s="13" t="s">
        <v>61</v>
      </c>
      <c r="K397" s="13" t="s">
        <v>506</v>
      </c>
      <c r="L397" s="13" t="s">
        <v>63</v>
      </c>
      <c r="M397" s="13" t="s">
        <v>55</v>
      </c>
      <c r="N397" s="20">
        <v>1457.54</v>
      </c>
      <c r="O397" s="20">
        <v>2156</v>
      </c>
      <c r="P397" s="21">
        <v>45964</v>
      </c>
      <c r="Q397" s="22"/>
      <c r="R397" s="23">
        <v>2156</v>
      </c>
      <c r="S397" s="24"/>
      <c r="T397" s="23"/>
      <c r="U397" s="24"/>
      <c r="V397" s="23"/>
      <c r="W397" s="23"/>
      <c r="X397" s="24"/>
      <c r="Y397" s="23"/>
      <c r="Z397" s="23"/>
      <c r="AA397" s="23"/>
      <c r="AB397" s="23">
        <v>38.160000000000004</v>
      </c>
      <c r="AC397" s="24">
        <v>769.6</v>
      </c>
      <c r="AD397" s="23"/>
      <c r="AE397" s="24"/>
      <c r="AF397" s="23"/>
      <c r="AG397" s="23"/>
      <c r="AH397" s="23"/>
      <c r="AI397" s="24"/>
      <c r="AJ397" s="25">
        <v>419.29</v>
      </c>
      <c r="AK397" s="23">
        <v>91.15</v>
      </c>
      <c r="AL397" s="23"/>
      <c r="AM397" s="24"/>
      <c r="AN397" s="23"/>
      <c r="AO397" s="24"/>
      <c r="AP397" s="23">
        <v>45.73</v>
      </c>
      <c r="AQ397" s="24">
        <v>784</v>
      </c>
      <c r="AR397" s="23">
        <v>22.880000000000003</v>
      </c>
      <c r="AS397" s="23">
        <v>-924</v>
      </c>
      <c r="AT397" s="23"/>
      <c r="AU397" s="24"/>
      <c r="AW397" s="27">
        <f t="shared" si="79"/>
        <v>419.29039700000004</v>
      </c>
      <c r="AX397" s="27">
        <f t="shared" si="80"/>
        <v>3.97E-4</v>
      </c>
      <c r="AY397" s="27">
        <f t="shared" si="81"/>
        <v>38.160397000000003</v>
      </c>
      <c r="AZ397" s="27">
        <f t="shared" si="82"/>
        <v>45.730396999999996</v>
      </c>
    </row>
    <row r="398" spans="1:52" ht="15" customHeight="1" x14ac:dyDescent="0.25">
      <c r="A398" s="13" t="str">
        <f>VLOOKUP(L398,[1]VALIDAÇÃO!$D$13:$E$350,2,0)</f>
        <v>DIRETO</v>
      </c>
      <c r="B398" s="14" t="str">
        <f t="shared" si="72"/>
        <v>100RIO AVE CARNEIROS 01 SPE LTDA.</v>
      </c>
      <c r="C398" s="15">
        <f t="shared" si="83"/>
        <v>100</v>
      </c>
      <c r="D398" s="16" t="str">
        <f t="shared" si="73"/>
        <v>149RIO AVE CARNEIROS 01 SPE LTDA.</v>
      </c>
      <c r="E398" s="17">
        <f t="shared" si="76"/>
        <v>149</v>
      </c>
      <c r="F398" s="18" t="str">
        <f t="shared" si="74"/>
        <v>39RIO AVE CARNEIROS 01 SPE LTDA.</v>
      </c>
      <c r="G398" s="18">
        <f t="shared" si="77"/>
        <v>39</v>
      </c>
      <c r="H398" s="19" t="str">
        <f t="shared" si="75"/>
        <v>41RIO AVE CARNEIROS 01 SPE LTDA.</v>
      </c>
      <c r="I398" s="19">
        <f t="shared" si="78"/>
        <v>41</v>
      </c>
      <c r="J398" s="13" t="s">
        <v>61</v>
      </c>
      <c r="K398" s="13" t="s">
        <v>507</v>
      </c>
      <c r="L398" s="13" t="s">
        <v>54</v>
      </c>
      <c r="M398" s="13" t="s">
        <v>55</v>
      </c>
      <c r="N398" s="20">
        <v>1075.49</v>
      </c>
      <c r="O398" s="20">
        <v>1622.13</v>
      </c>
      <c r="P398" s="21">
        <v>45964</v>
      </c>
      <c r="Q398" s="22"/>
      <c r="R398" s="23">
        <v>1622.13</v>
      </c>
      <c r="S398" s="24"/>
      <c r="T398" s="23"/>
      <c r="U398" s="24"/>
      <c r="V398" s="23"/>
      <c r="W398" s="23"/>
      <c r="X398" s="24"/>
      <c r="Y398" s="23"/>
      <c r="Z398" s="23"/>
      <c r="AA398" s="23">
        <v>1.18</v>
      </c>
      <c r="AB398" s="23">
        <v>137.89000000000001</v>
      </c>
      <c r="AC398" s="24">
        <v>1256</v>
      </c>
      <c r="AD398" s="23"/>
      <c r="AE398" s="24"/>
      <c r="AF398" s="23"/>
      <c r="AG398" s="23"/>
      <c r="AH398" s="23">
        <v>5.43</v>
      </c>
      <c r="AI398" s="24">
        <v>0</v>
      </c>
      <c r="AJ398" s="25">
        <v>209.65</v>
      </c>
      <c r="AK398" s="23">
        <v>45.58</v>
      </c>
      <c r="AL398" s="23"/>
      <c r="AM398" s="24"/>
      <c r="AN398" s="23"/>
      <c r="AO398" s="24"/>
      <c r="AP398" s="23">
        <v>34.979999999999997</v>
      </c>
      <c r="AQ398" s="24">
        <v>796.80000000000007</v>
      </c>
      <c r="AR398" s="23">
        <v>41.1</v>
      </c>
      <c r="AS398" s="23">
        <v>-695.2</v>
      </c>
      <c r="AT398" s="23"/>
      <c r="AU398" s="24"/>
      <c r="AW398" s="27">
        <f t="shared" si="79"/>
        <v>209.650398</v>
      </c>
      <c r="AX398" s="27">
        <f t="shared" si="80"/>
        <v>3.9800000000000002E-4</v>
      </c>
      <c r="AY398" s="27">
        <f t="shared" si="81"/>
        <v>137.890398</v>
      </c>
      <c r="AZ398" s="27">
        <f t="shared" si="82"/>
        <v>34.980397999999994</v>
      </c>
    </row>
    <row r="399" spans="1:52" ht="15" customHeight="1" x14ac:dyDescent="0.25">
      <c r="A399" s="13" t="str">
        <f>VLOOKUP(L399,[1]VALIDAÇÃO!$D$13:$E$350,2,0)</f>
        <v>DIRETO</v>
      </c>
      <c r="B399" s="14" t="str">
        <f t="shared" si="72"/>
        <v>125RESERVA DO PAIVA SPE 03 LTDA</v>
      </c>
      <c r="C399" s="15">
        <f t="shared" si="83"/>
        <v>125</v>
      </c>
      <c r="D399" s="16" t="str">
        <f t="shared" si="73"/>
        <v>122RESERVA DO PAIVA SPE 03 LTDA</v>
      </c>
      <c r="E399" s="17">
        <f t="shared" si="76"/>
        <v>122</v>
      </c>
      <c r="F399" s="18" t="str">
        <f t="shared" si="74"/>
        <v>145RESERVA DO PAIVA SPE 03 LTDA</v>
      </c>
      <c r="G399" s="18">
        <f t="shared" si="77"/>
        <v>145</v>
      </c>
      <c r="H399" s="19" t="str">
        <f t="shared" si="75"/>
        <v>120RESERVA DO PAIVA SPE 03 LTDA</v>
      </c>
      <c r="I399" s="19">
        <f t="shared" si="78"/>
        <v>120</v>
      </c>
      <c r="J399" s="13" t="s">
        <v>52</v>
      </c>
      <c r="K399" s="13" t="s">
        <v>508</v>
      </c>
      <c r="L399" s="13" t="s">
        <v>149</v>
      </c>
      <c r="M399" s="13" t="s">
        <v>55</v>
      </c>
      <c r="N399" s="20">
        <v>616.80999999999995</v>
      </c>
      <c r="O399" s="20">
        <v>1622.13</v>
      </c>
      <c r="P399" s="21">
        <v>45943</v>
      </c>
      <c r="Q399" s="22"/>
      <c r="R399" s="23">
        <v>1622.13</v>
      </c>
      <c r="S399" s="24"/>
      <c r="T399" s="23"/>
      <c r="U399" s="24"/>
      <c r="V399" s="23"/>
      <c r="W399" s="23"/>
      <c r="X399" s="24"/>
      <c r="Y399" s="23"/>
      <c r="Z399" s="23"/>
      <c r="AA399" s="23">
        <v>0.05</v>
      </c>
      <c r="AB399" s="23"/>
      <c r="AC399" s="24"/>
      <c r="AD399" s="23">
        <v>58.74</v>
      </c>
      <c r="AE399" s="24">
        <v>322.28571428571428</v>
      </c>
      <c r="AF399" s="23"/>
      <c r="AG399" s="23"/>
      <c r="AH399" s="23">
        <v>0.16</v>
      </c>
      <c r="AI399" s="24">
        <v>0</v>
      </c>
      <c r="AJ399" s="25">
        <v>26.840000000000003</v>
      </c>
      <c r="AK399" s="23">
        <v>8.18</v>
      </c>
      <c r="AL399" s="23">
        <v>-15.54</v>
      </c>
      <c r="AM399" s="24">
        <v>118</v>
      </c>
      <c r="AN399" s="23">
        <v>-115.87</v>
      </c>
      <c r="AO399" s="24">
        <v>2</v>
      </c>
      <c r="AP399" s="23"/>
      <c r="AQ399" s="24"/>
      <c r="AR399" s="23">
        <v>13.15</v>
      </c>
      <c r="AS399" s="23">
        <v>-695.2</v>
      </c>
      <c r="AT399" s="23">
        <v>-115.87</v>
      </c>
      <c r="AU399" s="24">
        <v>2</v>
      </c>
      <c r="AW399" s="27">
        <f t="shared" si="79"/>
        <v>26.840399000000005</v>
      </c>
      <c r="AX399" s="27">
        <f t="shared" si="80"/>
        <v>58.740399000000004</v>
      </c>
      <c r="AY399" s="27">
        <f t="shared" si="81"/>
        <v>3.9899999999999999E-4</v>
      </c>
      <c r="AZ399" s="27">
        <f t="shared" si="82"/>
        <v>3.9899999999999999E-4</v>
      </c>
    </row>
    <row r="400" spans="1:52" ht="15" customHeight="1" x14ac:dyDescent="0.25">
      <c r="A400" s="13" t="str">
        <f>VLOOKUP(L400,[1]VALIDAÇÃO!$D$13:$E$350,2,0)</f>
        <v>DIRETO</v>
      </c>
      <c r="B400" s="14" t="str">
        <f t="shared" si="72"/>
        <v>21RESERVA DO PAIVA SPE 03 LTDA</v>
      </c>
      <c r="C400" s="15">
        <f t="shared" si="83"/>
        <v>21</v>
      </c>
      <c r="D400" s="16" t="str">
        <f t="shared" si="73"/>
        <v>108RESERVA DO PAIVA SPE 03 LTDA</v>
      </c>
      <c r="E400" s="17">
        <f t="shared" si="76"/>
        <v>108</v>
      </c>
      <c r="F400" s="18" t="str">
        <f t="shared" si="74"/>
        <v>32RESERVA DO PAIVA SPE 03 LTDA</v>
      </c>
      <c r="G400" s="18">
        <f t="shared" si="77"/>
        <v>32</v>
      </c>
      <c r="H400" s="19" t="str">
        <f t="shared" si="75"/>
        <v>24RESERVA DO PAIVA SPE 03 LTDA</v>
      </c>
      <c r="I400" s="19">
        <f t="shared" si="78"/>
        <v>24</v>
      </c>
      <c r="J400" s="13" t="s">
        <v>52</v>
      </c>
      <c r="K400" s="13" t="s">
        <v>509</v>
      </c>
      <c r="L400" s="13" t="s">
        <v>63</v>
      </c>
      <c r="M400" s="13" t="s">
        <v>55</v>
      </c>
      <c r="N400" s="20">
        <v>1791.51</v>
      </c>
      <c r="O400" s="20">
        <v>2156</v>
      </c>
      <c r="P400" s="21">
        <v>45880</v>
      </c>
      <c r="Q400" s="22"/>
      <c r="R400" s="23">
        <v>2156</v>
      </c>
      <c r="S400" s="24"/>
      <c r="T400" s="23"/>
      <c r="U400" s="24"/>
      <c r="V400" s="23"/>
      <c r="W400" s="23"/>
      <c r="X400" s="24"/>
      <c r="Y400" s="23"/>
      <c r="Z400" s="23"/>
      <c r="AA400" s="23">
        <v>8.64</v>
      </c>
      <c r="AB400" s="23">
        <v>255.64000000000001</v>
      </c>
      <c r="AC400" s="24">
        <v>1533.7842857142857</v>
      </c>
      <c r="AD400" s="23">
        <v>109.03</v>
      </c>
      <c r="AE400" s="24">
        <v>508.19857142857143</v>
      </c>
      <c r="AF400" s="23"/>
      <c r="AG400" s="23"/>
      <c r="AH400" s="23">
        <v>38.76</v>
      </c>
      <c r="AI400" s="24">
        <v>0</v>
      </c>
      <c r="AJ400" s="25">
        <v>539.16</v>
      </c>
      <c r="AK400" s="23">
        <v>119.22999999999999</v>
      </c>
      <c r="AL400" s="23"/>
      <c r="AM400" s="24"/>
      <c r="AN400" s="23"/>
      <c r="AO400" s="24"/>
      <c r="AP400" s="23">
        <v>242.68</v>
      </c>
      <c r="AQ400" s="24">
        <v>1029.07</v>
      </c>
      <c r="AR400" s="23">
        <v>135.55000000000001</v>
      </c>
      <c r="AS400" s="23">
        <v>-924</v>
      </c>
      <c r="AT400" s="23"/>
      <c r="AU400" s="24"/>
      <c r="AW400" s="27">
        <f t="shared" si="79"/>
        <v>539.16039999999998</v>
      </c>
      <c r="AX400" s="27">
        <f t="shared" si="80"/>
        <v>109.0304</v>
      </c>
      <c r="AY400" s="27">
        <f t="shared" si="81"/>
        <v>255.64040000000003</v>
      </c>
      <c r="AZ400" s="27">
        <f t="shared" si="82"/>
        <v>242.68040000000002</v>
      </c>
    </row>
    <row r="401" spans="1:52" ht="15" customHeight="1" x14ac:dyDescent="0.25">
      <c r="A401" s="13" t="str">
        <f>VLOOKUP(L401,[1]VALIDAÇÃO!$D$13:$E$350,2,0)</f>
        <v>DIRETO</v>
      </c>
      <c r="B401" s="14" t="str">
        <f t="shared" si="72"/>
        <v>7CONDOMINIO DO EDIFICIO EMPRESARIAL MARIE CURIE</v>
      </c>
      <c r="C401" s="15">
        <f t="shared" si="83"/>
        <v>7</v>
      </c>
      <c r="D401" s="16" t="str">
        <f t="shared" si="73"/>
        <v>54CONDOMINIO DO EDIFICIO EMPRESARIAL MARIE CURIE</v>
      </c>
      <c r="E401" s="17">
        <f t="shared" si="76"/>
        <v>54</v>
      </c>
      <c r="F401" s="18" t="str">
        <f t="shared" si="74"/>
        <v>33CONDOMINIO DO EDIFICIO EMPRESARIAL MARIE CURIE</v>
      </c>
      <c r="G401" s="18">
        <f t="shared" si="77"/>
        <v>33</v>
      </c>
      <c r="H401" s="19" t="str">
        <f t="shared" si="75"/>
        <v>80CONDOMINIO DO EDIFICIO EMPRESARIAL MARIE CURIE</v>
      </c>
      <c r="I401" s="19">
        <f t="shared" si="78"/>
        <v>80</v>
      </c>
      <c r="J401" s="13" t="s">
        <v>57</v>
      </c>
      <c r="K401" s="13" t="s">
        <v>510</v>
      </c>
      <c r="L401" s="13" t="s">
        <v>66</v>
      </c>
      <c r="M401" s="13" t="s">
        <v>60</v>
      </c>
      <c r="N401" s="20">
        <v>1813.17</v>
      </c>
      <c r="O401" s="20">
        <v>2156</v>
      </c>
      <c r="P401" s="21">
        <v>45572</v>
      </c>
      <c r="Q401" s="22"/>
      <c r="R401" s="23">
        <v>2156</v>
      </c>
      <c r="S401" s="24"/>
      <c r="T401" s="23"/>
      <c r="U401" s="24"/>
      <c r="V401" s="23"/>
      <c r="W401" s="23"/>
      <c r="X401" s="24"/>
      <c r="Y401" s="23"/>
      <c r="Z401" s="23"/>
      <c r="AA401" s="23">
        <v>5.23</v>
      </c>
      <c r="AB401" s="23">
        <v>131.19</v>
      </c>
      <c r="AC401" s="24">
        <v>570.8042857142857</v>
      </c>
      <c r="AD401" s="23">
        <v>143.12</v>
      </c>
      <c r="AE401" s="24">
        <v>581.42142857142858</v>
      </c>
      <c r="AF401" s="23"/>
      <c r="AG401" s="23"/>
      <c r="AH401" s="23">
        <v>24.67</v>
      </c>
      <c r="AI401" s="24">
        <v>0</v>
      </c>
      <c r="AJ401" s="25">
        <v>1422.8600000000001</v>
      </c>
      <c r="AK401" s="23">
        <v>301.25</v>
      </c>
      <c r="AL401" s="23">
        <v>-24.88</v>
      </c>
      <c r="AM401" s="24">
        <v>142.19</v>
      </c>
      <c r="AN401" s="23"/>
      <c r="AO401" s="24"/>
      <c r="AP401" s="23"/>
      <c r="AQ401" s="24"/>
      <c r="AR401" s="23">
        <v>57.42</v>
      </c>
      <c r="AS401" s="23">
        <v>-924</v>
      </c>
      <c r="AT401" s="23"/>
      <c r="AU401" s="24"/>
      <c r="AW401" s="27">
        <f t="shared" si="79"/>
        <v>1422.8604010000001</v>
      </c>
      <c r="AX401" s="27">
        <f t="shared" si="80"/>
        <v>143.12040100000002</v>
      </c>
      <c r="AY401" s="27">
        <f t="shared" si="81"/>
        <v>131.19040100000001</v>
      </c>
      <c r="AZ401" s="27">
        <f t="shared" si="82"/>
        <v>4.0099999999999999E-4</v>
      </c>
    </row>
    <row r="402" spans="1:52" ht="15" customHeight="1" x14ac:dyDescent="0.25">
      <c r="A402" s="13" t="str">
        <f>VLOOKUP(L402,[1]VALIDAÇÃO!$D$13:$E$350,2,0)</f>
        <v>DIRETO</v>
      </c>
      <c r="B402" s="14" t="str">
        <f t="shared" si="72"/>
        <v>6RIO AVE INVESTIMENTOS LTDA</v>
      </c>
      <c r="C402" s="15">
        <f t="shared" si="83"/>
        <v>6</v>
      </c>
      <c r="D402" s="16" t="str">
        <f t="shared" si="73"/>
        <v>11RIO AVE INVESTIMENTOS LTDA</v>
      </c>
      <c r="E402" s="17">
        <f t="shared" si="76"/>
        <v>11</v>
      </c>
      <c r="F402" s="18" t="str">
        <f t="shared" si="74"/>
        <v>8RIO AVE INVESTIMENTOS LTDA</v>
      </c>
      <c r="G402" s="18">
        <f t="shared" si="77"/>
        <v>8</v>
      </c>
      <c r="H402" s="19" t="str">
        <f t="shared" si="75"/>
        <v>8RIO AVE INVESTIMENTOS LTDA</v>
      </c>
      <c r="I402" s="19">
        <f t="shared" si="78"/>
        <v>8</v>
      </c>
      <c r="J402" s="13" t="s">
        <v>304</v>
      </c>
      <c r="K402" s="13" t="s">
        <v>511</v>
      </c>
      <c r="L402" s="13" t="s">
        <v>54</v>
      </c>
      <c r="M402" s="13" t="s">
        <v>306</v>
      </c>
      <c r="N402" s="20">
        <v>1162.03</v>
      </c>
      <c r="O402" s="20">
        <v>1738</v>
      </c>
      <c r="P402" s="21">
        <v>41372</v>
      </c>
      <c r="Q402" s="22"/>
      <c r="R402" s="23">
        <v>1738</v>
      </c>
      <c r="S402" s="24"/>
      <c r="T402" s="23"/>
      <c r="U402" s="24"/>
      <c r="V402" s="23"/>
      <c r="W402" s="23"/>
      <c r="X402" s="24"/>
      <c r="Y402" s="23"/>
      <c r="Z402" s="23"/>
      <c r="AA402" s="23">
        <v>0.64</v>
      </c>
      <c r="AB402" s="23">
        <v>58.79</v>
      </c>
      <c r="AC402" s="24">
        <v>262.64</v>
      </c>
      <c r="AD402" s="23">
        <v>9.9499999999999993</v>
      </c>
      <c r="AE402" s="24">
        <v>44.45</v>
      </c>
      <c r="AF402" s="23"/>
      <c r="AG402" s="23"/>
      <c r="AH402" s="23">
        <v>1.8199999999999998</v>
      </c>
      <c r="AI402" s="24">
        <v>0</v>
      </c>
      <c r="AJ402" s="25">
        <v>266.64</v>
      </c>
      <c r="AK402" s="23">
        <v>55.78</v>
      </c>
      <c r="AL402" s="23"/>
      <c r="AM402" s="24"/>
      <c r="AN402" s="23"/>
      <c r="AO402" s="24"/>
      <c r="AP402" s="23">
        <v>3.35</v>
      </c>
      <c r="AQ402" s="24">
        <v>12.73</v>
      </c>
      <c r="AR402" s="23">
        <v>14.57</v>
      </c>
      <c r="AS402" s="23">
        <v>-818.4</v>
      </c>
      <c r="AT402" s="23"/>
      <c r="AU402" s="24"/>
      <c r="AW402" s="27">
        <f t="shared" si="79"/>
        <v>266.64040199999999</v>
      </c>
      <c r="AX402" s="27">
        <f t="shared" si="80"/>
        <v>9.9504019999999986</v>
      </c>
      <c r="AY402" s="27">
        <f t="shared" si="81"/>
        <v>58.790402</v>
      </c>
      <c r="AZ402" s="27">
        <f t="shared" si="82"/>
        <v>3.3504019999999999</v>
      </c>
    </row>
    <row r="403" spans="1:52" ht="15" customHeight="1" x14ac:dyDescent="0.25">
      <c r="A403" s="13" t="str">
        <f>VLOOKUP(L403,[1]VALIDAÇÃO!$D$13:$E$350,2,0)</f>
        <v>INDIRETO</v>
      </c>
      <c r="B403" s="14" t="str">
        <f t="shared" si="72"/>
        <v>67RIO AVE 200 SPE LTDA.</v>
      </c>
      <c r="C403" s="15">
        <f t="shared" si="83"/>
        <v>67</v>
      </c>
      <c r="D403" s="16" t="str">
        <f t="shared" si="73"/>
        <v>2RIO AVE 200 SPE LTDA.</v>
      </c>
      <c r="E403" s="17">
        <f t="shared" si="76"/>
        <v>2</v>
      </c>
      <c r="F403" s="18" t="str">
        <f t="shared" si="74"/>
        <v>12RIO AVE 200 SPE LTDA.</v>
      </c>
      <c r="G403" s="18">
        <f t="shared" si="77"/>
        <v>12</v>
      </c>
      <c r="H403" s="19" t="str">
        <f t="shared" si="75"/>
        <v>14RIO AVE 200 SPE LTDA.</v>
      </c>
      <c r="I403" s="19">
        <f t="shared" si="78"/>
        <v>14</v>
      </c>
      <c r="J403" s="13" t="s">
        <v>48</v>
      </c>
      <c r="K403" s="13" t="s">
        <v>512</v>
      </c>
      <c r="L403" s="13" t="s">
        <v>249</v>
      </c>
      <c r="M403" s="13" t="s">
        <v>55</v>
      </c>
      <c r="N403" s="20">
        <v>1497.71</v>
      </c>
      <c r="O403" s="20">
        <v>2156</v>
      </c>
      <c r="P403" s="21">
        <v>45848</v>
      </c>
      <c r="Q403" s="22"/>
      <c r="R403" s="23">
        <v>2156</v>
      </c>
      <c r="S403" s="24"/>
      <c r="T403" s="23"/>
      <c r="U403" s="24"/>
      <c r="V403" s="23"/>
      <c r="W403" s="23">
        <v>0.6</v>
      </c>
      <c r="X403" s="24">
        <v>17</v>
      </c>
      <c r="Y403" s="23"/>
      <c r="Z403" s="23"/>
      <c r="AA403" s="23"/>
      <c r="AB403" s="23">
        <v>142.19</v>
      </c>
      <c r="AC403" s="24">
        <v>1138</v>
      </c>
      <c r="AD403" s="23">
        <v>732.66</v>
      </c>
      <c r="AE403" s="24">
        <v>3495.2857142857142</v>
      </c>
      <c r="AF403" s="23"/>
      <c r="AG403" s="23"/>
      <c r="AH403" s="23"/>
      <c r="AI403" s="24"/>
      <c r="AJ403" s="25"/>
      <c r="AK403" s="23"/>
      <c r="AL403" s="23"/>
      <c r="AM403" s="24"/>
      <c r="AN403" s="23"/>
      <c r="AO403" s="24"/>
      <c r="AP403" s="23">
        <v>17.64</v>
      </c>
      <c r="AQ403" s="24">
        <v>120</v>
      </c>
      <c r="AR403" s="23">
        <v>194.73999999999998</v>
      </c>
      <c r="AS403" s="23">
        <v>-924</v>
      </c>
      <c r="AT403" s="23"/>
      <c r="AU403" s="24"/>
      <c r="AW403" s="27">
        <f t="shared" si="79"/>
        <v>4.0299999999999998E-4</v>
      </c>
      <c r="AX403" s="27">
        <f t="shared" si="80"/>
        <v>732.66040299999997</v>
      </c>
      <c r="AY403" s="27">
        <f t="shared" si="81"/>
        <v>142.190403</v>
      </c>
      <c r="AZ403" s="27">
        <f t="shared" si="82"/>
        <v>17.640402999999999</v>
      </c>
    </row>
    <row r="404" spans="1:52" ht="15" customHeight="1" x14ac:dyDescent="0.25">
      <c r="A404" s="13" t="str">
        <f>VLOOKUP(L404,[1]VALIDAÇÃO!$D$13:$E$350,2,0)</f>
        <v>DIRETO</v>
      </c>
      <c r="B404" s="14" t="str">
        <f t="shared" ref="B404:B467" si="84">C404&amp;J404</f>
        <v>43RIO AVE 130 SPE LTDA</v>
      </c>
      <c r="C404" s="15">
        <f t="shared" si="83"/>
        <v>43</v>
      </c>
      <c r="D404" s="16" t="str">
        <f t="shared" ref="D404:D467" si="85">E404&amp;J404</f>
        <v>24RIO AVE 130 SPE LTDA</v>
      </c>
      <c r="E404" s="17">
        <f t="shared" si="76"/>
        <v>24</v>
      </c>
      <c r="F404" s="18" t="str">
        <f t="shared" ref="F404:F467" si="86">G404&amp;J404</f>
        <v>36RIO AVE 130 SPE LTDA</v>
      </c>
      <c r="G404" s="18">
        <f t="shared" si="77"/>
        <v>36</v>
      </c>
      <c r="H404" s="19" t="str">
        <f t="shared" ref="H404:H467" si="87">I404&amp;J404</f>
        <v>55RIO AVE 130 SPE LTDA</v>
      </c>
      <c r="I404" s="19">
        <f t="shared" si="78"/>
        <v>55</v>
      </c>
      <c r="J404" s="13" t="s">
        <v>102</v>
      </c>
      <c r="K404" s="13" t="s">
        <v>513</v>
      </c>
      <c r="L404" s="13" t="s">
        <v>54</v>
      </c>
      <c r="M404" s="13" t="s">
        <v>55</v>
      </c>
      <c r="N404" s="20">
        <v>1165.76</v>
      </c>
      <c r="O404" s="20">
        <v>1506.27</v>
      </c>
      <c r="P404" s="21">
        <v>44959</v>
      </c>
      <c r="Q404" s="22"/>
      <c r="R404" s="23">
        <v>1506.27</v>
      </c>
      <c r="S404" s="24"/>
      <c r="T404" s="23"/>
      <c r="U404" s="24"/>
      <c r="V404" s="23"/>
      <c r="W404" s="23"/>
      <c r="X404" s="24"/>
      <c r="Y404" s="23"/>
      <c r="Z404" s="23"/>
      <c r="AA404" s="23">
        <v>5.27</v>
      </c>
      <c r="AB404" s="23">
        <v>129.72</v>
      </c>
      <c r="AC404" s="24">
        <v>668.99839285714302</v>
      </c>
      <c r="AD404" s="23">
        <v>373.24</v>
      </c>
      <c r="AE404" s="24">
        <v>2058.2769642857143</v>
      </c>
      <c r="AF404" s="23"/>
      <c r="AG404" s="23"/>
      <c r="AH404" s="23">
        <v>22.080000000000002</v>
      </c>
      <c r="AI404" s="24">
        <v>0</v>
      </c>
      <c r="AJ404" s="25">
        <v>390.87</v>
      </c>
      <c r="AK404" s="23">
        <v>89.13</v>
      </c>
      <c r="AL404" s="23"/>
      <c r="AM404" s="24"/>
      <c r="AN404" s="23"/>
      <c r="AO404" s="24"/>
      <c r="AP404" s="23"/>
      <c r="AQ404" s="24"/>
      <c r="AR404" s="23">
        <v>109.91</v>
      </c>
      <c r="AS404" s="23">
        <v>-648.85</v>
      </c>
      <c r="AT404" s="23"/>
      <c r="AU404" s="24"/>
      <c r="AW404" s="27">
        <f t="shared" si="79"/>
        <v>390.87040400000001</v>
      </c>
      <c r="AX404" s="27">
        <f t="shared" si="80"/>
        <v>373.24040400000001</v>
      </c>
      <c r="AY404" s="27">
        <f t="shared" si="81"/>
        <v>129.720404</v>
      </c>
      <c r="AZ404" s="27">
        <f t="shared" si="82"/>
        <v>4.0400000000000001E-4</v>
      </c>
    </row>
    <row r="405" spans="1:52" ht="15" customHeight="1" x14ac:dyDescent="0.25">
      <c r="A405" s="13" t="str">
        <f>VLOOKUP(L405,[1]VALIDAÇÃO!$D$13:$E$350,2,0)</f>
        <v>DIRETO</v>
      </c>
      <c r="B405" s="14" t="str">
        <f t="shared" si="84"/>
        <v>148RESERVA DO PAIVA SPE 03 LTDA</v>
      </c>
      <c r="C405" s="15">
        <f t="shared" si="83"/>
        <v>148</v>
      </c>
      <c r="D405" s="16" t="str">
        <f t="shared" si="85"/>
        <v>56RESERVA DO PAIVA SPE 03 LTDA</v>
      </c>
      <c r="E405" s="17">
        <f t="shared" si="76"/>
        <v>56</v>
      </c>
      <c r="F405" s="18" t="str">
        <f t="shared" si="86"/>
        <v>144RESERVA DO PAIVA SPE 03 LTDA</v>
      </c>
      <c r="G405" s="18">
        <f t="shared" si="77"/>
        <v>144</v>
      </c>
      <c r="H405" s="19" t="str">
        <f t="shared" si="87"/>
        <v>119RESERVA DO PAIVA SPE 03 LTDA</v>
      </c>
      <c r="I405" s="19">
        <f t="shared" si="78"/>
        <v>119</v>
      </c>
      <c r="J405" s="13" t="s">
        <v>52</v>
      </c>
      <c r="K405" s="13" t="s">
        <v>514</v>
      </c>
      <c r="L405" s="13" t="s">
        <v>54</v>
      </c>
      <c r="M405" s="13" t="s">
        <v>55</v>
      </c>
      <c r="N405" s="20">
        <v>1103.03</v>
      </c>
      <c r="O405" s="20">
        <v>1622.13</v>
      </c>
      <c r="P405" s="21">
        <v>45971</v>
      </c>
      <c r="Q405" s="22"/>
      <c r="R405" s="23">
        <v>1622.13</v>
      </c>
      <c r="S405" s="24"/>
      <c r="T405" s="23"/>
      <c r="U405" s="24"/>
      <c r="V405" s="23"/>
      <c r="W405" s="23"/>
      <c r="X405" s="24"/>
      <c r="Y405" s="23"/>
      <c r="Z405" s="23"/>
      <c r="AA405" s="23"/>
      <c r="AB405" s="23"/>
      <c r="AC405" s="24"/>
      <c r="AD405" s="23">
        <v>269.72999999999996</v>
      </c>
      <c r="AE405" s="24">
        <v>1430.4</v>
      </c>
      <c r="AF405" s="23"/>
      <c r="AG405" s="23"/>
      <c r="AH405" s="23"/>
      <c r="AI405" s="24"/>
      <c r="AJ405" s="25"/>
      <c r="AK405" s="23"/>
      <c r="AL405" s="23"/>
      <c r="AM405" s="24"/>
      <c r="AN405" s="23"/>
      <c r="AO405" s="24"/>
      <c r="AP405" s="23"/>
      <c r="AQ405" s="24"/>
      <c r="AR405" s="23">
        <v>59.6</v>
      </c>
      <c r="AS405" s="23">
        <v>-791.2</v>
      </c>
      <c r="AT405" s="23"/>
      <c r="AU405" s="24"/>
      <c r="AW405" s="27">
        <f t="shared" si="79"/>
        <v>4.0499999999999998E-4</v>
      </c>
      <c r="AX405" s="27">
        <f t="shared" si="80"/>
        <v>269.73040499999996</v>
      </c>
      <c r="AY405" s="27">
        <f t="shared" si="81"/>
        <v>4.0499999999999998E-4</v>
      </c>
      <c r="AZ405" s="27">
        <f t="shared" si="82"/>
        <v>4.0499999999999998E-4</v>
      </c>
    </row>
    <row r="406" spans="1:52" ht="15" customHeight="1" x14ac:dyDescent="0.25">
      <c r="A406" s="13" t="str">
        <f>VLOOKUP(L406,[1]VALIDAÇÃO!$D$13:$E$350,2,0)</f>
        <v>INDIRETO</v>
      </c>
      <c r="B406" s="14" t="str">
        <f t="shared" si="84"/>
        <v>9RIO AVE SUBHOLDING INCORPORACAO LTDA</v>
      </c>
      <c r="C406" s="15">
        <f t="shared" si="83"/>
        <v>9</v>
      </c>
      <c r="D406" s="16" t="str">
        <f t="shared" si="85"/>
        <v>9RIO AVE SUBHOLDING INCORPORACAO LTDA</v>
      </c>
      <c r="E406" s="17">
        <f t="shared" si="76"/>
        <v>9</v>
      </c>
      <c r="F406" s="18" t="str">
        <f t="shared" si="86"/>
        <v>8RIO AVE SUBHOLDING INCORPORACAO LTDA</v>
      </c>
      <c r="G406" s="18">
        <f t="shared" si="77"/>
        <v>8</v>
      </c>
      <c r="H406" s="19" t="str">
        <f t="shared" si="87"/>
        <v>7RIO AVE SUBHOLDING INCORPORACAO LTDA</v>
      </c>
      <c r="I406" s="19">
        <f t="shared" si="78"/>
        <v>7</v>
      </c>
      <c r="J406" s="13" t="s">
        <v>124</v>
      </c>
      <c r="K406" s="13" t="s">
        <v>515</v>
      </c>
      <c r="L406" s="13" t="s">
        <v>516</v>
      </c>
      <c r="M406" s="13" t="s">
        <v>127</v>
      </c>
      <c r="N406" s="20">
        <v>4262.0600000000004</v>
      </c>
      <c r="O406" s="20">
        <v>11397.24</v>
      </c>
      <c r="P406" s="21">
        <v>45510</v>
      </c>
      <c r="Q406" s="22"/>
      <c r="R406" s="23">
        <v>11397.24</v>
      </c>
      <c r="S406" s="24"/>
      <c r="T406" s="23"/>
      <c r="U406" s="24"/>
      <c r="V406" s="23"/>
      <c r="W406" s="23"/>
      <c r="X406" s="24"/>
      <c r="Y406" s="23"/>
      <c r="Z406" s="23"/>
      <c r="AA406" s="23"/>
      <c r="AB406" s="23"/>
      <c r="AC406" s="24"/>
      <c r="AD406" s="23"/>
      <c r="AE406" s="24"/>
      <c r="AF406" s="23"/>
      <c r="AG406" s="23"/>
      <c r="AH406" s="23"/>
      <c r="AI406" s="24"/>
      <c r="AJ406" s="25"/>
      <c r="AK406" s="23"/>
      <c r="AL406" s="23"/>
      <c r="AM406" s="24"/>
      <c r="AN406" s="23"/>
      <c r="AO406" s="24"/>
      <c r="AP406" s="23"/>
      <c r="AQ406" s="24"/>
      <c r="AR406" s="23"/>
      <c r="AS406" s="23">
        <v>-5065.4399999999996</v>
      </c>
      <c r="AT406" s="23"/>
      <c r="AU406" s="24"/>
      <c r="AW406" s="27">
        <f t="shared" si="79"/>
        <v>4.06E-4</v>
      </c>
      <c r="AX406" s="27">
        <f t="shared" si="80"/>
        <v>4.06E-4</v>
      </c>
      <c r="AY406" s="27">
        <f t="shared" si="81"/>
        <v>4.06E-4</v>
      </c>
      <c r="AZ406" s="27">
        <f t="shared" si="82"/>
        <v>4.06E-4</v>
      </c>
    </row>
    <row r="407" spans="1:52" ht="15" customHeight="1" x14ac:dyDescent="0.25">
      <c r="A407" s="13" t="str">
        <f>VLOOKUP(L407,[1]VALIDAÇÃO!$D$13:$E$350,2,0)</f>
        <v>DIRETO</v>
      </c>
      <c r="B407" s="14" t="str">
        <f t="shared" si="84"/>
        <v>26RESERVA DO PAIVA SPE 03 LTDA</v>
      </c>
      <c r="C407" s="15">
        <f t="shared" si="83"/>
        <v>26</v>
      </c>
      <c r="D407" s="16" t="str">
        <f t="shared" si="85"/>
        <v>31RESERVA DO PAIVA SPE 03 LTDA</v>
      </c>
      <c r="E407" s="17">
        <f t="shared" si="76"/>
        <v>31</v>
      </c>
      <c r="F407" s="18" t="str">
        <f t="shared" si="86"/>
        <v>20RESERVA DO PAIVA SPE 03 LTDA</v>
      </c>
      <c r="G407" s="18">
        <f t="shared" si="77"/>
        <v>20</v>
      </c>
      <c r="H407" s="19" t="str">
        <f t="shared" si="87"/>
        <v>4RESERVA DO PAIVA SPE 03 LTDA</v>
      </c>
      <c r="I407" s="19">
        <f t="shared" si="78"/>
        <v>4</v>
      </c>
      <c r="J407" s="13" t="s">
        <v>52</v>
      </c>
      <c r="K407" s="13" t="s">
        <v>517</v>
      </c>
      <c r="L407" s="13" t="s">
        <v>131</v>
      </c>
      <c r="M407" s="13" t="s">
        <v>55</v>
      </c>
      <c r="N407" s="20">
        <v>3100.04</v>
      </c>
      <c r="O407" s="20">
        <v>2156</v>
      </c>
      <c r="P407" s="21">
        <v>45978</v>
      </c>
      <c r="Q407" s="22"/>
      <c r="R407" s="23">
        <v>2156</v>
      </c>
      <c r="S407" s="24"/>
      <c r="T407" s="23"/>
      <c r="U407" s="24"/>
      <c r="V407" s="23"/>
      <c r="W407" s="23">
        <v>0.21</v>
      </c>
      <c r="X407" s="24">
        <v>6</v>
      </c>
      <c r="Y407" s="23"/>
      <c r="Z407" s="23"/>
      <c r="AA407" s="23">
        <v>27.76</v>
      </c>
      <c r="AB407" s="23">
        <v>322.79000000000002</v>
      </c>
      <c r="AC407" s="24">
        <v>1085</v>
      </c>
      <c r="AD407" s="23">
        <v>459.64</v>
      </c>
      <c r="AE407" s="24">
        <v>1545</v>
      </c>
      <c r="AF407" s="23"/>
      <c r="AG407" s="23"/>
      <c r="AH407" s="23">
        <v>127.68</v>
      </c>
      <c r="AI407" s="24">
        <v>0</v>
      </c>
      <c r="AJ407" s="25">
        <v>492.86</v>
      </c>
      <c r="AK407" s="23">
        <v>107.14</v>
      </c>
      <c r="AL407" s="23"/>
      <c r="AM407" s="24"/>
      <c r="AN407" s="23"/>
      <c r="AO407" s="24"/>
      <c r="AP407" s="23">
        <v>789.25</v>
      </c>
      <c r="AQ407" s="24">
        <v>2255</v>
      </c>
      <c r="AR407" s="23">
        <v>341.72</v>
      </c>
      <c r="AS407" s="23">
        <v>-924</v>
      </c>
      <c r="AT407" s="23"/>
      <c r="AU407" s="24"/>
      <c r="AW407" s="27">
        <f t="shared" si="79"/>
        <v>492.86040700000001</v>
      </c>
      <c r="AX407" s="27">
        <f t="shared" si="80"/>
        <v>459.64040699999998</v>
      </c>
      <c r="AY407" s="27">
        <f t="shared" si="81"/>
        <v>322.79040700000002</v>
      </c>
      <c r="AZ407" s="27">
        <f t="shared" si="82"/>
        <v>789.250407</v>
      </c>
    </row>
    <row r="408" spans="1:52" ht="15" customHeight="1" x14ac:dyDescent="0.25">
      <c r="A408" s="13" t="str">
        <f>VLOOKUP(L408,[1]VALIDAÇÃO!$D$13:$E$350,2,0)</f>
        <v>DIRETO</v>
      </c>
      <c r="B408" s="14" t="str">
        <f t="shared" si="84"/>
        <v>1CONDOMINIO DO EDIFICIO EMPRESARIAL MARIE CURIE</v>
      </c>
      <c r="C408" s="15">
        <f t="shared" si="83"/>
        <v>1</v>
      </c>
      <c r="D408" s="16" t="str">
        <f t="shared" si="85"/>
        <v>113CONDOMINIO DO EDIFICIO EMPRESARIAL MARIE CURIE</v>
      </c>
      <c r="E408" s="17">
        <f t="shared" si="76"/>
        <v>113</v>
      </c>
      <c r="F408" s="18" t="str">
        <f t="shared" si="86"/>
        <v>109CONDOMINIO DO EDIFICIO EMPRESARIAL MARIE CURIE</v>
      </c>
      <c r="G408" s="18">
        <f t="shared" si="77"/>
        <v>109</v>
      </c>
      <c r="H408" s="19" t="str">
        <f t="shared" si="87"/>
        <v>79CONDOMINIO DO EDIFICIO EMPRESARIAL MARIE CURIE</v>
      </c>
      <c r="I408" s="19">
        <f t="shared" si="78"/>
        <v>79</v>
      </c>
      <c r="J408" s="13" t="s">
        <v>57</v>
      </c>
      <c r="K408" s="13" t="s">
        <v>518</v>
      </c>
      <c r="L408" s="13" t="s">
        <v>63</v>
      </c>
      <c r="M408" s="13" t="s">
        <v>60</v>
      </c>
      <c r="N408" s="20">
        <v>2096.0700000000002</v>
      </c>
      <c r="O408" s="20">
        <v>2156</v>
      </c>
      <c r="P408" s="21">
        <v>45699</v>
      </c>
      <c r="Q408" s="22"/>
      <c r="R408" s="23">
        <v>2156</v>
      </c>
      <c r="S408" s="24"/>
      <c r="T408" s="23"/>
      <c r="U408" s="24"/>
      <c r="V408" s="23"/>
      <c r="W408" s="23"/>
      <c r="X408" s="24"/>
      <c r="Y408" s="23"/>
      <c r="Z408" s="23"/>
      <c r="AA408" s="23">
        <v>0.30000000000000004</v>
      </c>
      <c r="AB408" s="23"/>
      <c r="AC408" s="24"/>
      <c r="AD408" s="23">
        <v>6.07</v>
      </c>
      <c r="AE408" s="24">
        <v>22.504285714285714</v>
      </c>
      <c r="AF408" s="23"/>
      <c r="AG408" s="23"/>
      <c r="AH408" s="23">
        <v>1.42</v>
      </c>
      <c r="AI408" s="24">
        <v>0</v>
      </c>
      <c r="AJ408" s="25">
        <v>2658.37</v>
      </c>
      <c r="AK408" s="23">
        <v>574.22</v>
      </c>
      <c r="AL408" s="23"/>
      <c r="AM408" s="24"/>
      <c r="AN408" s="23"/>
      <c r="AO408" s="24"/>
      <c r="AP408" s="23"/>
      <c r="AQ408" s="24"/>
      <c r="AR408" s="23">
        <v>1.28</v>
      </c>
      <c r="AS408" s="23">
        <v>-924</v>
      </c>
      <c r="AT408" s="23"/>
      <c r="AU408" s="24"/>
      <c r="AW408" s="27">
        <f t="shared" si="79"/>
        <v>2658.3704079999998</v>
      </c>
      <c r="AX408" s="27">
        <f t="shared" si="80"/>
        <v>6.0704080000000005</v>
      </c>
      <c r="AY408" s="27">
        <f t="shared" si="81"/>
        <v>4.08E-4</v>
      </c>
      <c r="AZ408" s="27">
        <f t="shared" si="82"/>
        <v>4.08E-4</v>
      </c>
    </row>
    <row r="409" spans="1:52" ht="15" customHeight="1" x14ac:dyDescent="0.25">
      <c r="A409" s="13" t="str">
        <f>VLOOKUP(L409,[1]VALIDAÇÃO!$D$13:$E$350,2,0)</f>
        <v>DIRETO</v>
      </c>
      <c r="B409" s="14" t="str">
        <f t="shared" si="84"/>
        <v>25RIO AVE PRAIA HOTEL SPE LTDA.</v>
      </c>
      <c r="C409" s="15">
        <f t="shared" si="83"/>
        <v>25</v>
      </c>
      <c r="D409" s="16" t="str">
        <f t="shared" si="85"/>
        <v>25RIO AVE PRAIA HOTEL SPE LTDA.</v>
      </c>
      <c r="E409" s="17">
        <f t="shared" si="76"/>
        <v>25</v>
      </c>
      <c r="F409" s="18" t="str">
        <f t="shared" si="86"/>
        <v>26RIO AVE PRAIA HOTEL SPE LTDA.</v>
      </c>
      <c r="G409" s="18">
        <f t="shared" si="77"/>
        <v>26</v>
      </c>
      <c r="H409" s="19" t="str">
        <f t="shared" si="87"/>
        <v>26RIO AVE PRAIA HOTEL SPE LTDA.</v>
      </c>
      <c r="I409" s="19">
        <f t="shared" si="78"/>
        <v>26</v>
      </c>
      <c r="J409" s="13" t="s">
        <v>80</v>
      </c>
      <c r="K409" s="13" t="s">
        <v>519</v>
      </c>
      <c r="L409" s="13" t="s">
        <v>87</v>
      </c>
      <c r="M409" s="13" t="s">
        <v>82</v>
      </c>
      <c r="N409" s="20"/>
      <c r="O409" s="20"/>
      <c r="P409" s="21">
        <v>45188</v>
      </c>
      <c r="Q409" s="22"/>
      <c r="R409" s="23"/>
      <c r="S409" s="24"/>
      <c r="T409" s="23"/>
      <c r="U409" s="24"/>
      <c r="V409" s="23"/>
      <c r="W409" s="23"/>
      <c r="X409" s="24"/>
      <c r="Y409" s="23"/>
      <c r="Z409" s="23"/>
      <c r="AA409" s="23"/>
      <c r="AB409" s="23"/>
      <c r="AC409" s="24"/>
      <c r="AD409" s="23"/>
      <c r="AE409" s="24"/>
      <c r="AF409" s="23"/>
      <c r="AG409" s="23"/>
      <c r="AH409" s="23"/>
      <c r="AI409" s="24"/>
      <c r="AJ409" s="25"/>
      <c r="AK409" s="23"/>
      <c r="AL409" s="23"/>
      <c r="AM409" s="24"/>
      <c r="AN409" s="23"/>
      <c r="AO409" s="24"/>
      <c r="AP409" s="23"/>
      <c r="AQ409" s="24"/>
      <c r="AR409" s="23"/>
      <c r="AS409" s="23"/>
      <c r="AT409" s="23"/>
      <c r="AU409" s="24"/>
      <c r="AW409" s="27">
        <f t="shared" si="79"/>
        <v>4.0900000000000002E-4</v>
      </c>
      <c r="AX409" s="27">
        <f t="shared" si="80"/>
        <v>4.0900000000000002E-4</v>
      </c>
      <c r="AY409" s="27">
        <f t="shared" si="81"/>
        <v>4.0900000000000002E-4</v>
      </c>
      <c r="AZ409" s="27">
        <f t="shared" si="82"/>
        <v>4.0900000000000002E-4</v>
      </c>
    </row>
    <row r="410" spans="1:52" ht="15" customHeight="1" x14ac:dyDescent="0.25">
      <c r="A410" s="13" t="str">
        <f>VLOOKUP(L410,[1]VALIDAÇÃO!$D$13:$E$350,2,0)</f>
        <v>INDIRETO</v>
      </c>
      <c r="B410" s="14" t="str">
        <f t="shared" si="84"/>
        <v>138RIO AVE CARNEIROS 01 SPE LTDA.</v>
      </c>
      <c r="C410" s="15">
        <f t="shared" si="83"/>
        <v>138</v>
      </c>
      <c r="D410" s="16" t="str">
        <f t="shared" si="85"/>
        <v>5RIO AVE CARNEIROS 01 SPE LTDA.</v>
      </c>
      <c r="E410" s="17">
        <f t="shared" si="76"/>
        <v>5</v>
      </c>
      <c r="F410" s="18" t="str">
        <f t="shared" si="86"/>
        <v>20RIO AVE CARNEIROS 01 SPE LTDA.</v>
      </c>
      <c r="G410" s="18">
        <f t="shared" si="77"/>
        <v>20</v>
      </c>
      <c r="H410" s="19" t="str">
        <f t="shared" si="87"/>
        <v>7RIO AVE CARNEIROS 01 SPE LTDA.</v>
      </c>
      <c r="I410" s="19">
        <f t="shared" si="78"/>
        <v>7</v>
      </c>
      <c r="J410" s="13" t="s">
        <v>61</v>
      </c>
      <c r="K410" s="13" t="s">
        <v>520</v>
      </c>
      <c r="L410" s="13" t="s">
        <v>521</v>
      </c>
      <c r="M410" s="13" t="s">
        <v>85</v>
      </c>
      <c r="N410" s="20">
        <v>1943.89</v>
      </c>
      <c r="O410" s="20">
        <v>3395.47</v>
      </c>
      <c r="P410" s="21">
        <v>45201</v>
      </c>
      <c r="Q410" s="22"/>
      <c r="R410" s="23">
        <v>3395.47</v>
      </c>
      <c r="S410" s="24"/>
      <c r="T410" s="23"/>
      <c r="U410" s="24"/>
      <c r="V410" s="23"/>
      <c r="W410" s="23"/>
      <c r="X410" s="24"/>
      <c r="Y410" s="23"/>
      <c r="Z410" s="23"/>
      <c r="AA410" s="23"/>
      <c r="AB410" s="23">
        <v>185.92</v>
      </c>
      <c r="AC410" s="24">
        <v>479.72142857142853</v>
      </c>
      <c r="AD410" s="23">
        <v>877.19</v>
      </c>
      <c r="AE410" s="24">
        <v>2070.0728571428572</v>
      </c>
      <c r="AF410" s="23"/>
      <c r="AG410" s="23"/>
      <c r="AH410" s="23"/>
      <c r="AI410" s="24"/>
      <c r="AJ410" s="25"/>
      <c r="AK410" s="23"/>
      <c r="AL410" s="23"/>
      <c r="AM410" s="24"/>
      <c r="AN410" s="23"/>
      <c r="AO410" s="24"/>
      <c r="AP410" s="23">
        <v>94.35</v>
      </c>
      <c r="AQ410" s="24">
        <v>210.28428571428572</v>
      </c>
      <c r="AR410" s="23">
        <v>243.82000000000002</v>
      </c>
      <c r="AS410" s="23">
        <v>-1455.2</v>
      </c>
      <c r="AT410" s="23"/>
      <c r="AU410" s="24"/>
      <c r="AW410" s="27">
        <f t="shared" si="79"/>
        <v>4.0999999999999999E-4</v>
      </c>
      <c r="AX410" s="27">
        <f t="shared" si="80"/>
        <v>877.19041000000004</v>
      </c>
      <c r="AY410" s="27">
        <f t="shared" si="81"/>
        <v>185.92040999999998</v>
      </c>
      <c r="AZ410" s="27">
        <f t="shared" si="82"/>
        <v>94.350409999999997</v>
      </c>
    </row>
    <row r="411" spans="1:52" ht="15" customHeight="1" x14ac:dyDescent="0.25">
      <c r="A411" s="13" t="str">
        <f>VLOOKUP(L411,[1]VALIDAÇÃO!$D$13:$E$350,2,0)</f>
        <v>DIRETO</v>
      </c>
      <c r="B411" s="14" t="str">
        <f t="shared" si="84"/>
        <v>12RESERVA DO PAIVA SPE 01 LTDA.</v>
      </c>
      <c r="C411" s="15">
        <f t="shared" si="83"/>
        <v>12</v>
      </c>
      <c r="D411" s="16" t="str">
        <f t="shared" si="85"/>
        <v>9RESERVA DO PAIVA SPE 01 LTDA.</v>
      </c>
      <c r="E411" s="17">
        <f t="shared" si="76"/>
        <v>9</v>
      </c>
      <c r="F411" s="18" t="str">
        <f t="shared" si="86"/>
        <v>46RESERVA DO PAIVA SPE 01 LTDA.</v>
      </c>
      <c r="G411" s="18">
        <f t="shared" si="77"/>
        <v>46</v>
      </c>
      <c r="H411" s="19" t="str">
        <f t="shared" si="87"/>
        <v>52RESERVA DO PAIVA SPE 01 LTDA.</v>
      </c>
      <c r="I411" s="19">
        <f t="shared" si="78"/>
        <v>52</v>
      </c>
      <c r="J411" s="13" t="s">
        <v>68</v>
      </c>
      <c r="K411" s="13" t="s">
        <v>522</v>
      </c>
      <c r="L411" s="13" t="s">
        <v>87</v>
      </c>
      <c r="M411" s="13" t="s">
        <v>55</v>
      </c>
      <c r="N411" s="20">
        <v>2457.96</v>
      </c>
      <c r="O411" s="20">
        <v>2156</v>
      </c>
      <c r="P411" s="21">
        <v>45607</v>
      </c>
      <c r="Q411" s="22"/>
      <c r="R411" s="23">
        <v>2156</v>
      </c>
      <c r="S411" s="24"/>
      <c r="T411" s="23"/>
      <c r="U411" s="24"/>
      <c r="V411" s="23"/>
      <c r="W411" s="23"/>
      <c r="X411" s="24"/>
      <c r="Y411" s="23"/>
      <c r="Z411" s="23"/>
      <c r="AA411" s="23">
        <v>28.270000000000003</v>
      </c>
      <c r="AB411" s="23">
        <v>220.61</v>
      </c>
      <c r="AC411" s="24">
        <v>968.98571428571427</v>
      </c>
      <c r="AD411" s="23">
        <v>985.83999999999992</v>
      </c>
      <c r="AE411" s="24">
        <v>3698.5914285714289</v>
      </c>
      <c r="AF411" s="23"/>
      <c r="AG411" s="23"/>
      <c r="AH411" s="23">
        <v>128.57999999999998</v>
      </c>
      <c r="AI411" s="24">
        <v>0</v>
      </c>
      <c r="AJ411" s="25">
        <v>1070.97</v>
      </c>
      <c r="AK411" s="23">
        <v>232.14</v>
      </c>
      <c r="AL411" s="23"/>
      <c r="AM411" s="24"/>
      <c r="AN411" s="23"/>
      <c r="AO411" s="24"/>
      <c r="AP411" s="23">
        <v>227.57</v>
      </c>
      <c r="AQ411" s="24">
        <v>677.54285714285709</v>
      </c>
      <c r="AR411" s="23">
        <v>313.02999999999997</v>
      </c>
      <c r="AS411" s="23">
        <v>-980</v>
      </c>
      <c r="AT411" s="23"/>
      <c r="AU411" s="24"/>
      <c r="AW411" s="27">
        <f t="shared" si="79"/>
        <v>1070.970411</v>
      </c>
      <c r="AX411" s="27">
        <f t="shared" si="80"/>
        <v>985.8404109999999</v>
      </c>
      <c r="AY411" s="27">
        <f t="shared" si="81"/>
        <v>220.61041100000003</v>
      </c>
      <c r="AZ411" s="27">
        <f t="shared" si="82"/>
        <v>227.57041100000001</v>
      </c>
    </row>
    <row r="412" spans="1:52" ht="15" customHeight="1" x14ac:dyDescent="0.25">
      <c r="A412" s="13" t="str">
        <f>VLOOKUP(L412,[1]VALIDAÇÃO!$D$13:$E$350,2,0)</f>
        <v>INDIRETO</v>
      </c>
      <c r="B412" s="14" t="str">
        <f t="shared" si="84"/>
        <v>115RIO AVE CARNEIROS 01 SPE LTDA.</v>
      </c>
      <c r="C412" s="15">
        <f t="shared" si="83"/>
        <v>115</v>
      </c>
      <c r="D412" s="16" t="str">
        <f t="shared" si="85"/>
        <v>6RIO AVE CARNEIROS 01 SPE LTDA.</v>
      </c>
      <c r="E412" s="17">
        <f t="shared" si="76"/>
        <v>6</v>
      </c>
      <c r="F412" s="18" t="str">
        <f t="shared" si="86"/>
        <v>32RIO AVE CARNEIROS 01 SPE LTDA.</v>
      </c>
      <c r="G412" s="18">
        <f t="shared" si="77"/>
        <v>32</v>
      </c>
      <c r="H412" s="19" t="str">
        <f t="shared" si="87"/>
        <v>10RIO AVE CARNEIROS 01 SPE LTDA.</v>
      </c>
      <c r="I412" s="19">
        <f t="shared" si="78"/>
        <v>10</v>
      </c>
      <c r="J412" s="13" t="s">
        <v>61</v>
      </c>
      <c r="K412" s="13" t="s">
        <v>523</v>
      </c>
      <c r="L412" s="13" t="s">
        <v>84</v>
      </c>
      <c r="M412" s="13" t="s">
        <v>85</v>
      </c>
      <c r="N412" s="20">
        <v>1634.32</v>
      </c>
      <c r="O412" s="20">
        <v>2747.44</v>
      </c>
      <c r="P412" s="21">
        <v>45474</v>
      </c>
      <c r="Q412" s="22"/>
      <c r="R412" s="23">
        <v>2747.44</v>
      </c>
      <c r="S412" s="24"/>
      <c r="T412" s="23"/>
      <c r="U412" s="24"/>
      <c r="V412" s="23"/>
      <c r="W412" s="23"/>
      <c r="X412" s="24"/>
      <c r="Y412" s="23"/>
      <c r="Z412" s="23"/>
      <c r="AA412" s="23">
        <v>2.87</v>
      </c>
      <c r="AB412" s="23">
        <v>162.59</v>
      </c>
      <c r="AC412" s="24">
        <v>460.5</v>
      </c>
      <c r="AD412" s="23">
        <v>855.77</v>
      </c>
      <c r="AE412" s="24">
        <v>2427.7414285714285</v>
      </c>
      <c r="AF412" s="23"/>
      <c r="AG412" s="23"/>
      <c r="AH412" s="23">
        <v>13</v>
      </c>
      <c r="AI412" s="24">
        <v>0</v>
      </c>
      <c r="AJ412" s="25">
        <v>128.34</v>
      </c>
      <c r="AK412" s="23">
        <v>27.74</v>
      </c>
      <c r="AL412" s="23">
        <v>-2.9</v>
      </c>
      <c r="AM412" s="24">
        <v>13</v>
      </c>
      <c r="AN412" s="23"/>
      <c r="AO412" s="24"/>
      <c r="AP412" s="23">
        <v>90.3</v>
      </c>
      <c r="AQ412" s="24">
        <v>227.2042857142857</v>
      </c>
      <c r="AR412" s="23">
        <v>219.26</v>
      </c>
      <c r="AS412" s="23">
        <v>-1177.48</v>
      </c>
      <c r="AT412" s="23"/>
      <c r="AU412" s="24"/>
      <c r="AW412" s="27">
        <f t="shared" si="79"/>
        <v>128.34041200000001</v>
      </c>
      <c r="AX412" s="27">
        <f t="shared" si="80"/>
        <v>855.77041199999996</v>
      </c>
      <c r="AY412" s="27">
        <f t="shared" si="81"/>
        <v>162.59041200000001</v>
      </c>
      <c r="AZ412" s="27">
        <f t="shared" si="82"/>
        <v>90.300411999999994</v>
      </c>
    </row>
    <row r="413" spans="1:52" ht="15" customHeight="1" x14ac:dyDescent="0.25">
      <c r="A413" s="13" t="str">
        <f>VLOOKUP(L413,[1]VALIDAÇÃO!$D$13:$E$350,2,0)</f>
        <v>INDIRETO</v>
      </c>
      <c r="B413" s="14" t="str">
        <f t="shared" si="84"/>
        <v>6RIO AVE EQUIPAMENTOS LTDA.</v>
      </c>
      <c r="C413" s="15">
        <f t="shared" si="83"/>
        <v>6</v>
      </c>
      <c r="D413" s="16" t="str">
        <f t="shared" si="85"/>
        <v>1RIO AVE EQUIPAMENTOS LTDA.</v>
      </c>
      <c r="E413" s="17">
        <f t="shared" si="76"/>
        <v>1</v>
      </c>
      <c r="F413" s="18" t="str">
        <f t="shared" si="86"/>
        <v>3RIO AVE EQUIPAMENTOS LTDA.</v>
      </c>
      <c r="G413" s="18">
        <f t="shared" si="77"/>
        <v>3</v>
      </c>
      <c r="H413" s="19" t="str">
        <f t="shared" si="87"/>
        <v>3RIO AVE EQUIPAMENTOS LTDA.</v>
      </c>
      <c r="I413" s="19">
        <f t="shared" si="78"/>
        <v>3</v>
      </c>
      <c r="J413" s="13" t="s">
        <v>190</v>
      </c>
      <c r="K413" s="13" t="s">
        <v>524</v>
      </c>
      <c r="L413" s="13" t="s">
        <v>525</v>
      </c>
      <c r="M413" s="13" t="s">
        <v>85</v>
      </c>
      <c r="N413" s="20">
        <v>1073.28</v>
      </c>
      <c r="O413" s="20">
        <v>2079</v>
      </c>
      <c r="P413" s="21">
        <v>45454</v>
      </c>
      <c r="Q413" s="22"/>
      <c r="R413" s="23">
        <v>2079</v>
      </c>
      <c r="S413" s="24"/>
      <c r="T413" s="23"/>
      <c r="U413" s="24"/>
      <c r="V413" s="23"/>
      <c r="W413" s="23">
        <v>0.1</v>
      </c>
      <c r="X413" s="24">
        <v>2.82</v>
      </c>
      <c r="Y413" s="23"/>
      <c r="Z413" s="23"/>
      <c r="AA413" s="23"/>
      <c r="AB413" s="23">
        <v>14.530000000000001</v>
      </c>
      <c r="AC413" s="24">
        <v>62.301428571428566</v>
      </c>
      <c r="AD413" s="23">
        <v>204.85000000000002</v>
      </c>
      <c r="AE413" s="24">
        <v>722.7071428571428</v>
      </c>
      <c r="AF413" s="23"/>
      <c r="AG413" s="23"/>
      <c r="AH413" s="23"/>
      <c r="AI413" s="24"/>
      <c r="AJ413" s="25"/>
      <c r="AK413" s="23"/>
      <c r="AL413" s="23"/>
      <c r="AM413" s="24"/>
      <c r="AN413" s="23"/>
      <c r="AO413" s="24"/>
      <c r="AP413" s="23"/>
      <c r="AQ413" s="24"/>
      <c r="AR413" s="23">
        <v>40.930000000000007</v>
      </c>
      <c r="AS413" s="23">
        <v>-924</v>
      </c>
      <c r="AT413" s="23"/>
      <c r="AU413" s="24"/>
      <c r="AW413" s="27">
        <f t="shared" si="79"/>
        <v>4.1300000000000001E-4</v>
      </c>
      <c r="AX413" s="27">
        <f t="shared" si="80"/>
        <v>204.85041300000003</v>
      </c>
      <c r="AY413" s="27">
        <f t="shared" si="81"/>
        <v>14.530413000000001</v>
      </c>
      <c r="AZ413" s="27">
        <f t="shared" si="82"/>
        <v>4.1300000000000001E-4</v>
      </c>
    </row>
    <row r="414" spans="1:52" ht="15" customHeight="1" x14ac:dyDescent="0.25">
      <c r="A414" s="13" t="str">
        <f>VLOOKUP(L414,[1]VALIDAÇÃO!$D$13:$E$350,2,0)</f>
        <v>DIRETO</v>
      </c>
      <c r="B414" s="14" t="str">
        <f t="shared" si="84"/>
        <v>128RIO AVE CARNEIROS 01 SPE LTDA.</v>
      </c>
      <c r="C414" s="15">
        <f t="shared" si="83"/>
        <v>128</v>
      </c>
      <c r="D414" s="16" t="str">
        <f t="shared" si="85"/>
        <v>148RIO AVE CARNEIROS 01 SPE LTDA.</v>
      </c>
      <c r="E414" s="17">
        <f t="shared" si="76"/>
        <v>148</v>
      </c>
      <c r="F414" s="18" t="str">
        <f t="shared" si="86"/>
        <v>125RIO AVE CARNEIROS 01 SPE LTDA.</v>
      </c>
      <c r="G414" s="18">
        <f t="shared" si="77"/>
        <v>125</v>
      </c>
      <c r="H414" s="19" t="str">
        <f t="shared" si="87"/>
        <v>114RIO AVE CARNEIROS 01 SPE LTDA.</v>
      </c>
      <c r="I414" s="19">
        <f t="shared" si="78"/>
        <v>114</v>
      </c>
      <c r="J414" s="13" t="s">
        <v>61</v>
      </c>
      <c r="K414" s="13" t="s">
        <v>526</v>
      </c>
      <c r="L414" s="13" t="s">
        <v>54</v>
      </c>
      <c r="M414" s="13" t="s">
        <v>55</v>
      </c>
      <c r="N414" s="20">
        <v>0</v>
      </c>
      <c r="O414" s="20">
        <v>57.93</v>
      </c>
      <c r="P414" s="21">
        <v>45915</v>
      </c>
      <c r="Q414" s="22"/>
      <c r="R414" s="23">
        <v>57.93</v>
      </c>
      <c r="S414" s="24"/>
      <c r="T414" s="23">
        <v>405.53</v>
      </c>
      <c r="U414" s="24">
        <v>7</v>
      </c>
      <c r="V414" s="23"/>
      <c r="W414" s="23"/>
      <c r="X414" s="24"/>
      <c r="Y414" s="23"/>
      <c r="Z414" s="23"/>
      <c r="AA414" s="23">
        <v>0.09</v>
      </c>
      <c r="AB414" s="23">
        <v>11.99</v>
      </c>
      <c r="AC414" s="24">
        <v>160.66999999999999</v>
      </c>
      <c r="AD414" s="23"/>
      <c r="AE414" s="24"/>
      <c r="AF414" s="31"/>
      <c r="AG414" s="23"/>
      <c r="AH414" s="23">
        <v>0.48</v>
      </c>
      <c r="AI414" s="24">
        <v>0</v>
      </c>
      <c r="AJ414" s="25">
        <v>18.64</v>
      </c>
      <c r="AK414" s="23">
        <v>3.58</v>
      </c>
      <c r="AL414" s="23">
        <v>-4.51</v>
      </c>
      <c r="AM414" s="24">
        <v>274</v>
      </c>
      <c r="AN414" s="23">
        <v>-289.66000000000003</v>
      </c>
      <c r="AO414" s="24">
        <v>5</v>
      </c>
      <c r="AP414" s="23"/>
      <c r="AQ414" s="24"/>
      <c r="AR414" s="23">
        <v>2.31</v>
      </c>
      <c r="AS414" s="23">
        <v>-695.2</v>
      </c>
      <c r="AT414" s="23">
        <v>-231.73</v>
      </c>
      <c r="AU414" s="24">
        <v>4</v>
      </c>
      <c r="AW414" s="27">
        <f t="shared" si="79"/>
        <v>18.640414</v>
      </c>
      <c r="AX414" s="27">
        <f t="shared" si="80"/>
        <v>4.1399999999999998E-4</v>
      </c>
      <c r="AY414" s="27">
        <f t="shared" si="81"/>
        <v>11.990413999999999</v>
      </c>
      <c r="AZ414" s="27">
        <f t="shared" si="82"/>
        <v>4.1399999999999998E-4</v>
      </c>
    </row>
    <row r="415" spans="1:52" ht="15" customHeight="1" x14ac:dyDescent="0.25">
      <c r="A415" s="13" t="str">
        <f>VLOOKUP(L415,[1]VALIDAÇÃO!$D$13:$E$350,2,0)</f>
        <v>DIRETO</v>
      </c>
      <c r="B415" s="14" t="str">
        <f t="shared" si="84"/>
        <v>50CONDOMINIO DO EDIFICIO EMPRESARIAL MARIE CURIE</v>
      </c>
      <c r="C415" s="15">
        <f t="shared" si="83"/>
        <v>50</v>
      </c>
      <c r="D415" s="16" t="str">
        <f t="shared" si="85"/>
        <v>37CONDOMINIO DO EDIFICIO EMPRESARIAL MARIE CURIE</v>
      </c>
      <c r="E415" s="17">
        <f t="shared" si="76"/>
        <v>37</v>
      </c>
      <c r="F415" s="18" t="str">
        <f t="shared" si="86"/>
        <v>4CONDOMINIO DO EDIFICIO EMPRESARIAL MARIE CURIE</v>
      </c>
      <c r="G415" s="18">
        <f t="shared" si="77"/>
        <v>4</v>
      </c>
      <c r="H415" s="19" t="str">
        <f t="shared" si="87"/>
        <v>8CONDOMINIO DO EDIFICIO EMPRESARIAL MARIE CURIE</v>
      </c>
      <c r="I415" s="19">
        <f t="shared" si="78"/>
        <v>8</v>
      </c>
      <c r="J415" s="13" t="s">
        <v>57</v>
      </c>
      <c r="K415" s="13" t="s">
        <v>527</v>
      </c>
      <c r="L415" s="13" t="s">
        <v>131</v>
      </c>
      <c r="M415" s="13" t="s">
        <v>60</v>
      </c>
      <c r="N415" s="20">
        <v>1762.3</v>
      </c>
      <c r="O415" s="20">
        <v>2156</v>
      </c>
      <c r="P415" s="21">
        <v>45726</v>
      </c>
      <c r="Q415" s="22"/>
      <c r="R415" s="23">
        <v>2156</v>
      </c>
      <c r="S415" s="24"/>
      <c r="T415" s="23"/>
      <c r="U415" s="24"/>
      <c r="V415" s="23"/>
      <c r="W415" s="23"/>
      <c r="X415" s="24"/>
      <c r="Y415" s="23"/>
      <c r="Z415" s="23"/>
      <c r="AA415" s="23">
        <v>8.7199999999999989</v>
      </c>
      <c r="AB415" s="23">
        <v>392.43</v>
      </c>
      <c r="AC415" s="24">
        <v>1503.1042857142857</v>
      </c>
      <c r="AD415" s="23">
        <v>211.4</v>
      </c>
      <c r="AE415" s="24">
        <v>1087.6142857142859</v>
      </c>
      <c r="AF415" s="23"/>
      <c r="AG415" s="23"/>
      <c r="AH415" s="23">
        <v>41.08</v>
      </c>
      <c r="AI415" s="24">
        <v>0</v>
      </c>
      <c r="AJ415" s="25">
        <v>529.51</v>
      </c>
      <c r="AK415" s="23">
        <v>114</v>
      </c>
      <c r="AL415" s="23"/>
      <c r="AM415" s="24"/>
      <c r="AN415" s="23"/>
      <c r="AO415" s="24"/>
      <c r="AP415" s="23">
        <v>223.84</v>
      </c>
      <c r="AQ415" s="24">
        <v>719.86142857142852</v>
      </c>
      <c r="AR415" s="23">
        <v>175.57999999999998</v>
      </c>
      <c r="AS415" s="23">
        <v>-924</v>
      </c>
      <c r="AT415" s="23"/>
      <c r="AU415" s="24"/>
      <c r="AW415" s="27">
        <f t="shared" si="79"/>
        <v>529.51041499999997</v>
      </c>
      <c r="AX415" s="27">
        <f t="shared" si="80"/>
        <v>211.40041500000001</v>
      </c>
      <c r="AY415" s="27">
        <f t="shared" si="81"/>
        <v>392.43041499999998</v>
      </c>
      <c r="AZ415" s="27">
        <f t="shared" si="82"/>
        <v>223.84041500000001</v>
      </c>
    </row>
    <row r="416" spans="1:52" ht="15" customHeight="1" x14ac:dyDescent="0.25">
      <c r="A416" s="13" t="str">
        <f>VLOOKUP(L416,[1]VALIDAÇÃO!$D$13:$E$350,2,0)</f>
        <v>DIRETO</v>
      </c>
      <c r="B416" s="14" t="str">
        <f t="shared" si="84"/>
        <v>77RESERVA DO PAIVA SPE 01 LTDA.</v>
      </c>
      <c r="C416" s="15">
        <f t="shared" si="83"/>
        <v>77</v>
      </c>
      <c r="D416" s="16" t="str">
        <f t="shared" si="85"/>
        <v>79RESERVA DO PAIVA SPE 01 LTDA.</v>
      </c>
      <c r="E416" s="17">
        <f t="shared" si="76"/>
        <v>79</v>
      </c>
      <c r="F416" s="18" t="str">
        <f t="shared" si="86"/>
        <v>78RESERVA DO PAIVA SPE 01 LTDA.</v>
      </c>
      <c r="G416" s="18">
        <f t="shared" si="77"/>
        <v>78</v>
      </c>
      <c r="H416" s="19" t="str">
        <f t="shared" si="87"/>
        <v>78RESERVA DO PAIVA SPE 01 LTDA.</v>
      </c>
      <c r="I416" s="19">
        <f t="shared" si="78"/>
        <v>78</v>
      </c>
      <c r="J416" s="13" t="s">
        <v>68</v>
      </c>
      <c r="K416" s="13" t="s">
        <v>528</v>
      </c>
      <c r="L416" s="13" t="s">
        <v>63</v>
      </c>
      <c r="M416" s="13" t="s">
        <v>55</v>
      </c>
      <c r="N416" s="20">
        <v>0</v>
      </c>
      <c r="O416" s="20"/>
      <c r="P416" s="21">
        <v>45110</v>
      </c>
      <c r="Q416" s="22"/>
      <c r="R416" s="23"/>
      <c r="S416" s="24"/>
      <c r="T416" s="23"/>
      <c r="U416" s="24"/>
      <c r="V416" s="23"/>
      <c r="W416" s="23"/>
      <c r="X416" s="24"/>
      <c r="Y416" s="23"/>
      <c r="Z416" s="23"/>
      <c r="AA416" s="23"/>
      <c r="AB416" s="23"/>
      <c r="AC416" s="24"/>
      <c r="AD416" s="23"/>
      <c r="AE416" s="24"/>
      <c r="AF416" s="23"/>
      <c r="AG416" s="23"/>
      <c r="AH416" s="23"/>
      <c r="AI416" s="24"/>
      <c r="AJ416" s="25"/>
      <c r="AK416" s="23"/>
      <c r="AL416" s="23"/>
      <c r="AM416" s="24"/>
      <c r="AN416" s="23"/>
      <c r="AO416" s="24"/>
      <c r="AP416" s="23"/>
      <c r="AQ416" s="24"/>
      <c r="AR416" s="23"/>
      <c r="AS416" s="23"/>
      <c r="AT416" s="23"/>
      <c r="AU416" s="24"/>
      <c r="AW416" s="27">
        <f t="shared" si="79"/>
        <v>4.1599999999999997E-4</v>
      </c>
      <c r="AX416" s="27">
        <f t="shared" si="80"/>
        <v>4.1599999999999997E-4</v>
      </c>
      <c r="AY416" s="27">
        <f t="shared" si="81"/>
        <v>4.1599999999999997E-4</v>
      </c>
      <c r="AZ416" s="27">
        <f t="shared" si="82"/>
        <v>4.1599999999999997E-4</v>
      </c>
    </row>
    <row r="417" spans="1:52" ht="15" customHeight="1" x14ac:dyDescent="0.25">
      <c r="A417" s="13" t="str">
        <f>VLOOKUP(L417,[1]VALIDAÇÃO!$D$13:$E$350,2,0)</f>
        <v>DIRETO</v>
      </c>
      <c r="B417" s="14" t="str">
        <f t="shared" si="84"/>
        <v>42RESERVA DO PAIVA SPE 03 LTDA</v>
      </c>
      <c r="C417" s="15">
        <f t="shared" si="83"/>
        <v>42</v>
      </c>
      <c r="D417" s="16" t="str">
        <f t="shared" si="85"/>
        <v>132RESERVA DO PAIVA SPE 03 LTDA</v>
      </c>
      <c r="E417" s="17">
        <f t="shared" si="76"/>
        <v>132</v>
      </c>
      <c r="F417" s="18" t="str">
        <f t="shared" si="86"/>
        <v>143RESERVA DO PAIVA SPE 03 LTDA</v>
      </c>
      <c r="G417" s="18">
        <f t="shared" si="77"/>
        <v>143</v>
      </c>
      <c r="H417" s="19" t="str">
        <f t="shared" si="87"/>
        <v>118RESERVA DO PAIVA SPE 03 LTDA</v>
      </c>
      <c r="I417" s="19">
        <f t="shared" si="78"/>
        <v>118</v>
      </c>
      <c r="J417" s="13" t="s">
        <v>52</v>
      </c>
      <c r="K417" s="13" t="s">
        <v>529</v>
      </c>
      <c r="L417" s="13" t="s">
        <v>63</v>
      </c>
      <c r="M417" s="13" t="s">
        <v>55</v>
      </c>
      <c r="N417" s="20">
        <v>1241.32</v>
      </c>
      <c r="O417" s="20">
        <v>2156</v>
      </c>
      <c r="P417" s="21">
        <v>45964</v>
      </c>
      <c r="Q417" s="22"/>
      <c r="R417" s="23">
        <v>2156</v>
      </c>
      <c r="S417" s="24"/>
      <c r="T417" s="23"/>
      <c r="U417" s="24"/>
      <c r="V417" s="23"/>
      <c r="W417" s="23"/>
      <c r="X417" s="24"/>
      <c r="Y417" s="23"/>
      <c r="Z417" s="23"/>
      <c r="AA417" s="23">
        <v>0.28999999999999998</v>
      </c>
      <c r="AB417" s="23"/>
      <c r="AC417" s="24"/>
      <c r="AD417" s="23">
        <v>25.360000000000003</v>
      </c>
      <c r="AE417" s="24">
        <v>106.6</v>
      </c>
      <c r="AF417" s="23"/>
      <c r="AG417" s="23"/>
      <c r="AH417" s="23">
        <v>1.36</v>
      </c>
      <c r="AI417" s="24">
        <v>0</v>
      </c>
      <c r="AJ417" s="25">
        <v>331.53</v>
      </c>
      <c r="AK417" s="23">
        <v>73.209999999999994</v>
      </c>
      <c r="AL417" s="23"/>
      <c r="AM417" s="24"/>
      <c r="AN417" s="23"/>
      <c r="AO417" s="24"/>
      <c r="AP417" s="23"/>
      <c r="AQ417" s="24"/>
      <c r="AR417" s="23">
        <v>5.59</v>
      </c>
      <c r="AS417" s="23">
        <v>-924</v>
      </c>
      <c r="AT417" s="23"/>
      <c r="AU417" s="24"/>
      <c r="AW417" s="27">
        <f t="shared" si="79"/>
        <v>331.530417</v>
      </c>
      <c r="AX417" s="27">
        <f t="shared" si="80"/>
        <v>25.360417000000002</v>
      </c>
      <c r="AY417" s="27">
        <f t="shared" si="81"/>
        <v>4.17E-4</v>
      </c>
      <c r="AZ417" s="27">
        <f t="shared" si="82"/>
        <v>4.17E-4</v>
      </c>
    </row>
    <row r="418" spans="1:52" ht="15" customHeight="1" x14ac:dyDescent="0.25">
      <c r="A418" s="13" t="str">
        <f>VLOOKUP(L418,[1]VALIDAÇÃO!$D$13:$E$350,2,0)</f>
        <v>DIRETO</v>
      </c>
      <c r="B418" s="14" t="str">
        <f t="shared" si="84"/>
        <v>53RIO AVE CARNEIROS 01 SPE LTDA.</v>
      </c>
      <c r="C418" s="15">
        <f t="shared" si="83"/>
        <v>53</v>
      </c>
      <c r="D418" s="16" t="str">
        <f t="shared" si="85"/>
        <v>115RIO AVE CARNEIROS 01 SPE LTDA.</v>
      </c>
      <c r="E418" s="17">
        <f t="shared" si="76"/>
        <v>115</v>
      </c>
      <c r="F418" s="18" t="str">
        <f t="shared" si="86"/>
        <v>92RIO AVE CARNEIROS 01 SPE LTDA.</v>
      </c>
      <c r="G418" s="18">
        <f t="shared" si="77"/>
        <v>92</v>
      </c>
      <c r="H418" s="19" t="str">
        <f t="shared" si="87"/>
        <v>113RIO AVE CARNEIROS 01 SPE LTDA.</v>
      </c>
      <c r="I418" s="19">
        <f t="shared" si="78"/>
        <v>113</v>
      </c>
      <c r="J418" s="13" t="s">
        <v>61</v>
      </c>
      <c r="K418" s="13" t="s">
        <v>530</v>
      </c>
      <c r="L418" s="13" t="s">
        <v>63</v>
      </c>
      <c r="M418" s="13" t="s">
        <v>55</v>
      </c>
      <c r="N418" s="20">
        <v>271.66000000000003</v>
      </c>
      <c r="O418" s="20">
        <v>2156</v>
      </c>
      <c r="P418" s="21">
        <v>45733</v>
      </c>
      <c r="Q418" s="22"/>
      <c r="R418" s="23">
        <v>2156</v>
      </c>
      <c r="S418" s="24"/>
      <c r="T418" s="23"/>
      <c r="U418" s="24"/>
      <c r="V418" s="23"/>
      <c r="W418" s="23"/>
      <c r="X418" s="24"/>
      <c r="Y418" s="23"/>
      <c r="Z418" s="23"/>
      <c r="AA418" s="23">
        <v>1.21</v>
      </c>
      <c r="AB418" s="23">
        <v>44.24</v>
      </c>
      <c r="AC418" s="24">
        <v>227.61428571428573</v>
      </c>
      <c r="AD418" s="23">
        <v>8.92</v>
      </c>
      <c r="AE418" s="24">
        <v>45.871428571428567</v>
      </c>
      <c r="AF418" s="23"/>
      <c r="AG418" s="23"/>
      <c r="AH418" s="23">
        <v>5.63</v>
      </c>
      <c r="AI418" s="24">
        <v>0</v>
      </c>
      <c r="AJ418" s="25">
        <v>437.54</v>
      </c>
      <c r="AK418" s="23">
        <v>94.82</v>
      </c>
      <c r="AL418" s="23">
        <v>-16.279999999999998</v>
      </c>
      <c r="AM418" s="24">
        <v>93</v>
      </c>
      <c r="AN418" s="23">
        <v>-77</v>
      </c>
      <c r="AO418" s="24">
        <v>1</v>
      </c>
      <c r="AP418" s="23"/>
      <c r="AQ418" s="24"/>
      <c r="AR418" s="23">
        <v>11.25</v>
      </c>
      <c r="AS418" s="23">
        <v>-1014</v>
      </c>
      <c r="AT418" s="23">
        <v>-77</v>
      </c>
      <c r="AU418" s="24">
        <v>1</v>
      </c>
      <c r="AW418" s="27">
        <f t="shared" si="79"/>
        <v>437.54041800000005</v>
      </c>
      <c r="AX418" s="27">
        <f t="shared" si="80"/>
        <v>8.9204179999999997</v>
      </c>
      <c r="AY418" s="27">
        <f t="shared" si="81"/>
        <v>44.240418000000005</v>
      </c>
      <c r="AZ418" s="27">
        <f t="shared" si="82"/>
        <v>4.1800000000000002E-4</v>
      </c>
    </row>
    <row r="419" spans="1:52" ht="15" customHeight="1" x14ac:dyDescent="0.25">
      <c r="A419" s="13" t="str">
        <f>VLOOKUP(L419,[1]VALIDAÇÃO!$D$13:$E$350,2,0)</f>
        <v>DIRETO</v>
      </c>
      <c r="B419" s="14" t="str">
        <f t="shared" si="84"/>
        <v>95RESERVA DO PAIVA SPE 03 LTDA</v>
      </c>
      <c r="C419" s="15">
        <f t="shared" si="83"/>
        <v>95</v>
      </c>
      <c r="D419" s="16" t="str">
        <f t="shared" si="85"/>
        <v>70RESERVA DO PAIVA SPE 03 LTDA</v>
      </c>
      <c r="E419" s="17">
        <f t="shared" si="76"/>
        <v>70</v>
      </c>
      <c r="F419" s="18" t="str">
        <f t="shared" si="86"/>
        <v>105RESERVA DO PAIVA SPE 03 LTDA</v>
      </c>
      <c r="G419" s="18">
        <f t="shared" si="77"/>
        <v>105</v>
      </c>
      <c r="H419" s="19" t="str">
        <f t="shared" si="87"/>
        <v>117RESERVA DO PAIVA SPE 03 LTDA</v>
      </c>
      <c r="I419" s="19">
        <f t="shared" si="78"/>
        <v>117</v>
      </c>
      <c r="J419" s="13" t="s">
        <v>52</v>
      </c>
      <c r="K419" s="13" t="s">
        <v>531</v>
      </c>
      <c r="L419" s="13" t="s">
        <v>54</v>
      </c>
      <c r="M419" s="13" t="s">
        <v>55</v>
      </c>
      <c r="N419" s="20">
        <v>590.41</v>
      </c>
      <c r="O419" s="20">
        <v>1622.13</v>
      </c>
      <c r="P419" s="21">
        <v>45852</v>
      </c>
      <c r="Q419" s="22"/>
      <c r="R419" s="23">
        <v>1622.13</v>
      </c>
      <c r="S419" s="24"/>
      <c r="T419" s="23"/>
      <c r="U419" s="24"/>
      <c r="V419" s="23"/>
      <c r="W419" s="23"/>
      <c r="X419" s="24"/>
      <c r="Y419" s="23"/>
      <c r="Z419" s="23"/>
      <c r="AA419" s="23">
        <v>1.17</v>
      </c>
      <c r="AB419" s="23">
        <v>38.849999999999994</v>
      </c>
      <c r="AC419" s="24">
        <v>413.24285714285713</v>
      </c>
      <c r="AD419" s="23">
        <v>215.73000000000002</v>
      </c>
      <c r="AE419" s="24">
        <v>1655.1271428571429</v>
      </c>
      <c r="AF419" s="23"/>
      <c r="AG419" s="23"/>
      <c r="AH419" s="23">
        <v>5.52</v>
      </c>
      <c r="AI419" s="24">
        <v>0</v>
      </c>
      <c r="AJ419" s="25">
        <v>145.53</v>
      </c>
      <c r="AK419" s="23">
        <v>31.75</v>
      </c>
      <c r="AL419" s="23"/>
      <c r="AM419" s="24"/>
      <c r="AN419" s="23">
        <v>-173.8</v>
      </c>
      <c r="AO419" s="24">
        <v>3</v>
      </c>
      <c r="AP419" s="23"/>
      <c r="AQ419" s="24"/>
      <c r="AR419" s="23">
        <v>53.17</v>
      </c>
      <c r="AS419" s="23">
        <v>-695.2</v>
      </c>
      <c r="AT419" s="23">
        <v>-115.87</v>
      </c>
      <c r="AU419" s="24">
        <v>2</v>
      </c>
      <c r="AW419" s="27">
        <f t="shared" si="79"/>
        <v>145.53041899999999</v>
      </c>
      <c r="AX419" s="27">
        <f t="shared" si="80"/>
        <v>215.73041900000001</v>
      </c>
      <c r="AY419" s="27">
        <f t="shared" si="81"/>
        <v>38.850418999999995</v>
      </c>
      <c r="AZ419" s="27">
        <f t="shared" si="82"/>
        <v>4.1899999999999999E-4</v>
      </c>
    </row>
    <row r="420" spans="1:52" ht="15" customHeight="1" x14ac:dyDescent="0.25">
      <c r="A420" s="13" t="str">
        <f>VLOOKUP(L420,[1]VALIDAÇÃO!$D$13:$E$350,2,0)</f>
        <v>DIRETO</v>
      </c>
      <c r="B420" s="14" t="str">
        <f t="shared" si="84"/>
        <v>91RIO AVE CARNEIROS 01 SPE LTDA.</v>
      </c>
      <c r="C420" s="15">
        <f t="shared" si="83"/>
        <v>91</v>
      </c>
      <c r="D420" s="16" t="str">
        <f t="shared" si="85"/>
        <v>126RIO AVE CARNEIROS 01 SPE LTDA.</v>
      </c>
      <c r="E420" s="17">
        <f t="shared" si="76"/>
        <v>126</v>
      </c>
      <c r="F420" s="18" t="str">
        <f t="shared" si="86"/>
        <v>34RIO AVE CARNEIROS 01 SPE LTDA.</v>
      </c>
      <c r="G420" s="18">
        <f t="shared" si="77"/>
        <v>34</v>
      </c>
      <c r="H420" s="19" t="str">
        <f t="shared" si="87"/>
        <v>61RIO AVE CARNEIROS 01 SPE LTDA.</v>
      </c>
      <c r="I420" s="19">
        <f t="shared" si="78"/>
        <v>61</v>
      </c>
      <c r="J420" s="13" t="s">
        <v>61</v>
      </c>
      <c r="K420" s="13" t="s">
        <v>532</v>
      </c>
      <c r="L420" s="13" t="s">
        <v>54</v>
      </c>
      <c r="M420" s="13" t="s">
        <v>55</v>
      </c>
      <c r="N420" s="20">
        <v>1065.1099999999999</v>
      </c>
      <c r="O420" s="20">
        <v>1622.13</v>
      </c>
      <c r="P420" s="21">
        <v>45931</v>
      </c>
      <c r="Q420" s="22"/>
      <c r="R420" s="23">
        <v>1622.13</v>
      </c>
      <c r="S420" s="24"/>
      <c r="T420" s="23"/>
      <c r="U420" s="24"/>
      <c r="V420" s="23"/>
      <c r="W420" s="23"/>
      <c r="X420" s="24"/>
      <c r="Y420" s="23"/>
      <c r="Z420" s="23"/>
      <c r="AA420" s="23">
        <v>1.9600000000000002</v>
      </c>
      <c r="AB420" s="23">
        <v>159.87</v>
      </c>
      <c r="AC420" s="24">
        <v>1507</v>
      </c>
      <c r="AD420" s="23">
        <v>3.58</v>
      </c>
      <c r="AE420" s="24">
        <v>25.142857142857142</v>
      </c>
      <c r="AF420" s="23"/>
      <c r="AG420" s="23"/>
      <c r="AH420" s="23">
        <v>8.32</v>
      </c>
      <c r="AI420" s="24">
        <v>0</v>
      </c>
      <c r="AJ420" s="25">
        <v>266.25</v>
      </c>
      <c r="AK420" s="23">
        <v>60.85</v>
      </c>
      <c r="AL420" s="23"/>
      <c r="AM420" s="24"/>
      <c r="AN420" s="23"/>
      <c r="AO420" s="24"/>
      <c r="AP420" s="23">
        <v>22.58</v>
      </c>
      <c r="AQ420" s="24">
        <v>350</v>
      </c>
      <c r="AR420" s="23">
        <v>43.1</v>
      </c>
      <c r="AS420" s="23">
        <v>-695.2</v>
      </c>
      <c r="AT420" s="23"/>
      <c r="AU420" s="24"/>
      <c r="AW420" s="27">
        <f t="shared" si="79"/>
        <v>266.25042000000002</v>
      </c>
      <c r="AX420" s="27">
        <f t="shared" si="80"/>
        <v>3.5804200000000002</v>
      </c>
      <c r="AY420" s="27">
        <f t="shared" si="81"/>
        <v>159.87042</v>
      </c>
      <c r="AZ420" s="27">
        <f t="shared" si="82"/>
        <v>22.580419999999997</v>
      </c>
    </row>
    <row r="421" spans="1:52" ht="15" customHeight="1" x14ac:dyDescent="0.25">
      <c r="A421" s="13" t="str">
        <f>VLOOKUP(L421,[1]VALIDAÇÃO!$D$13:$E$350,2,0)</f>
        <v>DIRETO</v>
      </c>
      <c r="B421" s="14" t="str">
        <f t="shared" si="84"/>
        <v>8RESERVA DO PAIVA SPE 01 LTDA.</v>
      </c>
      <c r="C421" s="15">
        <f t="shared" si="83"/>
        <v>8</v>
      </c>
      <c r="D421" s="16" t="str">
        <f t="shared" si="85"/>
        <v>64RESERVA DO PAIVA SPE 01 LTDA.</v>
      </c>
      <c r="E421" s="17">
        <f t="shared" si="76"/>
        <v>64</v>
      </c>
      <c r="F421" s="18" t="str">
        <f t="shared" si="86"/>
        <v>28RESERVA DO PAIVA SPE 01 LTDA.</v>
      </c>
      <c r="G421" s="18">
        <f t="shared" si="77"/>
        <v>28</v>
      </c>
      <c r="H421" s="19" t="str">
        <f t="shared" si="87"/>
        <v>28RESERVA DO PAIVA SPE 01 LTDA.</v>
      </c>
      <c r="I421" s="19">
        <f t="shared" si="78"/>
        <v>28</v>
      </c>
      <c r="J421" s="13" t="s">
        <v>68</v>
      </c>
      <c r="K421" s="13" t="s">
        <v>533</v>
      </c>
      <c r="L421" s="13" t="s">
        <v>153</v>
      </c>
      <c r="M421" s="13" t="s">
        <v>55</v>
      </c>
      <c r="N421" s="20">
        <v>2648.47</v>
      </c>
      <c r="O421" s="20">
        <v>2156</v>
      </c>
      <c r="P421" s="21">
        <v>45903</v>
      </c>
      <c r="Q421" s="22"/>
      <c r="R421" s="23">
        <v>2156</v>
      </c>
      <c r="S421" s="24"/>
      <c r="T421" s="23"/>
      <c r="U421" s="24"/>
      <c r="V421" s="23"/>
      <c r="W421" s="23"/>
      <c r="X421" s="24"/>
      <c r="Y421" s="23"/>
      <c r="Z421" s="23"/>
      <c r="AA421" s="23">
        <v>29.229999999999997</v>
      </c>
      <c r="AB421" s="23">
        <v>363.15999999999997</v>
      </c>
      <c r="AC421" s="24">
        <v>1844.7142857142858</v>
      </c>
      <c r="AD421" s="23">
        <v>70.92</v>
      </c>
      <c r="AE421" s="24">
        <v>342.52857142857147</v>
      </c>
      <c r="AF421" s="23"/>
      <c r="AG421" s="23"/>
      <c r="AH421" s="23">
        <v>130.16</v>
      </c>
      <c r="AI421" s="24">
        <v>0</v>
      </c>
      <c r="AJ421" s="25">
        <v>1208.94</v>
      </c>
      <c r="AK421" s="23">
        <v>269.44</v>
      </c>
      <c r="AL421" s="23">
        <v>-10.5</v>
      </c>
      <c r="AM421" s="24">
        <v>60</v>
      </c>
      <c r="AN421" s="23"/>
      <c r="AO421" s="24"/>
      <c r="AP421" s="23">
        <v>430.40000000000003</v>
      </c>
      <c r="AQ421" s="24">
        <v>1709.1000000000001</v>
      </c>
      <c r="AR421" s="23">
        <v>197.71</v>
      </c>
      <c r="AS421" s="23">
        <v>-924</v>
      </c>
      <c r="AT421" s="23"/>
      <c r="AU421" s="24"/>
      <c r="AW421" s="27">
        <f t="shared" si="79"/>
        <v>1208.940421</v>
      </c>
      <c r="AX421" s="27">
        <f t="shared" si="80"/>
        <v>70.920421000000005</v>
      </c>
      <c r="AY421" s="27">
        <f t="shared" si="81"/>
        <v>363.16042099999999</v>
      </c>
      <c r="AZ421" s="27">
        <f t="shared" si="82"/>
        <v>430.40042100000005</v>
      </c>
    </row>
    <row r="422" spans="1:52" ht="15" customHeight="1" x14ac:dyDescent="0.25">
      <c r="A422" s="13" t="str">
        <f>VLOOKUP(L422,[1]VALIDAÇÃO!$D$13:$E$350,2,0)</f>
        <v>DIRETO</v>
      </c>
      <c r="B422" s="14" t="str">
        <f t="shared" si="84"/>
        <v>23RESERVA DO PAIVA SPE 03 LTDA</v>
      </c>
      <c r="C422" s="15">
        <f t="shared" si="83"/>
        <v>23</v>
      </c>
      <c r="D422" s="16" t="str">
        <f t="shared" si="85"/>
        <v>57RESERVA DO PAIVA SPE 03 LTDA</v>
      </c>
      <c r="E422" s="17">
        <f t="shared" si="76"/>
        <v>57</v>
      </c>
      <c r="F422" s="18" t="str">
        <f t="shared" si="86"/>
        <v>28RESERVA DO PAIVA SPE 03 LTDA</v>
      </c>
      <c r="G422" s="18">
        <f t="shared" si="77"/>
        <v>28</v>
      </c>
      <c r="H422" s="19" t="str">
        <f t="shared" si="87"/>
        <v>35RESERVA DO PAIVA SPE 03 LTDA</v>
      </c>
      <c r="I422" s="19">
        <f t="shared" si="78"/>
        <v>35</v>
      </c>
      <c r="J422" s="13" t="s">
        <v>52</v>
      </c>
      <c r="K422" s="13" t="s">
        <v>534</v>
      </c>
      <c r="L422" s="13" t="s">
        <v>54</v>
      </c>
      <c r="M422" s="13" t="s">
        <v>55</v>
      </c>
      <c r="N422" s="20">
        <v>1345.69</v>
      </c>
      <c r="O422" s="20">
        <v>1622.13</v>
      </c>
      <c r="P422" s="21">
        <v>45537</v>
      </c>
      <c r="Q422" s="22"/>
      <c r="R422" s="23">
        <v>1622.13</v>
      </c>
      <c r="S422" s="24"/>
      <c r="T422" s="23"/>
      <c r="U422" s="24"/>
      <c r="V422" s="23"/>
      <c r="W422" s="23"/>
      <c r="X422" s="24"/>
      <c r="Y422" s="23"/>
      <c r="Z422" s="23"/>
      <c r="AA422" s="23">
        <v>9.9499999999999993</v>
      </c>
      <c r="AB422" s="23">
        <v>273.01</v>
      </c>
      <c r="AC422" s="24">
        <v>1428.3042857142857</v>
      </c>
      <c r="AD422" s="23">
        <v>269.13</v>
      </c>
      <c r="AE422" s="24">
        <v>1443.9085714285716</v>
      </c>
      <c r="AF422" s="23"/>
      <c r="AG422" s="23"/>
      <c r="AH422" s="23">
        <v>42.84</v>
      </c>
      <c r="AI422" s="24">
        <v>0</v>
      </c>
      <c r="AJ422" s="25">
        <v>519.29</v>
      </c>
      <c r="AK422" s="23">
        <v>116.44</v>
      </c>
      <c r="AL422" s="23">
        <v>-54.8</v>
      </c>
      <c r="AM422" s="24">
        <v>416.17</v>
      </c>
      <c r="AN422" s="23"/>
      <c r="AO422" s="24"/>
      <c r="AP422" s="23">
        <v>175.57</v>
      </c>
      <c r="AQ422" s="24">
        <v>719.33428571428567</v>
      </c>
      <c r="AR422" s="23">
        <v>158.88</v>
      </c>
      <c r="AS422" s="23">
        <v>-695.2</v>
      </c>
      <c r="AT422" s="23"/>
      <c r="AU422" s="24"/>
      <c r="AW422" s="27">
        <f t="shared" si="79"/>
        <v>519.29042199999992</v>
      </c>
      <c r="AX422" s="27">
        <f t="shared" si="80"/>
        <v>269.13042200000001</v>
      </c>
      <c r="AY422" s="27">
        <f t="shared" si="81"/>
        <v>273.01042200000001</v>
      </c>
      <c r="AZ422" s="27">
        <f t="shared" si="82"/>
        <v>175.57042199999998</v>
      </c>
    </row>
    <row r="423" spans="1:52" ht="15" customHeight="1" x14ac:dyDescent="0.25">
      <c r="A423" s="13" t="str">
        <f>VLOOKUP(L423,[1]VALIDAÇÃO!$D$13:$E$350,2,0)</f>
        <v>DIRETO</v>
      </c>
      <c r="B423" s="14" t="str">
        <f t="shared" si="84"/>
        <v>10RIO AVE 200 SPE LTDA.</v>
      </c>
      <c r="C423" s="15">
        <f t="shared" si="83"/>
        <v>10</v>
      </c>
      <c r="D423" s="16" t="str">
        <f t="shared" si="85"/>
        <v>29RIO AVE 200 SPE LTDA.</v>
      </c>
      <c r="E423" s="17">
        <f t="shared" si="76"/>
        <v>29</v>
      </c>
      <c r="F423" s="18" t="str">
        <f t="shared" si="86"/>
        <v>46RIO AVE 200 SPE LTDA.</v>
      </c>
      <c r="G423" s="18">
        <f t="shared" si="77"/>
        <v>46</v>
      </c>
      <c r="H423" s="19" t="str">
        <f t="shared" si="87"/>
        <v>49RIO AVE 200 SPE LTDA.</v>
      </c>
      <c r="I423" s="19">
        <f t="shared" si="78"/>
        <v>49</v>
      </c>
      <c r="J423" s="13" t="s">
        <v>48</v>
      </c>
      <c r="K423" s="13" t="s">
        <v>535</v>
      </c>
      <c r="L423" s="13" t="s">
        <v>66</v>
      </c>
      <c r="M423" s="13" t="s">
        <v>55</v>
      </c>
      <c r="N423" s="20">
        <v>2152.38</v>
      </c>
      <c r="O423" s="20">
        <v>2156</v>
      </c>
      <c r="P423" s="21">
        <v>45859</v>
      </c>
      <c r="Q423" s="22"/>
      <c r="R423" s="23">
        <v>2156</v>
      </c>
      <c r="S423" s="24"/>
      <c r="T423" s="23"/>
      <c r="U423" s="24"/>
      <c r="V423" s="23"/>
      <c r="W423" s="23"/>
      <c r="X423" s="24"/>
      <c r="Y423" s="23"/>
      <c r="Z423" s="23"/>
      <c r="AA423" s="23">
        <v>4.1300000000000008</v>
      </c>
      <c r="AB423" s="23">
        <v>5.17</v>
      </c>
      <c r="AC423" s="24">
        <v>48</v>
      </c>
      <c r="AD423" s="23">
        <v>132.32</v>
      </c>
      <c r="AE423" s="24">
        <v>815</v>
      </c>
      <c r="AF423" s="23"/>
      <c r="AG423" s="23"/>
      <c r="AH423" s="23">
        <v>18.53</v>
      </c>
      <c r="AI423" s="24">
        <v>0</v>
      </c>
      <c r="AJ423" s="25">
        <v>1063.54</v>
      </c>
      <c r="AK423" s="23">
        <v>231.45999999999998</v>
      </c>
      <c r="AL423" s="23"/>
      <c r="AM423" s="24"/>
      <c r="AN423" s="23"/>
      <c r="AO423" s="24"/>
      <c r="AP423" s="23"/>
      <c r="AQ423" s="24"/>
      <c r="AR423" s="23">
        <v>30.240000000000002</v>
      </c>
      <c r="AS423" s="23">
        <v>-1044</v>
      </c>
      <c r="AT423" s="23"/>
      <c r="AU423" s="24"/>
      <c r="AW423" s="27">
        <f t="shared" si="79"/>
        <v>1063.5404229999999</v>
      </c>
      <c r="AX423" s="27">
        <f t="shared" si="80"/>
        <v>132.32042300000001</v>
      </c>
      <c r="AY423" s="27">
        <f t="shared" si="81"/>
        <v>5.1704229999999995</v>
      </c>
      <c r="AZ423" s="27">
        <f t="shared" si="82"/>
        <v>4.2299999999999998E-4</v>
      </c>
    </row>
    <row r="424" spans="1:52" ht="15" customHeight="1" x14ac:dyDescent="0.25">
      <c r="A424" s="13" t="str">
        <f>VLOOKUP(L424,[1]VALIDAÇÃO!$D$13:$E$350,2,0)</f>
        <v>DIRETO</v>
      </c>
      <c r="B424" s="14" t="str">
        <f t="shared" si="84"/>
        <v>11RIO AVE 130 SPE LTDA</v>
      </c>
      <c r="C424" s="15">
        <f t="shared" si="83"/>
        <v>11</v>
      </c>
      <c r="D424" s="16" t="str">
        <f t="shared" si="85"/>
        <v>56RIO AVE 130 SPE LTDA</v>
      </c>
      <c r="E424" s="17">
        <f t="shared" si="76"/>
        <v>56</v>
      </c>
      <c r="F424" s="18" t="str">
        <f t="shared" si="86"/>
        <v>16RIO AVE 130 SPE LTDA</v>
      </c>
      <c r="G424" s="18">
        <f t="shared" si="77"/>
        <v>16</v>
      </c>
      <c r="H424" s="19" t="str">
        <f t="shared" si="87"/>
        <v>54RIO AVE 130 SPE LTDA</v>
      </c>
      <c r="I424" s="19">
        <f t="shared" si="78"/>
        <v>54</v>
      </c>
      <c r="J424" s="13" t="s">
        <v>102</v>
      </c>
      <c r="K424" s="13" t="s">
        <v>536</v>
      </c>
      <c r="L424" s="13" t="s">
        <v>63</v>
      </c>
      <c r="M424" s="13" t="s">
        <v>55</v>
      </c>
      <c r="N424" s="20">
        <v>1643.34</v>
      </c>
      <c r="O424" s="20">
        <v>2156</v>
      </c>
      <c r="P424" s="21">
        <v>45181</v>
      </c>
      <c r="Q424" s="22"/>
      <c r="R424" s="23">
        <v>2156</v>
      </c>
      <c r="S424" s="24"/>
      <c r="T424" s="23"/>
      <c r="U424" s="24"/>
      <c r="V424" s="23"/>
      <c r="W424" s="23"/>
      <c r="X424" s="24"/>
      <c r="Y424" s="23"/>
      <c r="Z424" s="23"/>
      <c r="AA424" s="23">
        <v>4.41</v>
      </c>
      <c r="AB424" s="23">
        <v>254.33</v>
      </c>
      <c r="AC424" s="24">
        <v>854.87</v>
      </c>
      <c r="AD424" s="23">
        <v>0.6100000000000001</v>
      </c>
      <c r="AE424" s="24">
        <v>2.6057142857142854</v>
      </c>
      <c r="AF424" s="23"/>
      <c r="AG424" s="23"/>
      <c r="AH424" s="23">
        <v>20.260000000000002</v>
      </c>
      <c r="AI424" s="24">
        <v>0</v>
      </c>
      <c r="AJ424" s="25">
        <v>896.13</v>
      </c>
      <c r="AK424" s="23">
        <v>200.43</v>
      </c>
      <c r="AL424" s="23">
        <v>-11.03</v>
      </c>
      <c r="AM424" s="24">
        <v>63</v>
      </c>
      <c r="AN424" s="23"/>
      <c r="AO424" s="24"/>
      <c r="AP424" s="23"/>
      <c r="AQ424" s="24"/>
      <c r="AR424" s="23">
        <v>55.209999999999994</v>
      </c>
      <c r="AS424" s="23">
        <v>-924</v>
      </c>
      <c r="AT424" s="23"/>
      <c r="AU424" s="24"/>
      <c r="AW424" s="27">
        <f t="shared" si="79"/>
        <v>896.13042399999995</v>
      </c>
      <c r="AX424" s="27">
        <f t="shared" si="80"/>
        <v>0.61042400000000008</v>
      </c>
      <c r="AY424" s="27">
        <f t="shared" si="81"/>
        <v>254.33042400000002</v>
      </c>
      <c r="AZ424" s="27">
        <f t="shared" si="82"/>
        <v>4.2400000000000001E-4</v>
      </c>
    </row>
    <row r="425" spans="1:52" ht="15" customHeight="1" x14ac:dyDescent="0.25">
      <c r="A425" s="13" t="str">
        <f>VLOOKUP(L425,[1]VALIDAÇÃO!$D$13:$E$350,2,0)</f>
        <v>DIRETO</v>
      </c>
      <c r="B425" s="14" t="str">
        <f t="shared" si="84"/>
        <v>2RIO AVE OASIS TORRE 1 SPE LTDA.</v>
      </c>
      <c r="C425" s="15">
        <f t="shared" si="83"/>
        <v>2</v>
      </c>
      <c r="D425" s="16" t="str">
        <f t="shared" si="85"/>
        <v>2RIO AVE OASIS TORRE 1 SPE LTDA.</v>
      </c>
      <c r="E425" s="17">
        <f t="shared" si="76"/>
        <v>2</v>
      </c>
      <c r="F425" s="18" t="str">
        <f t="shared" si="86"/>
        <v>2RIO AVE OASIS TORRE 1 SPE LTDA.</v>
      </c>
      <c r="G425" s="18">
        <f t="shared" si="77"/>
        <v>2</v>
      </c>
      <c r="H425" s="19" t="str">
        <f t="shared" si="87"/>
        <v>2RIO AVE OASIS TORRE 1 SPE LTDA.</v>
      </c>
      <c r="I425" s="19">
        <f t="shared" si="78"/>
        <v>2</v>
      </c>
      <c r="J425" s="13" t="s">
        <v>537</v>
      </c>
      <c r="K425" s="13" t="s">
        <v>538</v>
      </c>
      <c r="L425" s="13" t="s">
        <v>54</v>
      </c>
      <c r="M425" s="13" t="s">
        <v>55</v>
      </c>
      <c r="N425" s="20">
        <v>1159.1600000000001</v>
      </c>
      <c r="O425" s="20">
        <v>1738</v>
      </c>
      <c r="P425" s="21">
        <v>44593</v>
      </c>
      <c r="Q425" s="22"/>
      <c r="R425" s="23">
        <v>1738</v>
      </c>
      <c r="S425" s="24"/>
      <c r="T425" s="23"/>
      <c r="U425" s="24"/>
      <c r="V425" s="23"/>
      <c r="W425" s="23"/>
      <c r="X425" s="24"/>
      <c r="Y425" s="23"/>
      <c r="Z425" s="23"/>
      <c r="AA425" s="23">
        <v>1.3900000000000001</v>
      </c>
      <c r="AB425" s="23">
        <v>234.41</v>
      </c>
      <c r="AC425" s="24">
        <v>1047.27</v>
      </c>
      <c r="AD425" s="23">
        <v>4.2699999999999996</v>
      </c>
      <c r="AE425" s="24">
        <v>19.09</v>
      </c>
      <c r="AF425" s="23"/>
      <c r="AG425" s="23"/>
      <c r="AH425" s="23">
        <v>7.0299999999999994</v>
      </c>
      <c r="AI425" s="24">
        <v>0</v>
      </c>
      <c r="AJ425" s="25">
        <v>132.99</v>
      </c>
      <c r="AK425" s="23">
        <v>27.1</v>
      </c>
      <c r="AL425" s="23"/>
      <c r="AM425" s="24"/>
      <c r="AN425" s="23"/>
      <c r="AO425" s="24"/>
      <c r="AP425" s="23">
        <v>79</v>
      </c>
      <c r="AQ425" s="24">
        <v>300</v>
      </c>
      <c r="AR425" s="23">
        <v>62.040000000000006</v>
      </c>
      <c r="AS425" s="23">
        <v>-695.2</v>
      </c>
      <c r="AT425" s="23"/>
      <c r="AU425" s="24"/>
      <c r="AW425" s="27">
        <f t="shared" si="79"/>
        <v>132.99042500000002</v>
      </c>
      <c r="AX425" s="27">
        <f t="shared" si="80"/>
        <v>4.2704249999999995</v>
      </c>
      <c r="AY425" s="27">
        <f t="shared" si="81"/>
        <v>234.410425</v>
      </c>
      <c r="AZ425" s="27">
        <f t="shared" si="82"/>
        <v>79.000425000000007</v>
      </c>
    </row>
    <row r="426" spans="1:52" ht="15" customHeight="1" x14ac:dyDescent="0.25">
      <c r="A426" s="13" t="str">
        <f>VLOOKUP(L426,[1]VALIDAÇÃO!$D$13:$E$350,2,0)</f>
        <v>DIRETO</v>
      </c>
      <c r="B426" s="14" t="str">
        <f t="shared" si="84"/>
        <v>66RIO AVE 200 SPE LTDA.</v>
      </c>
      <c r="C426" s="15">
        <f t="shared" si="83"/>
        <v>66</v>
      </c>
      <c r="D426" s="16" t="str">
        <f t="shared" si="85"/>
        <v>73RIO AVE 200 SPE LTDA.</v>
      </c>
      <c r="E426" s="17">
        <f t="shared" si="76"/>
        <v>73</v>
      </c>
      <c r="F426" s="18" t="str">
        <f t="shared" si="86"/>
        <v>64RIO AVE 200 SPE LTDA.</v>
      </c>
      <c r="G426" s="18">
        <f t="shared" si="77"/>
        <v>64</v>
      </c>
      <c r="H426" s="19" t="str">
        <f t="shared" si="87"/>
        <v>48RIO AVE 200 SPE LTDA.</v>
      </c>
      <c r="I426" s="19">
        <f t="shared" si="78"/>
        <v>48</v>
      </c>
      <c r="J426" s="13" t="s">
        <v>48</v>
      </c>
      <c r="K426" s="13" t="s">
        <v>539</v>
      </c>
      <c r="L426" s="13" t="s">
        <v>54</v>
      </c>
      <c r="M426" s="13" t="s">
        <v>55</v>
      </c>
      <c r="N426" s="20">
        <v>733.86</v>
      </c>
      <c r="O426" s="20">
        <v>1448.33</v>
      </c>
      <c r="P426" s="21">
        <v>45995</v>
      </c>
      <c r="Q426" s="22"/>
      <c r="R426" s="23">
        <v>1448.33</v>
      </c>
      <c r="S426" s="24"/>
      <c r="T426" s="23"/>
      <c r="U426" s="24"/>
      <c r="V426" s="23"/>
      <c r="W426" s="23"/>
      <c r="X426" s="24"/>
      <c r="Y426" s="23"/>
      <c r="Z426" s="23"/>
      <c r="AA426" s="23"/>
      <c r="AB426" s="23"/>
      <c r="AC426" s="24"/>
      <c r="AD426" s="23"/>
      <c r="AE426" s="24"/>
      <c r="AF426" s="23"/>
      <c r="AG426" s="23"/>
      <c r="AH426" s="23"/>
      <c r="AI426" s="24"/>
      <c r="AJ426" s="25"/>
      <c r="AK426" s="23"/>
      <c r="AL426" s="23"/>
      <c r="AM426" s="24"/>
      <c r="AN426" s="23"/>
      <c r="AO426" s="24"/>
      <c r="AP426" s="23"/>
      <c r="AQ426" s="24"/>
      <c r="AR426" s="23"/>
      <c r="AS426" s="23">
        <v>-765.2</v>
      </c>
      <c r="AT426" s="23"/>
      <c r="AU426" s="24"/>
      <c r="AW426" s="27">
        <f t="shared" si="79"/>
        <v>4.26E-4</v>
      </c>
      <c r="AX426" s="27">
        <f t="shared" si="80"/>
        <v>4.26E-4</v>
      </c>
      <c r="AY426" s="27">
        <f t="shared" si="81"/>
        <v>4.26E-4</v>
      </c>
      <c r="AZ426" s="27">
        <f t="shared" si="82"/>
        <v>4.26E-4</v>
      </c>
    </row>
    <row r="427" spans="1:52" ht="15" customHeight="1" x14ac:dyDescent="0.25">
      <c r="A427" s="13" t="str">
        <f>VLOOKUP(L427,[1]VALIDAÇÃO!$D$13:$E$350,2,0)</f>
        <v>DIRETO</v>
      </c>
      <c r="B427" s="14" t="str">
        <f t="shared" si="84"/>
        <v>11RIO AVE 200 SPE LTDA.</v>
      </c>
      <c r="C427" s="15">
        <f t="shared" si="83"/>
        <v>11</v>
      </c>
      <c r="D427" s="16" t="str">
        <f t="shared" si="85"/>
        <v>59RIO AVE 200 SPE LTDA.</v>
      </c>
      <c r="E427" s="17">
        <f t="shared" si="76"/>
        <v>59</v>
      </c>
      <c r="F427" s="18" t="str">
        <f t="shared" si="86"/>
        <v>31RIO AVE 200 SPE LTDA.</v>
      </c>
      <c r="G427" s="18">
        <f t="shared" si="77"/>
        <v>31</v>
      </c>
      <c r="H427" s="19" t="str">
        <f t="shared" si="87"/>
        <v>47RIO AVE 200 SPE LTDA.</v>
      </c>
      <c r="I427" s="19">
        <f t="shared" si="78"/>
        <v>47</v>
      </c>
      <c r="J427" s="13" t="s">
        <v>48</v>
      </c>
      <c r="K427" s="13" t="s">
        <v>540</v>
      </c>
      <c r="L427" s="13" t="s">
        <v>66</v>
      </c>
      <c r="M427" s="13" t="s">
        <v>55</v>
      </c>
      <c r="N427" s="20">
        <v>1752.12</v>
      </c>
      <c r="O427" s="20">
        <v>2156</v>
      </c>
      <c r="P427" s="21">
        <v>45931</v>
      </c>
      <c r="Q427" s="22"/>
      <c r="R427" s="23">
        <v>2156</v>
      </c>
      <c r="S427" s="24"/>
      <c r="T427" s="23"/>
      <c r="U427" s="24"/>
      <c r="V427" s="23"/>
      <c r="W427" s="23"/>
      <c r="X427" s="24"/>
      <c r="Y427" s="23"/>
      <c r="Z427" s="23"/>
      <c r="AA427" s="23">
        <v>1.3199999999999998</v>
      </c>
      <c r="AB427" s="23">
        <v>23.95</v>
      </c>
      <c r="AC427" s="24">
        <v>328.57142857142856</v>
      </c>
      <c r="AD427" s="23">
        <v>24.770000000000003</v>
      </c>
      <c r="AE427" s="24">
        <v>164.14285714285714</v>
      </c>
      <c r="AF427" s="23"/>
      <c r="AG427" s="23"/>
      <c r="AH427" s="23">
        <v>5.45</v>
      </c>
      <c r="AI427" s="24">
        <v>0</v>
      </c>
      <c r="AJ427" s="25">
        <v>1001</v>
      </c>
      <c r="AK427" s="23">
        <v>228.68</v>
      </c>
      <c r="AL427" s="23"/>
      <c r="AM427" s="24"/>
      <c r="AN427" s="23"/>
      <c r="AO427" s="24"/>
      <c r="AP427" s="23"/>
      <c r="AQ427" s="24"/>
      <c r="AR427" s="23">
        <v>11.26</v>
      </c>
      <c r="AS427" s="23">
        <v>-924</v>
      </c>
      <c r="AT427" s="23"/>
      <c r="AU427" s="24"/>
      <c r="AW427" s="27">
        <f t="shared" si="79"/>
        <v>1001.0004269999999</v>
      </c>
      <c r="AX427" s="27">
        <f t="shared" si="80"/>
        <v>24.770427000000002</v>
      </c>
      <c r="AY427" s="27">
        <f t="shared" si="81"/>
        <v>23.950426999999998</v>
      </c>
      <c r="AZ427" s="27">
        <f t="shared" si="82"/>
        <v>4.2700000000000002E-4</v>
      </c>
    </row>
    <row r="428" spans="1:52" ht="15" customHeight="1" x14ac:dyDescent="0.25">
      <c r="A428" s="13" t="str">
        <f>VLOOKUP(L428,[1]VALIDAÇÃO!$D$13:$E$350,2,0)</f>
        <v>DIRETO</v>
      </c>
      <c r="B428" s="14" t="str">
        <f t="shared" si="84"/>
        <v>66RESERVA DO PAIVA SPE 03 LTDA</v>
      </c>
      <c r="C428" s="15">
        <f t="shared" si="83"/>
        <v>66</v>
      </c>
      <c r="D428" s="16" t="str">
        <f t="shared" si="85"/>
        <v>84RESERVA DO PAIVA SPE 03 LTDA</v>
      </c>
      <c r="E428" s="17">
        <f t="shared" si="76"/>
        <v>84</v>
      </c>
      <c r="F428" s="18" t="str">
        <f t="shared" si="86"/>
        <v>12RESERVA DO PAIVA SPE 03 LTDA</v>
      </c>
      <c r="G428" s="18">
        <f t="shared" si="77"/>
        <v>12</v>
      </c>
      <c r="H428" s="19" t="str">
        <f t="shared" si="87"/>
        <v>116RESERVA DO PAIVA SPE 03 LTDA</v>
      </c>
      <c r="I428" s="19">
        <f t="shared" si="78"/>
        <v>116</v>
      </c>
      <c r="J428" s="13" t="s">
        <v>52</v>
      </c>
      <c r="K428" s="13" t="s">
        <v>541</v>
      </c>
      <c r="L428" s="13" t="s">
        <v>66</v>
      </c>
      <c r="M428" s="13" t="s">
        <v>55</v>
      </c>
      <c r="N428" s="20">
        <v>1130.93</v>
      </c>
      <c r="O428" s="20">
        <v>2156</v>
      </c>
      <c r="P428" s="21">
        <v>45558</v>
      </c>
      <c r="Q428" s="22"/>
      <c r="R428" s="23">
        <v>2156</v>
      </c>
      <c r="S428" s="24"/>
      <c r="T428" s="23"/>
      <c r="U428" s="24"/>
      <c r="V428" s="23"/>
      <c r="W428" s="23"/>
      <c r="X428" s="24"/>
      <c r="Y428" s="23"/>
      <c r="Z428" s="23"/>
      <c r="AA428" s="23">
        <v>1.92</v>
      </c>
      <c r="AB428" s="23">
        <v>375.40000000000003</v>
      </c>
      <c r="AC428" s="24">
        <v>1499.8957142857143</v>
      </c>
      <c r="AD428" s="23">
        <v>165.7</v>
      </c>
      <c r="AE428" s="24">
        <v>701.51714285714286</v>
      </c>
      <c r="AF428" s="23"/>
      <c r="AG428" s="23"/>
      <c r="AH428" s="23">
        <v>8.7899999999999991</v>
      </c>
      <c r="AI428" s="24">
        <v>0</v>
      </c>
      <c r="AJ428" s="25">
        <v>206.11</v>
      </c>
      <c r="AK428" s="23">
        <v>44.989999999999995</v>
      </c>
      <c r="AL428" s="23">
        <v>-31.18</v>
      </c>
      <c r="AM428" s="24">
        <v>178.17</v>
      </c>
      <c r="AN428" s="23"/>
      <c r="AO428" s="24"/>
      <c r="AP428" s="23"/>
      <c r="AQ428" s="24"/>
      <c r="AR428" s="23">
        <v>115.29</v>
      </c>
      <c r="AS428" s="23">
        <v>-924</v>
      </c>
      <c r="AT428" s="23"/>
      <c r="AU428" s="24"/>
      <c r="AW428" s="27">
        <f t="shared" si="79"/>
        <v>206.11042800000001</v>
      </c>
      <c r="AX428" s="27">
        <f t="shared" si="80"/>
        <v>165.70042799999999</v>
      </c>
      <c r="AY428" s="27">
        <f t="shared" si="81"/>
        <v>375.40042800000003</v>
      </c>
      <c r="AZ428" s="27">
        <f t="shared" si="82"/>
        <v>4.28E-4</v>
      </c>
    </row>
    <row r="429" spans="1:52" ht="15" customHeight="1" x14ac:dyDescent="0.25">
      <c r="A429" s="13" t="str">
        <f>VLOOKUP(L429,[1]VALIDAÇÃO!$D$13:$E$350,2,0)</f>
        <v>DIRETO</v>
      </c>
      <c r="B429" s="14" t="str">
        <f t="shared" si="84"/>
        <v>33CONDOMINIO DO EDIFICIO EMPRESARIAL MARIE CURIE</v>
      </c>
      <c r="C429" s="15">
        <f t="shared" si="83"/>
        <v>33</v>
      </c>
      <c r="D429" s="16" t="str">
        <f t="shared" si="85"/>
        <v>84CONDOMINIO DO EDIFICIO EMPRESARIAL MARIE CURIE</v>
      </c>
      <c r="E429" s="17">
        <f t="shared" si="76"/>
        <v>84</v>
      </c>
      <c r="F429" s="18" t="str">
        <f t="shared" si="86"/>
        <v>12CONDOMINIO DO EDIFICIO EMPRESARIAL MARIE CURIE</v>
      </c>
      <c r="G429" s="18">
        <f t="shared" si="77"/>
        <v>12</v>
      </c>
      <c r="H429" s="19" t="str">
        <f t="shared" si="87"/>
        <v>1CONDOMINIO DO EDIFICIO EMPRESARIAL MARIE CURIE</v>
      </c>
      <c r="I429" s="19">
        <f t="shared" si="78"/>
        <v>1</v>
      </c>
      <c r="J429" s="13" t="s">
        <v>57</v>
      </c>
      <c r="K429" s="13" t="s">
        <v>542</v>
      </c>
      <c r="L429" s="13" t="s">
        <v>63</v>
      </c>
      <c r="M429" s="13" t="s">
        <v>60</v>
      </c>
      <c r="N429" s="20">
        <v>2023.06</v>
      </c>
      <c r="O429" s="20">
        <v>2156</v>
      </c>
      <c r="P429" s="21">
        <v>45264</v>
      </c>
      <c r="Q429" s="22"/>
      <c r="R429" s="23">
        <v>2156</v>
      </c>
      <c r="S429" s="24"/>
      <c r="T429" s="23"/>
      <c r="U429" s="24"/>
      <c r="V429" s="23"/>
      <c r="W429" s="23"/>
      <c r="X429" s="24"/>
      <c r="Y429" s="23"/>
      <c r="Z429" s="23"/>
      <c r="AA429" s="23">
        <v>10.209999999999999</v>
      </c>
      <c r="AB429" s="23">
        <v>288.40999999999997</v>
      </c>
      <c r="AC429" s="24">
        <v>1029.1185714285716</v>
      </c>
      <c r="AD429" s="23">
        <v>56.86</v>
      </c>
      <c r="AE429" s="24">
        <v>250.97</v>
      </c>
      <c r="AF429" s="23"/>
      <c r="AG429" s="23"/>
      <c r="AH429" s="23">
        <v>45.519999999999996</v>
      </c>
      <c r="AI429" s="24">
        <v>0</v>
      </c>
      <c r="AJ429" s="25">
        <v>669.67000000000007</v>
      </c>
      <c r="AK429" s="23">
        <v>143.44</v>
      </c>
      <c r="AL429" s="23"/>
      <c r="AM429" s="24"/>
      <c r="AN429" s="23"/>
      <c r="AO429" s="24"/>
      <c r="AP429" s="23">
        <v>512.48</v>
      </c>
      <c r="AQ429" s="24">
        <v>1500.6271428571429</v>
      </c>
      <c r="AR429" s="23">
        <v>190.45999999999998</v>
      </c>
      <c r="AS429" s="23">
        <v>-924</v>
      </c>
      <c r="AT429" s="23"/>
      <c r="AU429" s="24"/>
      <c r="AW429" s="27">
        <f t="shared" si="79"/>
        <v>669.67042900000013</v>
      </c>
      <c r="AX429" s="27">
        <f t="shared" si="80"/>
        <v>56.860428999999996</v>
      </c>
      <c r="AY429" s="27">
        <f t="shared" si="81"/>
        <v>288.41042899999997</v>
      </c>
      <c r="AZ429" s="27">
        <f t="shared" si="82"/>
        <v>512.48042900000007</v>
      </c>
    </row>
    <row r="430" spans="1:52" ht="15" customHeight="1" x14ac:dyDescent="0.25">
      <c r="A430" s="13" t="str">
        <f>VLOOKUP(L430,[1]VALIDAÇÃO!$D$13:$E$350,2,0)</f>
        <v>DIRETO</v>
      </c>
      <c r="B430" s="14" t="str">
        <f t="shared" si="84"/>
        <v>1RIO AVE OASIS TORRE 1 SPE LTDA.</v>
      </c>
      <c r="C430" s="15">
        <f t="shared" si="83"/>
        <v>1</v>
      </c>
      <c r="D430" s="16" t="str">
        <f t="shared" si="85"/>
        <v>1RIO AVE OASIS TORRE 1 SPE LTDA.</v>
      </c>
      <c r="E430" s="17">
        <f t="shared" si="76"/>
        <v>1</v>
      </c>
      <c r="F430" s="18" t="str">
        <f t="shared" si="86"/>
        <v>1RIO AVE OASIS TORRE 1 SPE LTDA.</v>
      </c>
      <c r="G430" s="18">
        <f t="shared" si="77"/>
        <v>1</v>
      </c>
      <c r="H430" s="19" t="str">
        <f t="shared" si="87"/>
        <v>1RIO AVE OASIS TORRE 1 SPE LTDA.</v>
      </c>
      <c r="I430" s="19">
        <f t="shared" si="78"/>
        <v>1</v>
      </c>
      <c r="J430" s="13" t="s">
        <v>537</v>
      </c>
      <c r="K430" s="13" t="s">
        <v>543</v>
      </c>
      <c r="L430" s="13" t="s">
        <v>54</v>
      </c>
      <c r="M430" s="13" t="s">
        <v>55</v>
      </c>
      <c r="N430" s="20">
        <v>1303.8599999999999</v>
      </c>
      <c r="O430" s="20">
        <v>1738</v>
      </c>
      <c r="P430" s="21">
        <v>45635</v>
      </c>
      <c r="Q430" s="22"/>
      <c r="R430" s="23">
        <v>1738</v>
      </c>
      <c r="S430" s="24"/>
      <c r="T430" s="23"/>
      <c r="U430" s="24"/>
      <c r="V430" s="23"/>
      <c r="W430" s="23"/>
      <c r="X430" s="24"/>
      <c r="Y430" s="23"/>
      <c r="Z430" s="23"/>
      <c r="AA430" s="23">
        <v>2.36</v>
      </c>
      <c r="AB430" s="23">
        <v>325.98</v>
      </c>
      <c r="AC430" s="24">
        <v>1456.3600000000001</v>
      </c>
      <c r="AD430" s="23">
        <v>28.69</v>
      </c>
      <c r="AE430" s="24">
        <v>128.18</v>
      </c>
      <c r="AF430" s="23"/>
      <c r="AG430" s="23"/>
      <c r="AH430" s="23">
        <v>11.940000000000001</v>
      </c>
      <c r="AI430" s="24">
        <v>0</v>
      </c>
      <c r="AJ430" s="25">
        <v>172.23000000000002</v>
      </c>
      <c r="AK430" s="23">
        <v>33.78</v>
      </c>
      <c r="AL430" s="23"/>
      <c r="AM430" s="24"/>
      <c r="AN430" s="23"/>
      <c r="AO430" s="24"/>
      <c r="AP430" s="23">
        <v>274.35000000000002</v>
      </c>
      <c r="AQ430" s="24">
        <v>1041.82</v>
      </c>
      <c r="AR430" s="23">
        <v>129.09</v>
      </c>
      <c r="AS430" s="23">
        <v>-695.2</v>
      </c>
      <c r="AT430" s="23"/>
      <c r="AU430" s="24"/>
      <c r="AW430" s="27">
        <f t="shared" si="79"/>
        <v>172.23043000000001</v>
      </c>
      <c r="AX430" s="27">
        <f t="shared" si="80"/>
        <v>28.690430000000003</v>
      </c>
      <c r="AY430" s="27">
        <f t="shared" si="81"/>
        <v>325.98043000000001</v>
      </c>
      <c r="AZ430" s="27">
        <f t="shared" si="82"/>
        <v>274.35043000000002</v>
      </c>
    </row>
    <row r="431" spans="1:52" ht="15" customHeight="1" x14ac:dyDescent="0.25">
      <c r="A431" s="13" t="str">
        <f>VLOOKUP(L431,[1]VALIDAÇÃO!$D$13:$E$350,2,0)</f>
        <v>DIRETO</v>
      </c>
      <c r="B431" s="14" t="str">
        <f t="shared" si="84"/>
        <v>76CONDOMINIO DO EDIFICIO EMPRESARIAL MARIE CURIE</v>
      </c>
      <c r="C431" s="15">
        <f t="shared" si="83"/>
        <v>76</v>
      </c>
      <c r="D431" s="16" t="str">
        <f t="shared" si="85"/>
        <v>115CONDOMINIO DO EDIFICIO EMPRESARIAL MARIE CURIE</v>
      </c>
      <c r="E431" s="17">
        <f t="shared" si="76"/>
        <v>115</v>
      </c>
      <c r="F431" s="18" t="str">
        <f t="shared" si="86"/>
        <v>92CONDOMINIO DO EDIFICIO EMPRESARIAL MARIE CURIE</v>
      </c>
      <c r="G431" s="18">
        <f t="shared" si="77"/>
        <v>92</v>
      </c>
      <c r="H431" s="19" t="str">
        <f t="shared" si="87"/>
        <v>18CONDOMINIO DO EDIFICIO EMPRESARIAL MARIE CURIE</v>
      </c>
      <c r="I431" s="19">
        <f t="shared" si="78"/>
        <v>18</v>
      </c>
      <c r="J431" s="13" t="s">
        <v>57</v>
      </c>
      <c r="K431" s="13" t="s">
        <v>544</v>
      </c>
      <c r="L431" s="13" t="s">
        <v>54</v>
      </c>
      <c r="M431" s="13" t="s">
        <v>60</v>
      </c>
      <c r="N431" s="20">
        <v>917.52</v>
      </c>
      <c r="O431" s="20">
        <v>1622.13</v>
      </c>
      <c r="P431" s="21">
        <v>45306</v>
      </c>
      <c r="Q431" s="22"/>
      <c r="R431" s="23">
        <v>1622.13</v>
      </c>
      <c r="S431" s="24"/>
      <c r="T431" s="23"/>
      <c r="U431" s="24"/>
      <c r="V431" s="23"/>
      <c r="W431" s="23"/>
      <c r="X431" s="24"/>
      <c r="Y431" s="23"/>
      <c r="Z431" s="23"/>
      <c r="AA431" s="23">
        <v>0.74</v>
      </c>
      <c r="AB431" s="23">
        <v>2.15</v>
      </c>
      <c r="AC431" s="24">
        <v>9.61</v>
      </c>
      <c r="AD431" s="23">
        <v>4.3600000000000003</v>
      </c>
      <c r="AE431" s="24">
        <v>20.501428571428573</v>
      </c>
      <c r="AF431" s="23"/>
      <c r="AG431" s="23"/>
      <c r="AH431" s="23">
        <v>3.35</v>
      </c>
      <c r="AI431" s="24">
        <v>0</v>
      </c>
      <c r="AJ431" s="25">
        <v>275.87</v>
      </c>
      <c r="AK431" s="23">
        <v>59.99</v>
      </c>
      <c r="AL431" s="23"/>
      <c r="AM431" s="24"/>
      <c r="AN431" s="23"/>
      <c r="AO431" s="24"/>
      <c r="AP431" s="23">
        <v>129.35</v>
      </c>
      <c r="AQ431" s="24">
        <v>491.19</v>
      </c>
      <c r="AR431" s="23">
        <v>28.87</v>
      </c>
      <c r="AS431" s="23">
        <v>-695.2</v>
      </c>
      <c r="AT431" s="23"/>
      <c r="AU431" s="24"/>
      <c r="AW431" s="27">
        <f t="shared" si="79"/>
        <v>275.870431</v>
      </c>
      <c r="AX431" s="27">
        <f t="shared" si="80"/>
        <v>4.3604310000000002</v>
      </c>
      <c r="AY431" s="27">
        <f t="shared" si="81"/>
        <v>2.1504309999999998</v>
      </c>
      <c r="AZ431" s="27">
        <f t="shared" si="82"/>
        <v>129.35043099999999</v>
      </c>
    </row>
    <row r="432" spans="1:52" ht="15" customHeight="1" x14ac:dyDescent="0.25">
      <c r="A432" s="13" t="str">
        <f>VLOOKUP(L432,[1]VALIDAÇÃO!$D$13:$E$350,2,0)</f>
        <v>DIRETO</v>
      </c>
      <c r="B432" s="14" t="str">
        <f t="shared" si="84"/>
        <v>33RIO AVE 130 SPE LTDA</v>
      </c>
      <c r="C432" s="15">
        <f t="shared" si="83"/>
        <v>33</v>
      </c>
      <c r="D432" s="16" t="str">
        <f t="shared" si="85"/>
        <v>10RIO AVE 130 SPE LTDA</v>
      </c>
      <c r="E432" s="17">
        <f t="shared" si="76"/>
        <v>10</v>
      </c>
      <c r="F432" s="18" t="str">
        <f t="shared" si="86"/>
        <v>51RIO AVE 130 SPE LTDA</v>
      </c>
      <c r="G432" s="18">
        <f t="shared" si="77"/>
        <v>51</v>
      </c>
      <c r="H432" s="19" t="str">
        <f t="shared" si="87"/>
        <v>53RIO AVE 130 SPE LTDA</v>
      </c>
      <c r="I432" s="19">
        <f t="shared" si="78"/>
        <v>53</v>
      </c>
      <c r="J432" s="13" t="s">
        <v>102</v>
      </c>
      <c r="K432" s="13" t="s">
        <v>545</v>
      </c>
      <c r="L432" s="13" t="s">
        <v>54</v>
      </c>
      <c r="M432" s="13" t="s">
        <v>55</v>
      </c>
      <c r="N432" s="20">
        <v>1529.56</v>
      </c>
      <c r="O432" s="20">
        <v>1622.13</v>
      </c>
      <c r="P432" s="21">
        <v>45033</v>
      </c>
      <c r="Q432" s="22"/>
      <c r="R432" s="23">
        <v>1622.13</v>
      </c>
      <c r="S432" s="24"/>
      <c r="T432" s="23"/>
      <c r="U432" s="24"/>
      <c r="V432" s="23"/>
      <c r="W432" s="23"/>
      <c r="X432" s="24"/>
      <c r="Y432" s="23"/>
      <c r="Z432" s="23"/>
      <c r="AA432" s="23">
        <v>9.7200000000000006</v>
      </c>
      <c r="AB432" s="23">
        <v>3.08</v>
      </c>
      <c r="AC432" s="24">
        <v>49.298571428571421</v>
      </c>
      <c r="AD432" s="23">
        <v>722.43000000000006</v>
      </c>
      <c r="AE432" s="24">
        <v>3606.5557142857142</v>
      </c>
      <c r="AF432" s="23"/>
      <c r="AG432" s="23"/>
      <c r="AH432" s="23">
        <v>43.69</v>
      </c>
      <c r="AI432" s="24">
        <v>0</v>
      </c>
      <c r="AJ432" s="25">
        <v>545.26</v>
      </c>
      <c r="AK432" s="23">
        <v>121.94</v>
      </c>
      <c r="AL432" s="23">
        <v>-18.96</v>
      </c>
      <c r="AM432" s="24">
        <v>144</v>
      </c>
      <c r="AN432" s="23"/>
      <c r="AO432" s="24"/>
      <c r="AP432" s="23"/>
      <c r="AQ432" s="24"/>
      <c r="AR432" s="23">
        <v>155.98000000000002</v>
      </c>
      <c r="AS432" s="23">
        <v>-853.2</v>
      </c>
      <c r="AT432" s="23"/>
      <c r="AU432" s="24"/>
      <c r="AW432" s="27">
        <f t="shared" si="79"/>
        <v>545.26043200000004</v>
      </c>
      <c r="AX432" s="27">
        <f t="shared" si="80"/>
        <v>722.43043200000011</v>
      </c>
      <c r="AY432" s="27">
        <f t="shared" si="81"/>
        <v>3.0804320000000001</v>
      </c>
      <c r="AZ432" s="27">
        <f t="shared" si="82"/>
        <v>4.3199999999999998E-4</v>
      </c>
    </row>
    <row r="433" spans="1:52" ht="15" customHeight="1" x14ac:dyDescent="0.25">
      <c r="A433" s="13" t="str">
        <f>VLOOKUP(L433,[1]VALIDAÇÃO!$D$13:$E$350,2,0)</f>
        <v>DIRETO</v>
      </c>
      <c r="B433" s="14" t="str">
        <f t="shared" si="84"/>
        <v>5RIO AVE 200 SPE LTDA.</v>
      </c>
      <c r="C433" s="15">
        <f t="shared" si="83"/>
        <v>5</v>
      </c>
      <c r="D433" s="16" t="str">
        <f t="shared" si="85"/>
        <v>34RIO AVE 200 SPE LTDA.</v>
      </c>
      <c r="E433" s="17">
        <f t="shared" si="76"/>
        <v>34</v>
      </c>
      <c r="F433" s="18" t="str">
        <f t="shared" si="86"/>
        <v>45RIO AVE 200 SPE LTDA.</v>
      </c>
      <c r="G433" s="18">
        <f t="shared" si="77"/>
        <v>45</v>
      </c>
      <c r="H433" s="19" t="str">
        <f t="shared" si="87"/>
        <v>46RIO AVE 200 SPE LTDA.</v>
      </c>
      <c r="I433" s="19">
        <f t="shared" si="78"/>
        <v>46</v>
      </c>
      <c r="J433" s="13" t="s">
        <v>48</v>
      </c>
      <c r="K433" s="13" t="s">
        <v>546</v>
      </c>
      <c r="L433" s="13" t="s">
        <v>66</v>
      </c>
      <c r="M433" s="13" t="s">
        <v>55</v>
      </c>
      <c r="N433" s="20">
        <v>2133.61</v>
      </c>
      <c r="O433" s="20">
        <v>2156</v>
      </c>
      <c r="P433" s="21">
        <v>45839</v>
      </c>
      <c r="Q433" s="22"/>
      <c r="R433" s="23">
        <v>2156</v>
      </c>
      <c r="S433" s="24"/>
      <c r="T433" s="23"/>
      <c r="U433" s="24"/>
      <c r="V433" s="23"/>
      <c r="W433" s="23"/>
      <c r="X433" s="24"/>
      <c r="Y433" s="23"/>
      <c r="Z433" s="23"/>
      <c r="AA433" s="23">
        <v>3.77</v>
      </c>
      <c r="AB433" s="23">
        <v>6</v>
      </c>
      <c r="AC433" s="24">
        <v>48</v>
      </c>
      <c r="AD433" s="23">
        <v>123.49</v>
      </c>
      <c r="AE433" s="24">
        <v>739.71428571428578</v>
      </c>
      <c r="AF433" s="23"/>
      <c r="AG433" s="23"/>
      <c r="AH433" s="23">
        <v>17.04</v>
      </c>
      <c r="AI433" s="24">
        <v>0</v>
      </c>
      <c r="AJ433" s="25">
        <v>1150.8599999999999</v>
      </c>
      <c r="AK433" s="23">
        <v>249.23</v>
      </c>
      <c r="AL433" s="23"/>
      <c r="AM433" s="24"/>
      <c r="AN433" s="23"/>
      <c r="AO433" s="24"/>
      <c r="AP433" s="23"/>
      <c r="AQ433" s="24"/>
      <c r="AR433" s="23">
        <v>28.17</v>
      </c>
      <c r="AS433" s="23">
        <v>-1044</v>
      </c>
      <c r="AT433" s="23"/>
      <c r="AU433" s="24"/>
      <c r="AW433" s="27">
        <f t="shared" si="79"/>
        <v>1150.8604329999998</v>
      </c>
      <c r="AX433" s="27">
        <f t="shared" si="80"/>
        <v>123.490433</v>
      </c>
      <c r="AY433" s="27">
        <f t="shared" si="81"/>
        <v>6.0004330000000001</v>
      </c>
      <c r="AZ433" s="27">
        <f t="shared" si="82"/>
        <v>4.3300000000000001E-4</v>
      </c>
    </row>
    <row r="434" spans="1:52" ht="15" customHeight="1" x14ac:dyDescent="0.25">
      <c r="A434" s="13" t="str">
        <f>VLOOKUP(L434,[1]VALIDAÇÃO!$D$13:$E$350,2,0)</f>
        <v>DIRETO</v>
      </c>
      <c r="B434" s="14" t="str">
        <f t="shared" si="84"/>
        <v>27RIO AVE 130 SPE LTDA</v>
      </c>
      <c r="C434" s="15">
        <f t="shared" si="83"/>
        <v>27</v>
      </c>
      <c r="D434" s="16" t="str">
        <f t="shared" si="85"/>
        <v>5RIO AVE 130 SPE LTDA</v>
      </c>
      <c r="E434" s="17">
        <f t="shared" si="76"/>
        <v>5</v>
      </c>
      <c r="F434" s="18" t="str">
        <f t="shared" si="86"/>
        <v>49RIO AVE 130 SPE LTDA</v>
      </c>
      <c r="G434" s="18">
        <f t="shared" si="77"/>
        <v>49</v>
      </c>
      <c r="H434" s="19" t="str">
        <f t="shared" si="87"/>
        <v>52RIO AVE 130 SPE LTDA</v>
      </c>
      <c r="I434" s="19">
        <f t="shared" si="78"/>
        <v>52</v>
      </c>
      <c r="J434" s="13" t="s">
        <v>102</v>
      </c>
      <c r="K434" s="13" t="s">
        <v>547</v>
      </c>
      <c r="L434" s="13" t="s">
        <v>54</v>
      </c>
      <c r="M434" s="13" t="s">
        <v>55</v>
      </c>
      <c r="N434" s="20">
        <v>1628.36</v>
      </c>
      <c r="O434" s="20">
        <v>1622.13</v>
      </c>
      <c r="P434" s="21">
        <v>45323</v>
      </c>
      <c r="Q434" s="22"/>
      <c r="R434" s="23">
        <v>1622.13</v>
      </c>
      <c r="S434" s="24"/>
      <c r="T434" s="23"/>
      <c r="U434" s="24"/>
      <c r="V434" s="23"/>
      <c r="W434" s="23"/>
      <c r="X434" s="24"/>
      <c r="Y434" s="23"/>
      <c r="Z434" s="23"/>
      <c r="AA434" s="23">
        <v>12.17</v>
      </c>
      <c r="AB434" s="23">
        <v>11.85</v>
      </c>
      <c r="AC434" s="24">
        <v>67.430000000000007</v>
      </c>
      <c r="AD434" s="23">
        <v>774.95</v>
      </c>
      <c r="AE434" s="24">
        <v>4023.8857142857141</v>
      </c>
      <c r="AF434" s="23"/>
      <c r="AG434" s="23"/>
      <c r="AH434" s="23">
        <v>55.980000000000004</v>
      </c>
      <c r="AI434" s="24">
        <v>0</v>
      </c>
      <c r="AJ434" s="25">
        <v>622.45000000000005</v>
      </c>
      <c r="AK434" s="23">
        <v>136.48000000000002</v>
      </c>
      <c r="AL434" s="23">
        <v>-18.43</v>
      </c>
      <c r="AM434" s="24">
        <v>140</v>
      </c>
      <c r="AN434" s="23"/>
      <c r="AO434" s="24"/>
      <c r="AP434" s="23"/>
      <c r="AQ434" s="24"/>
      <c r="AR434" s="23">
        <v>170.02999999999997</v>
      </c>
      <c r="AS434" s="23">
        <v>-895.2</v>
      </c>
      <c r="AT434" s="23"/>
      <c r="AU434" s="24"/>
      <c r="AW434" s="27">
        <f t="shared" si="79"/>
        <v>622.45043400000009</v>
      </c>
      <c r="AX434" s="27">
        <f t="shared" si="80"/>
        <v>774.95043400000009</v>
      </c>
      <c r="AY434" s="27">
        <f t="shared" si="81"/>
        <v>11.850434</v>
      </c>
      <c r="AZ434" s="27">
        <f t="shared" si="82"/>
        <v>4.3399999999999998E-4</v>
      </c>
    </row>
    <row r="435" spans="1:52" ht="15" customHeight="1" x14ac:dyDescent="0.25">
      <c r="A435" s="13" t="str">
        <f>VLOOKUP(L435,[1]VALIDAÇÃO!$D$13:$E$350,2,0)</f>
        <v>DIRETO</v>
      </c>
      <c r="B435" s="14" t="str">
        <f t="shared" si="84"/>
        <v>2RIO AVE 200 SPE LTDA.</v>
      </c>
      <c r="C435" s="15">
        <f t="shared" si="83"/>
        <v>2</v>
      </c>
      <c r="D435" s="16" t="str">
        <f t="shared" si="85"/>
        <v>31RIO AVE 200 SPE LTDA.</v>
      </c>
      <c r="E435" s="17">
        <f t="shared" si="76"/>
        <v>31</v>
      </c>
      <c r="F435" s="18" t="str">
        <f t="shared" si="86"/>
        <v>32RIO AVE 200 SPE LTDA.</v>
      </c>
      <c r="G435" s="18">
        <f t="shared" si="77"/>
        <v>32</v>
      </c>
      <c r="H435" s="19" t="str">
        <f t="shared" si="87"/>
        <v>45RIO AVE 200 SPE LTDA.</v>
      </c>
      <c r="I435" s="19">
        <f t="shared" si="78"/>
        <v>45</v>
      </c>
      <c r="J435" s="13" t="s">
        <v>48</v>
      </c>
      <c r="K435" s="13" t="s">
        <v>548</v>
      </c>
      <c r="L435" s="13" t="s">
        <v>63</v>
      </c>
      <c r="M435" s="13" t="s">
        <v>55</v>
      </c>
      <c r="N435" s="20">
        <v>1938.59</v>
      </c>
      <c r="O435" s="20">
        <v>2156</v>
      </c>
      <c r="P435" s="21">
        <v>45706</v>
      </c>
      <c r="Q435" s="22"/>
      <c r="R435" s="23">
        <v>2156</v>
      </c>
      <c r="S435" s="24"/>
      <c r="T435" s="23"/>
      <c r="U435" s="24"/>
      <c r="V435" s="23"/>
      <c r="W435" s="23"/>
      <c r="X435" s="24"/>
      <c r="Y435" s="23"/>
      <c r="Z435" s="23"/>
      <c r="AA435" s="23">
        <v>4.0599999999999996</v>
      </c>
      <c r="AB435" s="23">
        <v>22.94</v>
      </c>
      <c r="AC435" s="24">
        <v>118</v>
      </c>
      <c r="AD435" s="23">
        <v>131.47</v>
      </c>
      <c r="AE435" s="24">
        <v>583</v>
      </c>
      <c r="AF435" s="23"/>
      <c r="AG435" s="23"/>
      <c r="AH435" s="23">
        <v>18.86</v>
      </c>
      <c r="AI435" s="24">
        <v>0</v>
      </c>
      <c r="AJ435" s="25">
        <v>1207.56</v>
      </c>
      <c r="AK435" s="23">
        <v>260.14999999999998</v>
      </c>
      <c r="AL435" s="23"/>
      <c r="AM435" s="24"/>
      <c r="AN435" s="23"/>
      <c r="AO435" s="24"/>
      <c r="AP435" s="23"/>
      <c r="AQ435" s="24"/>
      <c r="AR435" s="23">
        <v>33.92</v>
      </c>
      <c r="AS435" s="23">
        <v>-924</v>
      </c>
      <c r="AT435" s="23"/>
      <c r="AU435" s="24"/>
      <c r="AW435" s="27">
        <f t="shared" si="79"/>
        <v>1207.5604349999999</v>
      </c>
      <c r="AX435" s="27">
        <f t="shared" si="80"/>
        <v>131.47043500000001</v>
      </c>
      <c r="AY435" s="27">
        <f t="shared" si="81"/>
        <v>22.940435000000001</v>
      </c>
      <c r="AZ435" s="27">
        <f t="shared" si="82"/>
        <v>4.35E-4</v>
      </c>
    </row>
    <row r="436" spans="1:52" ht="15" customHeight="1" x14ac:dyDescent="0.25">
      <c r="A436" s="13" t="str">
        <f>VLOOKUP(L436,[1]VALIDAÇÃO!$D$13:$E$350,2,0)</f>
        <v>DIRETO</v>
      </c>
      <c r="B436" s="14" t="str">
        <f t="shared" si="84"/>
        <v>51RIO AVE 130 SPE LTDA</v>
      </c>
      <c r="C436" s="15">
        <f t="shared" si="83"/>
        <v>51</v>
      </c>
      <c r="D436" s="16" t="str">
        <f t="shared" si="85"/>
        <v>31RIO AVE 130 SPE LTDA</v>
      </c>
      <c r="E436" s="17">
        <f t="shared" si="76"/>
        <v>31</v>
      </c>
      <c r="F436" s="18" t="str">
        <f t="shared" si="86"/>
        <v>46RIO AVE 130 SPE LTDA</v>
      </c>
      <c r="G436" s="18">
        <f t="shared" si="77"/>
        <v>46</v>
      </c>
      <c r="H436" s="19" t="str">
        <f t="shared" si="87"/>
        <v>8RIO AVE 130 SPE LTDA</v>
      </c>
      <c r="I436" s="19">
        <f t="shared" si="78"/>
        <v>8</v>
      </c>
      <c r="J436" s="13" t="s">
        <v>102</v>
      </c>
      <c r="K436" s="13" t="s">
        <v>549</v>
      </c>
      <c r="L436" s="13" t="s">
        <v>54</v>
      </c>
      <c r="M436" s="13" t="s">
        <v>55</v>
      </c>
      <c r="N436" s="20">
        <v>1089.04</v>
      </c>
      <c r="O436" s="20">
        <v>1622.13</v>
      </c>
      <c r="P436" s="21">
        <v>45208</v>
      </c>
      <c r="Q436" s="22"/>
      <c r="R436" s="23">
        <v>1622.13</v>
      </c>
      <c r="S436" s="24"/>
      <c r="T436" s="23"/>
      <c r="U436" s="24"/>
      <c r="V436" s="23"/>
      <c r="W436" s="23"/>
      <c r="X436" s="24"/>
      <c r="Y436" s="23"/>
      <c r="Z436" s="23"/>
      <c r="AA436" s="23">
        <v>1.82</v>
      </c>
      <c r="AB436" s="23">
        <v>35.39</v>
      </c>
      <c r="AC436" s="24">
        <v>158.13</v>
      </c>
      <c r="AD436" s="23">
        <v>95.13</v>
      </c>
      <c r="AE436" s="24">
        <v>434.04999999999995</v>
      </c>
      <c r="AF436" s="23"/>
      <c r="AG436" s="23"/>
      <c r="AH436" s="23">
        <v>8</v>
      </c>
      <c r="AI436" s="24">
        <v>0</v>
      </c>
      <c r="AJ436" s="25">
        <v>233.04</v>
      </c>
      <c r="AK436" s="23">
        <v>51.89</v>
      </c>
      <c r="AL436" s="23">
        <v>-7.64</v>
      </c>
      <c r="AM436" s="24">
        <v>58</v>
      </c>
      <c r="AN436" s="23"/>
      <c r="AO436" s="24"/>
      <c r="AP436" s="23">
        <v>198.73000000000002</v>
      </c>
      <c r="AQ436" s="24">
        <v>754.67</v>
      </c>
      <c r="AR436" s="23">
        <v>73.89</v>
      </c>
      <c r="AS436" s="23">
        <v>-695.2</v>
      </c>
      <c r="AT436" s="23"/>
      <c r="AU436" s="24"/>
      <c r="AW436" s="27">
        <f t="shared" si="79"/>
        <v>233.040436</v>
      </c>
      <c r="AX436" s="27">
        <f t="shared" si="80"/>
        <v>95.130435999999989</v>
      </c>
      <c r="AY436" s="27">
        <f t="shared" si="81"/>
        <v>35.390436000000001</v>
      </c>
      <c r="AZ436" s="27">
        <f t="shared" si="82"/>
        <v>198.73043600000003</v>
      </c>
    </row>
    <row r="437" spans="1:52" ht="15" customHeight="1" x14ac:dyDescent="0.25">
      <c r="A437" s="13" t="str">
        <f>VLOOKUP(L437,[1]VALIDAÇÃO!$D$13:$E$350,2,0)</f>
        <v>DIRETO</v>
      </c>
      <c r="B437" s="14" t="str">
        <f t="shared" si="84"/>
        <v>1RIO AVE CARNEIROS 01 SPE LTDA.</v>
      </c>
      <c r="C437" s="15">
        <f t="shared" si="83"/>
        <v>1</v>
      </c>
      <c r="D437" s="16" t="str">
        <f t="shared" si="85"/>
        <v>139RIO AVE CARNEIROS 01 SPE LTDA.</v>
      </c>
      <c r="E437" s="17">
        <f t="shared" si="76"/>
        <v>139</v>
      </c>
      <c r="F437" s="18" t="str">
        <f t="shared" si="86"/>
        <v>113RIO AVE CARNEIROS 01 SPE LTDA.</v>
      </c>
      <c r="G437" s="18">
        <f t="shared" si="77"/>
        <v>113</v>
      </c>
      <c r="H437" s="19" t="str">
        <f t="shared" si="87"/>
        <v>112RIO AVE CARNEIROS 01 SPE LTDA.</v>
      </c>
      <c r="I437" s="19">
        <f t="shared" si="78"/>
        <v>112</v>
      </c>
      <c r="J437" s="13" t="s">
        <v>61</v>
      </c>
      <c r="K437" s="13" t="s">
        <v>550</v>
      </c>
      <c r="L437" s="13" t="s">
        <v>63</v>
      </c>
      <c r="M437" s="13" t="s">
        <v>55</v>
      </c>
      <c r="N437" s="20">
        <v>1746.29</v>
      </c>
      <c r="O437" s="20">
        <v>2156</v>
      </c>
      <c r="P437" s="21">
        <v>45817</v>
      </c>
      <c r="Q437" s="22"/>
      <c r="R437" s="23">
        <v>2156</v>
      </c>
      <c r="S437" s="24"/>
      <c r="T437" s="23"/>
      <c r="U437" s="24"/>
      <c r="V437" s="23"/>
      <c r="W437" s="23"/>
      <c r="X437" s="24"/>
      <c r="Y437" s="23"/>
      <c r="Z437" s="23"/>
      <c r="AA437" s="23">
        <v>0.97</v>
      </c>
      <c r="AB437" s="23">
        <v>19.97</v>
      </c>
      <c r="AC437" s="24">
        <v>127.24285714285713</v>
      </c>
      <c r="AD437" s="23">
        <v>0.91</v>
      </c>
      <c r="AE437" s="24">
        <v>6.4285714285714288</v>
      </c>
      <c r="AF437" s="23"/>
      <c r="AG437" s="23"/>
      <c r="AH437" s="23">
        <v>4.96</v>
      </c>
      <c r="AI437" s="24">
        <v>0</v>
      </c>
      <c r="AJ437" s="25">
        <v>1337.8899999999999</v>
      </c>
      <c r="AK437" s="23">
        <v>290.64</v>
      </c>
      <c r="AL437" s="23">
        <v>-11.03</v>
      </c>
      <c r="AM437" s="24">
        <v>63</v>
      </c>
      <c r="AN437" s="23">
        <v>-77</v>
      </c>
      <c r="AO437" s="24">
        <v>1</v>
      </c>
      <c r="AP437" s="23"/>
      <c r="AQ437" s="24"/>
      <c r="AR437" s="23">
        <v>4.13</v>
      </c>
      <c r="AS437" s="23">
        <v>-1014</v>
      </c>
      <c r="AT437" s="23">
        <v>-77</v>
      </c>
      <c r="AU437" s="24">
        <v>1</v>
      </c>
      <c r="AW437" s="27">
        <f t="shared" si="79"/>
        <v>1337.8904369999998</v>
      </c>
      <c r="AX437" s="27">
        <f t="shared" si="80"/>
        <v>0.91043700000000005</v>
      </c>
      <c r="AY437" s="27">
        <f t="shared" si="81"/>
        <v>19.970437</v>
      </c>
      <c r="AZ437" s="27">
        <f t="shared" si="82"/>
        <v>4.37E-4</v>
      </c>
    </row>
    <row r="438" spans="1:52" ht="15" customHeight="1" x14ac:dyDescent="0.25">
      <c r="A438" s="13" t="str">
        <f>VLOOKUP(L438,[1]VALIDAÇÃO!$D$13:$E$350,2,0)</f>
        <v>DIRETO</v>
      </c>
      <c r="B438" s="14" t="str">
        <f t="shared" si="84"/>
        <v>34CONDOMINIO DO EDIFICIO EMPRESARIAL MARIE CURIE</v>
      </c>
      <c r="C438" s="15">
        <f t="shared" si="83"/>
        <v>34</v>
      </c>
      <c r="D438" s="16" t="str">
        <f t="shared" si="85"/>
        <v>50CONDOMINIO DO EDIFICIO EMPRESARIAL MARIE CURIE</v>
      </c>
      <c r="E438" s="17">
        <f t="shared" si="76"/>
        <v>50</v>
      </c>
      <c r="F438" s="18" t="str">
        <f t="shared" si="86"/>
        <v>39CONDOMINIO DO EDIFICIO EMPRESARIAL MARIE CURIE</v>
      </c>
      <c r="G438" s="18">
        <f t="shared" si="77"/>
        <v>39</v>
      </c>
      <c r="H438" s="19" t="str">
        <f t="shared" si="87"/>
        <v>78CONDOMINIO DO EDIFICIO EMPRESARIAL MARIE CURIE</v>
      </c>
      <c r="I438" s="19">
        <f t="shared" si="78"/>
        <v>78</v>
      </c>
      <c r="J438" s="13" t="s">
        <v>57</v>
      </c>
      <c r="K438" s="13" t="s">
        <v>550</v>
      </c>
      <c r="L438" s="13" t="s">
        <v>54</v>
      </c>
      <c r="M438" s="13" t="s">
        <v>60</v>
      </c>
      <c r="N438" s="20">
        <v>1182.24</v>
      </c>
      <c r="O438" s="20">
        <v>1622.13</v>
      </c>
      <c r="P438" s="21">
        <v>45600</v>
      </c>
      <c r="Q438" s="22"/>
      <c r="R438" s="23">
        <v>1622.13</v>
      </c>
      <c r="S438" s="24"/>
      <c r="T438" s="23"/>
      <c r="U438" s="24"/>
      <c r="V438" s="23"/>
      <c r="W438" s="23"/>
      <c r="X438" s="24"/>
      <c r="Y438" s="23"/>
      <c r="Z438" s="23"/>
      <c r="AA438" s="23">
        <v>3.92</v>
      </c>
      <c r="AB438" s="23">
        <v>106.25999999999999</v>
      </c>
      <c r="AC438" s="24">
        <v>510.00857142857143</v>
      </c>
      <c r="AD438" s="23">
        <v>160.03</v>
      </c>
      <c r="AE438" s="24">
        <v>780.67714285714283</v>
      </c>
      <c r="AF438" s="23"/>
      <c r="AG438" s="23"/>
      <c r="AH438" s="23">
        <v>18.91</v>
      </c>
      <c r="AI438" s="24">
        <v>0</v>
      </c>
      <c r="AJ438" s="25">
        <v>654.5</v>
      </c>
      <c r="AK438" s="23">
        <v>137.9</v>
      </c>
      <c r="AL438" s="23">
        <v>-2.92</v>
      </c>
      <c r="AM438" s="24">
        <v>22.19</v>
      </c>
      <c r="AN438" s="23"/>
      <c r="AO438" s="24"/>
      <c r="AP438" s="23"/>
      <c r="AQ438" s="24"/>
      <c r="AR438" s="23">
        <v>54.410000000000004</v>
      </c>
      <c r="AS438" s="23">
        <v>-695.2</v>
      </c>
      <c r="AT438" s="23"/>
      <c r="AU438" s="24"/>
      <c r="AW438" s="27">
        <f t="shared" si="79"/>
        <v>654.50043800000003</v>
      </c>
      <c r="AX438" s="27">
        <f t="shared" si="80"/>
        <v>160.030438</v>
      </c>
      <c r="AY438" s="27">
        <f t="shared" si="81"/>
        <v>106.26043799999999</v>
      </c>
      <c r="AZ438" s="27">
        <f t="shared" si="82"/>
        <v>4.3800000000000002E-4</v>
      </c>
    </row>
    <row r="439" spans="1:52" ht="15" customHeight="1" x14ac:dyDescent="0.25">
      <c r="A439" s="13" t="str">
        <f>VLOOKUP(L439,[1]VALIDAÇÃO!$D$13:$E$350,2,0)</f>
        <v>DIRETO</v>
      </c>
      <c r="B439" s="14" t="str">
        <f t="shared" si="84"/>
        <v>29CONDOMINIO DO EDIFICIO EMPRESARIAL MARIE CURIE</v>
      </c>
      <c r="C439" s="15">
        <f t="shared" si="83"/>
        <v>29</v>
      </c>
      <c r="D439" s="16" t="str">
        <f t="shared" si="85"/>
        <v>5CONDOMINIO DO EDIFICIO EMPRESARIAL MARIE CURIE</v>
      </c>
      <c r="E439" s="17">
        <f t="shared" si="76"/>
        <v>5</v>
      </c>
      <c r="F439" s="18" t="str">
        <f t="shared" si="86"/>
        <v>6CONDOMINIO DO EDIFICIO EMPRESARIAL MARIE CURIE</v>
      </c>
      <c r="G439" s="18">
        <f t="shared" si="77"/>
        <v>6</v>
      </c>
      <c r="H439" s="19" t="str">
        <f t="shared" si="87"/>
        <v>23CONDOMINIO DO EDIFICIO EMPRESARIAL MARIE CURIE</v>
      </c>
      <c r="I439" s="19">
        <f t="shared" si="78"/>
        <v>23</v>
      </c>
      <c r="J439" s="13" t="s">
        <v>57</v>
      </c>
      <c r="K439" s="13" t="s">
        <v>551</v>
      </c>
      <c r="L439" s="13" t="s">
        <v>54</v>
      </c>
      <c r="M439" s="13" t="s">
        <v>60</v>
      </c>
      <c r="N439" s="20">
        <v>1724.69</v>
      </c>
      <c r="O439" s="20">
        <v>1622.13</v>
      </c>
      <c r="P439" s="21">
        <v>45266</v>
      </c>
      <c r="Q439" s="22"/>
      <c r="R439" s="23">
        <v>1622.13</v>
      </c>
      <c r="S439" s="24"/>
      <c r="T439" s="23"/>
      <c r="U439" s="24"/>
      <c r="V439" s="23"/>
      <c r="W439" s="23">
        <v>0.22</v>
      </c>
      <c r="X439" s="24">
        <v>7.61</v>
      </c>
      <c r="Y439" s="23"/>
      <c r="Z439" s="23"/>
      <c r="AA439" s="23">
        <v>19.47</v>
      </c>
      <c r="AB439" s="23">
        <v>350.69</v>
      </c>
      <c r="AC439" s="24">
        <v>1759.6257142857144</v>
      </c>
      <c r="AD439" s="23">
        <v>686.06999999999994</v>
      </c>
      <c r="AE439" s="24">
        <v>3539.6714285714288</v>
      </c>
      <c r="AF439" s="23"/>
      <c r="AG439" s="23"/>
      <c r="AH439" s="23">
        <v>90.490000000000009</v>
      </c>
      <c r="AI439" s="24">
        <v>0</v>
      </c>
      <c r="AJ439" s="25">
        <v>744.9</v>
      </c>
      <c r="AK439" s="23">
        <v>162.64000000000001</v>
      </c>
      <c r="AL439" s="23"/>
      <c r="AM439" s="24"/>
      <c r="AN439" s="23"/>
      <c r="AO439" s="24"/>
      <c r="AP439" s="23">
        <v>42.93</v>
      </c>
      <c r="AQ439" s="24">
        <v>206.79857142857139</v>
      </c>
      <c r="AR439" s="23">
        <v>219.87</v>
      </c>
      <c r="AS439" s="23">
        <v>-695.2</v>
      </c>
      <c r="AT439" s="23"/>
      <c r="AU439" s="24"/>
      <c r="AW439" s="27">
        <f t="shared" si="79"/>
        <v>744.90043900000001</v>
      </c>
      <c r="AX439" s="27">
        <f t="shared" si="80"/>
        <v>686.07043899999996</v>
      </c>
      <c r="AY439" s="27">
        <f t="shared" si="81"/>
        <v>350.69043899999997</v>
      </c>
      <c r="AZ439" s="27">
        <f t="shared" si="82"/>
        <v>42.930439</v>
      </c>
    </row>
    <row r="440" spans="1:52" ht="15" customHeight="1" x14ac:dyDescent="0.25">
      <c r="A440" s="13" t="str">
        <f>VLOOKUP(L440,[1]VALIDAÇÃO!$D$13:$E$350,2,0)</f>
        <v>DIRETO</v>
      </c>
      <c r="B440" s="14" t="str">
        <f t="shared" si="84"/>
        <v>4RIO AVE CARNEIROS 01 SPE LTDA.</v>
      </c>
      <c r="C440" s="15">
        <f t="shared" si="83"/>
        <v>4</v>
      </c>
      <c r="D440" s="16" t="str">
        <f t="shared" si="85"/>
        <v>114RIO AVE CARNEIROS 01 SPE LTDA.</v>
      </c>
      <c r="E440" s="17">
        <f t="shared" si="76"/>
        <v>114</v>
      </c>
      <c r="F440" s="18" t="str">
        <f t="shared" si="86"/>
        <v>3RIO AVE CARNEIROS 01 SPE LTDA.</v>
      </c>
      <c r="G440" s="18">
        <f t="shared" si="77"/>
        <v>3</v>
      </c>
      <c r="H440" s="19" t="str">
        <f t="shared" si="87"/>
        <v>20RIO AVE CARNEIROS 01 SPE LTDA.</v>
      </c>
      <c r="I440" s="19">
        <f t="shared" si="78"/>
        <v>20</v>
      </c>
      <c r="J440" s="13" t="s">
        <v>61</v>
      </c>
      <c r="K440" s="13" t="s">
        <v>552</v>
      </c>
      <c r="L440" s="13" t="s">
        <v>63</v>
      </c>
      <c r="M440" s="13" t="s">
        <v>55</v>
      </c>
      <c r="N440" s="20">
        <v>1629.33</v>
      </c>
      <c r="O440" s="20">
        <v>2156</v>
      </c>
      <c r="P440" s="21">
        <v>45453</v>
      </c>
      <c r="Q440" s="22"/>
      <c r="R440" s="23">
        <v>2156</v>
      </c>
      <c r="S440" s="24"/>
      <c r="T440" s="23"/>
      <c r="U440" s="24"/>
      <c r="V440" s="23"/>
      <c r="W440" s="23"/>
      <c r="X440" s="24"/>
      <c r="Y440" s="23"/>
      <c r="Z440" s="23"/>
      <c r="AA440" s="23">
        <v>10.11</v>
      </c>
      <c r="AB440" s="23">
        <v>404.65</v>
      </c>
      <c r="AC440" s="24">
        <v>1360.17</v>
      </c>
      <c r="AD440" s="23">
        <v>10.5</v>
      </c>
      <c r="AE440" s="24">
        <v>43.33</v>
      </c>
      <c r="AF440" s="23"/>
      <c r="AG440" s="23"/>
      <c r="AH440" s="23">
        <v>46</v>
      </c>
      <c r="AI440" s="24">
        <v>0</v>
      </c>
      <c r="AJ440" s="25">
        <v>984.56999999999994</v>
      </c>
      <c r="AK440" s="23">
        <v>216.64</v>
      </c>
      <c r="AL440" s="23"/>
      <c r="AM440" s="24"/>
      <c r="AN440" s="23">
        <v>-77</v>
      </c>
      <c r="AO440" s="24">
        <v>1</v>
      </c>
      <c r="AP440" s="23">
        <v>55.39</v>
      </c>
      <c r="AQ440" s="24">
        <v>158.25</v>
      </c>
      <c r="AR440" s="23">
        <v>102.85</v>
      </c>
      <c r="AS440" s="23">
        <v>-924</v>
      </c>
      <c r="AT440" s="23">
        <v>-154</v>
      </c>
      <c r="AU440" s="24">
        <v>2</v>
      </c>
      <c r="AW440" s="27">
        <f t="shared" si="79"/>
        <v>984.57043999999996</v>
      </c>
      <c r="AX440" s="27">
        <f t="shared" si="80"/>
        <v>10.500439999999999</v>
      </c>
      <c r="AY440" s="27">
        <f t="shared" si="81"/>
        <v>404.65044</v>
      </c>
      <c r="AZ440" s="27">
        <f t="shared" si="82"/>
        <v>55.390439999999998</v>
      </c>
    </row>
    <row r="441" spans="1:52" ht="15" customHeight="1" x14ac:dyDescent="0.25">
      <c r="A441" s="13" t="str">
        <f>VLOOKUP(L441,[1]VALIDAÇÃO!$D$13:$E$350,2,0)</f>
        <v>DIRETO</v>
      </c>
      <c r="B441" s="14" t="str">
        <f t="shared" si="84"/>
        <v>25CONDOMINIO DO EDIFICIO EMPRESARIAL MARIE CURIE</v>
      </c>
      <c r="C441" s="15">
        <f t="shared" si="83"/>
        <v>25</v>
      </c>
      <c r="D441" s="16" t="str">
        <f t="shared" si="85"/>
        <v>58CONDOMINIO DO EDIFICIO EMPRESARIAL MARIE CURIE</v>
      </c>
      <c r="E441" s="17">
        <f t="shared" si="76"/>
        <v>58</v>
      </c>
      <c r="F441" s="18" t="str">
        <f t="shared" si="86"/>
        <v>108CONDOMINIO DO EDIFICIO EMPRESARIAL MARIE CURIE</v>
      </c>
      <c r="G441" s="18">
        <f t="shared" si="77"/>
        <v>108</v>
      </c>
      <c r="H441" s="19" t="str">
        <f t="shared" si="87"/>
        <v>77CONDOMINIO DO EDIFICIO EMPRESARIAL MARIE CURIE</v>
      </c>
      <c r="I441" s="19">
        <f t="shared" si="78"/>
        <v>77</v>
      </c>
      <c r="J441" s="13" t="s">
        <v>57</v>
      </c>
      <c r="K441" s="13" t="s">
        <v>553</v>
      </c>
      <c r="L441" s="13" t="s">
        <v>63</v>
      </c>
      <c r="M441" s="13" t="s">
        <v>60</v>
      </c>
      <c r="N441" s="20">
        <v>1567.06</v>
      </c>
      <c r="O441" s="20">
        <v>2156</v>
      </c>
      <c r="P441" s="21">
        <v>45748</v>
      </c>
      <c r="Q441" s="22"/>
      <c r="R441" s="23">
        <v>2156</v>
      </c>
      <c r="S441" s="24"/>
      <c r="T441" s="23"/>
      <c r="U441" s="24"/>
      <c r="V441" s="23"/>
      <c r="W441" s="23"/>
      <c r="X441" s="24"/>
      <c r="Y441" s="23"/>
      <c r="Z441" s="23"/>
      <c r="AA441" s="23">
        <v>2.21</v>
      </c>
      <c r="AB441" s="23"/>
      <c r="AC441" s="24"/>
      <c r="AD441" s="23">
        <v>124.84</v>
      </c>
      <c r="AE441" s="24">
        <v>552.00428571428574</v>
      </c>
      <c r="AF441" s="23"/>
      <c r="AG441" s="23"/>
      <c r="AH441" s="23">
        <v>9.9</v>
      </c>
      <c r="AI441" s="24">
        <v>0</v>
      </c>
      <c r="AJ441" s="25">
        <v>820.53</v>
      </c>
      <c r="AK441" s="23">
        <v>176.91</v>
      </c>
      <c r="AL441" s="23">
        <v>-3.01</v>
      </c>
      <c r="AM441" s="24">
        <v>17.190000000000001</v>
      </c>
      <c r="AN441" s="23"/>
      <c r="AO441" s="24"/>
      <c r="AP441" s="23"/>
      <c r="AQ441" s="24"/>
      <c r="AR441" s="23">
        <v>27.740000000000002</v>
      </c>
      <c r="AS441" s="23">
        <v>-924</v>
      </c>
      <c r="AT441" s="23"/>
      <c r="AU441" s="24"/>
      <c r="AW441" s="27">
        <f t="shared" si="79"/>
        <v>820.530441</v>
      </c>
      <c r="AX441" s="27">
        <f t="shared" si="80"/>
        <v>124.840441</v>
      </c>
      <c r="AY441" s="27">
        <f t="shared" si="81"/>
        <v>4.4099999999999999E-4</v>
      </c>
      <c r="AZ441" s="27">
        <f t="shared" si="82"/>
        <v>4.4099999999999999E-4</v>
      </c>
    </row>
    <row r="442" spans="1:52" ht="15" customHeight="1" x14ac:dyDescent="0.25">
      <c r="A442" s="13" t="str">
        <f>VLOOKUP(L442,[1]VALIDAÇÃO!$D$13:$E$350,2,0)</f>
        <v>DIRETO</v>
      </c>
      <c r="B442" s="14" t="str">
        <f t="shared" si="84"/>
        <v>67RIO AVE CARNEIROS 01 SPE LTDA.</v>
      </c>
      <c r="C442" s="15">
        <f t="shared" si="83"/>
        <v>67</v>
      </c>
      <c r="D442" s="16" t="str">
        <f t="shared" si="85"/>
        <v>86RIO AVE CARNEIROS 01 SPE LTDA.</v>
      </c>
      <c r="E442" s="17">
        <f t="shared" si="76"/>
        <v>86</v>
      </c>
      <c r="F442" s="18" t="str">
        <f t="shared" si="86"/>
        <v>138RIO AVE CARNEIROS 01 SPE LTDA.</v>
      </c>
      <c r="G442" s="18">
        <f t="shared" si="77"/>
        <v>138</v>
      </c>
      <c r="H442" s="19" t="str">
        <f t="shared" si="87"/>
        <v>111RIO AVE CARNEIROS 01 SPE LTDA.</v>
      </c>
      <c r="I442" s="19">
        <f t="shared" si="78"/>
        <v>111</v>
      </c>
      <c r="J442" s="13" t="s">
        <v>61</v>
      </c>
      <c r="K442" s="13" t="s">
        <v>554</v>
      </c>
      <c r="L442" s="13" t="s">
        <v>54</v>
      </c>
      <c r="M442" s="13" t="s">
        <v>55</v>
      </c>
      <c r="N442" s="20">
        <v>1014.85</v>
      </c>
      <c r="O442" s="20">
        <v>1622.13</v>
      </c>
      <c r="P442" s="21">
        <v>45600</v>
      </c>
      <c r="Q442" s="22"/>
      <c r="R442" s="23">
        <v>1622.13</v>
      </c>
      <c r="S442" s="24"/>
      <c r="T442" s="23"/>
      <c r="U442" s="24"/>
      <c r="V442" s="23"/>
      <c r="W442" s="23"/>
      <c r="X442" s="24"/>
      <c r="Y442" s="23"/>
      <c r="Z442" s="23"/>
      <c r="AA442" s="23">
        <v>0.41000000000000003</v>
      </c>
      <c r="AB442" s="23"/>
      <c r="AC442" s="24"/>
      <c r="AD442" s="23">
        <v>37.440000000000005</v>
      </c>
      <c r="AE442" s="24">
        <v>192.16857142857145</v>
      </c>
      <c r="AF442" s="23"/>
      <c r="AG442" s="23"/>
      <c r="AH442" s="23">
        <v>1.87</v>
      </c>
      <c r="AI442" s="24">
        <v>0</v>
      </c>
      <c r="AJ442" s="25">
        <v>381.62</v>
      </c>
      <c r="AK442" s="23">
        <v>84.19</v>
      </c>
      <c r="AL442" s="23"/>
      <c r="AM442" s="24"/>
      <c r="AN442" s="23"/>
      <c r="AO442" s="24"/>
      <c r="AP442" s="23"/>
      <c r="AQ442" s="24"/>
      <c r="AR442" s="23">
        <v>8.1000000000000014</v>
      </c>
      <c r="AS442" s="23">
        <v>-745.2</v>
      </c>
      <c r="AT442" s="23"/>
      <c r="AU442" s="24"/>
      <c r="AW442" s="27">
        <f t="shared" si="79"/>
        <v>381.62044200000003</v>
      </c>
      <c r="AX442" s="27">
        <f t="shared" si="80"/>
        <v>37.440442000000004</v>
      </c>
      <c r="AY442" s="27">
        <f t="shared" si="81"/>
        <v>4.4200000000000001E-4</v>
      </c>
      <c r="AZ442" s="27">
        <f t="shared" si="82"/>
        <v>4.4200000000000001E-4</v>
      </c>
    </row>
    <row r="443" spans="1:52" ht="15" customHeight="1" x14ac:dyDescent="0.25">
      <c r="A443" s="13" t="str">
        <f>VLOOKUP(L443,[1]VALIDAÇÃO!$D$13:$E$350,2,0)</f>
        <v>DIRETO</v>
      </c>
      <c r="B443" s="14" t="str">
        <f t="shared" si="84"/>
        <v>36RESERVA DO PAIVA SPE 03 LTDA</v>
      </c>
      <c r="C443" s="15">
        <f t="shared" si="83"/>
        <v>36</v>
      </c>
      <c r="D443" s="16" t="str">
        <f t="shared" si="85"/>
        <v>17RESERVA DO PAIVA SPE 03 LTDA</v>
      </c>
      <c r="E443" s="17">
        <f t="shared" si="76"/>
        <v>17</v>
      </c>
      <c r="F443" s="18" t="str">
        <f t="shared" si="86"/>
        <v>40RESERVA DO PAIVA SPE 03 LTDA</v>
      </c>
      <c r="G443" s="18">
        <f t="shared" si="77"/>
        <v>40</v>
      </c>
      <c r="H443" s="19" t="str">
        <f t="shared" si="87"/>
        <v>81RESERVA DO PAIVA SPE 03 LTDA</v>
      </c>
      <c r="I443" s="19">
        <f t="shared" si="78"/>
        <v>81</v>
      </c>
      <c r="J443" s="13" t="s">
        <v>52</v>
      </c>
      <c r="K443" s="13" t="s">
        <v>555</v>
      </c>
      <c r="L443" s="13" t="s">
        <v>63</v>
      </c>
      <c r="M443" s="13" t="s">
        <v>55</v>
      </c>
      <c r="N443" s="20">
        <v>1469.45</v>
      </c>
      <c r="O443" s="20">
        <v>2156</v>
      </c>
      <c r="P443" s="21">
        <v>45453</v>
      </c>
      <c r="Q443" s="22"/>
      <c r="R443" s="23">
        <v>2156</v>
      </c>
      <c r="S443" s="24"/>
      <c r="T443" s="23"/>
      <c r="U443" s="24"/>
      <c r="V443" s="23"/>
      <c r="W443" s="23">
        <v>1.6900000000000002</v>
      </c>
      <c r="X443" s="24">
        <v>46.41</v>
      </c>
      <c r="Y443" s="23"/>
      <c r="Z443" s="23"/>
      <c r="AA443" s="23">
        <v>6.12</v>
      </c>
      <c r="AB443" s="23">
        <v>224.44</v>
      </c>
      <c r="AC443" s="24">
        <v>968.92714285714283</v>
      </c>
      <c r="AD443" s="23">
        <v>686.29</v>
      </c>
      <c r="AE443" s="24">
        <v>2580.6157142857146</v>
      </c>
      <c r="AF443" s="23"/>
      <c r="AG443" s="23"/>
      <c r="AH443" s="23">
        <v>27.97</v>
      </c>
      <c r="AI443" s="24">
        <v>0</v>
      </c>
      <c r="AJ443" s="25">
        <v>386.64</v>
      </c>
      <c r="AK443" s="23">
        <v>83.7</v>
      </c>
      <c r="AL443" s="23"/>
      <c r="AM443" s="24"/>
      <c r="AN443" s="23"/>
      <c r="AO443" s="24"/>
      <c r="AP443" s="23">
        <v>5.82</v>
      </c>
      <c r="AQ443" s="24">
        <v>49.771428571428565</v>
      </c>
      <c r="AR443" s="23">
        <v>197.45999999999998</v>
      </c>
      <c r="AS443" s="23">
        <v>-924</v>
      </c>
      <c r="AT443" s="23"/>
      <c r="AU443" s="24"/>
      <c r="AW443" s="27">
        <f t="shared" si="79"/>
        <v>386.640443</v>
      </c>
      <c r="AX443" s="27">
        <f t="shared" si="80"/>
        <v>686.29044299999998</v>
      </c>
      <c r="AY443" s="27">
        <f t="shared" si="81"/>
        <v>224.44044299999999</v>
      </c>
      <c r="AZ443" s="27">
        <f t="shared" si="82"/>
        <v>5.820443</v>
      </c>
    </row>
    <row r="444" spans="1:52" ht="15" customHeight="1" x14ac:dyDescent="0.25">
      <c r="A444" s="13" t="str">
        <f>VLOOKUP(L444,[1]VALIDAÇÃO!$D$13:$E$350,2,0)</f>
        <v>DIRETO</v>
      </c>
      <c r="B444" s="14" t="str">
        <f t="shared" si="84"/>
        <v>98RIO AVE CARNEIROS 01 SPE LTDA.</v>
      </c>
      <c r="C444" s="15">
        <f t="shared" si="83"/>
        <v>98</v>
      </c>
      <c r="D444" s="16" t="str">
        <f t="shared" si="85"/>
        <v>105RIO AVE CARNEIROS 01 SPE LTDA.</v>
      </c>
      <c r="E444" s="17">
        <f t="shared" si="76"/>
        <v>105</v>
      </c>
      <c r="F444" s="18" t="str">
        <f t="shared" si="86"/>
        <v>49RIO AVE CARNEIROS 01 SPE LTDA.</v>
      </c>
      <c r="G444" s="18">
        <f t="shared" si="77"/>
        <v>49</v>
      </c>
      <c r="H444" s="19" t="str">
        <f t="shared" si="87"/>
        <v>68RIO AVE CARNEIROS 01 SPE LTDA.</v>
      </c>
      <c r="I444" s="19">
        <f t="shared" si="78"/>
        <v>68</v>
      </c>
      <c r="J444" s="13" t="s">
        <v>61</v>
      </c>
      <c r="K444" s="13" t="s">
        <v>556</v>
      </c>
      <c r="L444" s="13" t="s">
        <v>557</v>
      </c>
      <c r="M444" s="13" t="s">
        <v>55</v>
      </c>
      <c r="N444" s="20">
        <v>1005.82</v>
      </c>
      <c r="O444" s="20">
        <v>2156</v>
      </c>
      <c r="P444" s="21">
        <v>45307</v>
      </c>
      <c r="Q444" s="22"/>
      <c r="R444" s="23">
        <v>2156</v>
      </c>
      <c r="S444" s="24"/>
      <c r="T444" s="23"/>
      <c r="U444" s="24"/>
      <c r="V444" s="23"/>
      <c r="W444" s="23"/>
      <c r="X444" s="24"/>
      <c r="Y444" s="23"/>
      <c r="Z444" s="23"/>
      <c r="AA444" s="23">
        <v>1.42</v>
      </c>
      <c r="AB444" s="23">
        <v>116.39</v>
      </c>
      <c r="AC444" s="24">
        <v>517.67285714285708</v>
      </c>
      <c r="AD444" s="23">
        <v>19.059999999999999</v>
      </c>
      <c r="AE444" s="24">
        <v>79.588571428571427</v>
      </c>
      <c r="AF444" s="23"/>
      <c r="AG444" s="23"/>
      <c r="AH444" s="23">
        <v>6.5299999999999994</v>
      </c>
      <c r="AI444" s="24">
        <v>0</v>
      </c>
      <c r="AJ444" s="25">
        <v>211.32</v>
      </c>
      <c r="AK444" s="23">
        <v>44.67</v>
      </c>
      <c r="AL444" s="23"/>
      <c r="AM444" s="24"/>
      <c r="AN444" s="23"/>
      <c r="AO444" s="24"/>
      <c r="AP444" s="23">
        <v>15.690000000000001</v>
      </c>
      <c r="AQ444" s="24">
        <v>59.315714285714293</v>
      </c>
      <c r="AR444" s="23">
        <v>34.28</v>
      </c>
      <c r="AS444" s="23">
        <v>-924</v>
      </c>
      <c r="AT444" s="23"/>
      <c r="AU444" s="24"/>
      <c r="AW444" s="27">
        <f t="shared" si="79"/>
        <v>211.32044399999998</v>
      </c>
      <c r="AX444" s="27">
        <f t="shared" si="80"/>
        <v>19.060444</v>
      </c>
      <c r="AY444" s="27">
        <f t="shared" si="81"/>
        <v>116.390444</v>
      </c>
      <c r="AZ444" s="27">
        <f t="shared" si="82"/>
        <v>15.690444000000001</v>
      </c>
    </row>
    <row r="445" spans="1:52" ht="15" customHeight="1" x14ac:dyDescent="0.25">
      <c r="A445" s="13" t="str">
        <f>VLOOKUP(L445,[1]VALIDAÇÃO!$D$13:$E$350,2,0)</f>
        <v>DIRETO</v>
      </c>
      <c r="B445" s="14" t="str">
        <f t="shared" si="84"/>
        <v>2CONDOMINIO DO EDIFICIO EMPRESARIAL MARIE CURIE</v>
      </c>
      <c r="C445" s="15">
        <f t="shared" si="83"/>
        <v>2</v>
      </c>
      <c r="D445" s="16" t="str">
        <f t="shared" si="85"/>
        <v>73CONDOMINIO DO EDIFICIO EMPRESARIAL MARIE CURIE</v>
      </c>
      <c r="E445" s="17">
        <f t="shared" si="76"/>
        <v>73</v>
      </c>
      <c r="F445" s="18" t="str">
        <f t="shared" si="86"/>
        <v>107CONDOMINIO DO EDIFICIO EMPRESARIAL MARIE CURIE</v>
      </c>
      <c r="G445" s="18">
        <f t="shared" si="77"/>
        <v>107</v>
      </c>
      <c r="H445" s="19" t="str">
        <f t="shared" si="87"/>
        <v>76CONDOMINIO DO EDIFICIO EMPRESARIAL MARIE CURIE</v>
      </c>
      <c r="I445" s="19">
        <f t="shared" si="78"/>
        <v>76</v>
      </c>
      <c r="J445" s="13" t="s">
        <v>57</v>
      </c>
      <c r="K445" s="13" t="s">
        <v>558</v>
      </c>
      <c r="L445" s="13" t="s">
        <v>66</v>
      </c>
      <c r="M445" s="13" t="s">
        <v>60</v>
      </c>
      <c r="N445" s="20">
        <v>2900.37</v>
      </c>
      <c r="O445" s="20">
        <v>2156</v>
      </c>
      <c r="P445" s="21">
        <v>45446</v>
      </c>
      <c r="Q445" s="22"/>
      <c r="R445" s="23">
        <v>2156</v>
      </c>
      <c r="S445" s="24"/>
      <c r="T445" s="23"/>
      <c r="U445" s="24"/>
      <c r="V445" s="23"/>
      <c r="W445" s="23"/>
      <c r="X445" s="24"/>
      <c r="Y445" s="23"/>
      <c r="Z445" s="23"/>
      <c r="AA445" s="23">
        <v>2.46</v>
      </c>
      <c r="AB445" s="23"/>
      <c r="AC445" s="24"/>
      <c r="AD445" s="23">
        <v>83.75</v>
      </c>
      <c r="AE445" s="24">
        <v>338.35571428571427</v>
      </c>
      <c r="AF445" s="23"/>
      <c r="AG445" s="23"/>
      <c r="AH445" s="23">
        <v>12.31</v>
      </c>
      <c r="AI445" s="24">
        <v>0</v>
      </c>
      <c r="AJ445" s="25">
        <v>2050.4899999999998</v>
      </c>
      <c r="AK445" s="23">
        <v>435.37</v>
      </c>
      <c r="AL445" s="23"/>
      <c r="AM445" s="24"/>
      <c r="AN445" s="23"/>
      <c r="AO445" s="24"/>
      <c r="AP445" s="23"/>
      <c r="AQ445" s="24"/>
      <c r="AR445" s="23">
        <v>16.010000000000002</v>
      </c>
      <c r="AS445" s="23">
        <v>-975</v>
      </c>
      <c r="AT445" s="23"/>
      <c r="AU445" s="24"/>
      <c r="AW445" s="27">
        <f t="shared" si="79"/>
        <v>2050.4904449999999</v>
      </c>
      <c r="AX445" s="27">
        <f t="shared" si="80"/>
        <v>83.750444999999999</v>
      </c>
      <c r="AY445" s="27">
        <f t="shared" si="81"/>
        <v>4.4499999999999997E-4</v>
      </c>
      <c r="AZ445" s="27">
        <f t="shared" si="82"/>
        <v>4.4499999999999997E-4</v>
      </c>
    </row>
    <row r="446" spans="1:52" ht="15" customHeight="1" x14ac:dyDescent="0.25">
      <c r="A446" s="13" t="str">
        <f>VLOOKUP(L446,[1]VALIDAÇÃO!$D$13:$E$350,2,0)</f>
        <v>DIRETO</v>
      </c>
      <c r="B446" s="14" t="str">
        <f t="shared" si="84"/>
        <v>3RESERVA DO PAIVA SPE 01 LTDA.</v>
      </c>
      <c r="C446" s="15">
        <f t="shared" si="83"/>
        <v>3</v>
      </c>
      <c r="D446" s="16" t="str">
        <f t="shared" si="85"/>
        <v>17RESERVA DO PAIVA SPE 01 LTDA.</v>
      </c>
      <c r="E446" s="17">
        <f t="shared" si="76"/>
        <v>17</v>
      </c>
      <c r="F446" s="18" t="str">
        <f t="shared" si="86"/>
        <v>27RESERVA DO PAIVA SPE 01 LTDA.</v>
      </c>
      <c r="G446" s="18">
        <f t="shared" si="77"/>
        <v>27</v>
      </c>
      <c r="H446" s="19" t="str">
        <f t="shared" si="87"/>
        <v>39RESERVA DO PAIVA SPE 01 LTDA.</v>
      </c>
      <c r="I446" s="19">
        <f t="shared" si="78"/>
        <v>39</v>
      </c>
      <c r="J446" s="13" t="s">
        <v>68</v>
      </c>
      <c r="K446" s="13" t="s">
        <v>559</v>
      </c>
      <c r="L446" s="13" t="s">
        <v>63</v>
      </c>
      <c r="M446" s="13" t="s">
        <v>55</v>
      </c>
      <c r="N446" s="20">
        <v>2637.63</v>
      </c>
      <c r="O446" s="20">
        <v>2156</v>
      </c>
      <c r="P446" s="21">
        <v>45516</v>
      </c>
      <c r="Q446" s="22"/>
      <c r="R446" s="23">
        <v>2156</v>
      </c>
      <c r="S446" s="24"/>
      <c r="T446" s="23"/>
      <c r="U446" s="24"/>
      <c r="V446" s="23"/>
      <c r="W446" s="23"/>
      <c r="X446" s="24"/>
      <c r="Y446" s="23"/>
      <c r="Z446" s="23"/>
      <c r="AA446" s="23">
        <v>37.470000000000006</v>
      </c>
      <c r="AB446" s="23">
        <v>374.67</v>
      </c>
      <c r="AC446" s="24">
        <v>1449.77</v>
      </c>
      <c r="AD446" s="23">
        <v>697.70999999999992</v>
      </c>
      <c r="AE446" s="24">
        <v>2608.8885714285716</v>
      </c>
      <c r="AF446" s="23"/>
      <c r="AG446" s="23"/>
      <c r="AH446" s="23">
        <v>168.03</v>
      </c>
      <c r="AI446" s="24">
        <v>0</v>
      </c>
      <c r="AJ446" s="25">
        <v>1391.03</v>
      </c>
      <c r="AK446" s="23">
        <v>304.22000000000003</v>
      </c>
      <c r="AL446" s="23"/>
      <c r="AM446" s="24"/>
      <c r="AN446" s="23"/>
      <c r="AO446" s="24"/>
      <c r="AP446" s="23">
        <v>307.95999999999998</v>
      </c>
      <c r="AQ446" s="24">
        <v>985.74</v>
      </c>
      <c r="AR446" s="23">
        <v>307.52999999999997</v>
      </c>
      <c r="AS446" s="23">
        <v>-924</v>
      </c>
      <c r="AT446" s="23"/>
      <c r="AU446" s="24"/>
      <c r="AW446" s="27">
        <f t="shared" si="79"/>
        <v>1391.030446</v>
      </c>
      <c r="AX446" s="27">
        <f t="shared" si="80"/>
        <v>697.71044599999993</v>
      </c>
      <c r="AY446" s="27">
        <f t="shared" si="81"/>
        <v>374.67044600000003</v>
      </c>
      <c r="AZ446" s="27">
        <f t="shared" si="82"/>
        <v>307.96044599999999</v>
      </c>
    </row>
    <row r="447" spans="1:52" ht="15" customHeight="1" x14ac:dyDescent="0.25">
      <c r="A447" s="13" t="str">
        <f>VLOOKUP(L447,[1]VALIDAÇÃO!$D$13:$E$350,2,0)</f>
        <v>DIRETO</v>
      </c>
      <c r="B447" s="14" t="str">
        <f t="shared" si="84"/>
        <v>59CONDOMINIO DO EDIFICIO EMPRESARIAL MARIE CURIE</v>
      </c>
      <c r="C447" s="15">
        <f t="shared" si="83"/>
        <v>59</v>
      </c>
      <c r="D447" s="16" t="str">
        <f t="shared" si="85"/>
        <v>88CONDOMINIO DO EDIFICIO EMPRESARIAL MARIE CURIE</v>
      </c>
      <c r="E447" s="17">
        <f t="shared" si="76"/>
        <v>88</v>
      </c>
      <c r="F447" s="18" t="str">
        <f t="shared" si="86"/>
        <v>84CONDOMINIO DO EDIFICIO EMPRESARIAL MARIE CURIE</v>
      </c>
      <c r="G447" s="18">
        <f t="shared" si="77"/>
        <v>84</v>
      </c>
      <c r="H447" s="19" t="str">
        <f t="shared" si="87"/>
        <v>75CONDOMINIO DO EDIFICIO EMPRESARIAL MARIE CURIE</v>
      </c>
      <c r="I447" s="19">
        <f t="shared" si="78"/>
        <v>75</v>
      </c>
      <c r="J447" s="13" t="s">
        <v>57</v>
      </c>
      <c r="K447" s="13" t="s">
        <v>560</v>
      </c>
      <c r="L447" s="13" t="s">
        <v>54</v>
      </c>
      <c r="M447" s="13" t="s">
        <v>60</v>
      </c>
      <c r="N447" s="20">
        <v>876.04</v>
      </c>
      <c r="O447" s="20">
        <v>1622.13</v>
      </c>
      <c r="P447" s="21">
        <v>45855</v>
      </c>
      <c r="Q447" s="22"/>
      <c r="R447" s="23">
        <v>1622.13</v>
      </c>
      <c r="S447" s="24"/>
      <c r="T447" s="23"/>
      <c r="U447" s="24"/>
      <c r="V447" s="23"/>
      <c r="W447" s="23"/>
      <c r="X447" s="24"/>
      <c r="Y447" s="23"/>
      <c r="Z447" s="23"/>
      <c r="AA447" s="23">
        <v>0.79</v>
      </c>
      <c r="AB447" s="23">
        <v>10.260000000000002</v>
      </c>
      <c r="AC447" s="24">
        <v>109.14285714285714</v>
      </c>
      <c r="AD447" s="23">
        <v>47.71</v>
      </c>
      <c r="AE447" s="24">
        <v>340.58571428571429</v>
      </c>
      <c r="AF447" s="23"/>
      <c r="AG447" s="23"/>
      <c r="AH447" s="23">
        <v>3.7199999999999998</v>
      </c>
      <c r="AI447" s="24">
        <v>0</v>
      </c>
      <c r="AJ447" s="25">
        <v>437.1</v>
      </c>
      <c r="AK447" s="23">
        <v>94.12</v>
      </c>
      <c r="AL447" s="23">
        <v>-9.73</v>
      </c>
      <c r="AM447" s="24">
        <v>73.900000000000006</v>
      </c>
      <c r="AN447" s="23">
        <v>-57.93</v>
      </c>
      <c r="AO447" s="24">
        <v>1</v>
      </c>
      <c r="AP447" s="23"/>
      <c r="AQ447" s="24"/>
      <c r="AR447" s="23">
        <v>12.18</v>
      </c>
      <c r="AS447" s="23">
        <v>-695.2</v>
      </c>
      <c r="AT447" s="23">
        <v>-57.93</v>
      </c>
      <c r="AU447" s="24">
        <v>1</v>
      </c>
      <c r="AW447" s="27">
        <f t="shared" si="79"/>
        <v>437.10044700000003</v>
      </c>
      <c r="AX447" s="27">
        <f t="shared" si="80"/>
        <v>47.710447000000002</v>
      </c>
      <c r="AY447" s="27">
        <f t="shared" si="81"/>
        <v>10.260447000000001</v>
      </c>
      <c r="AZ447" s="27">
        <f t="shared" si="82"/>
        <v>4.4700000000000002E-4</v>
      </c>
    </row>
    <row r="448" spans="1:52" ht="15" customHeight="1" x14ac:dyDescent="0.25">
      <c r="A448" s="13" t="str">
        <f>VLOOKUP(L448,[1]VALIDAÇÃO!$D$13:$E$350,2,0)</f>
        <v>DIRETO</v>
      </c>
      <c r="B448" s="14" t="str">
        <f t="shared" si="84"/>
        <v>84RESERVA DO PAIVA SPE 03 LTDA</v>
      </c>
      <c r="C448" s="15">
        <f t="shared" si="83"/>
        <v>84</v>
      </c>
      <c r="D448" s="16" t="str">
        <f t="shared" si="85"/>
        <v>25RESERVA DO PAIVA SPE 03 LTDA</v>
      </c>
      <c r="E448" s="17">
        <f t="shared" si="76"/>
        <v>25</v>
      </c>
      <c r="F448" s="18" t="str">
        <f t="shared" si="86"/>
        <v>55RESERVA DO PAIVA SPE 03 LTDA</v>
      </c>
      <c r="G448" s="18">
        <f t="shared" si="77"/>
        <v>55</v>
      </c>
      <c r="H448" s="19" t="str">
        <f t="shared" si="87"/>
        <v>47RESERVA DO PAIVA SPE 03 LTDA</v>
      </c>
      <c r="I448" s="19">
        <f t="shared" si="78"/>
        <v>47</v>
      </c>
      <c r="J448" s="13" t="s">
        <v>52</v>
      </c>
      <c r="K448" s="13" t="s">
        <v>561</v>
      </c>
      <c r="L448" s="13" t="s">
        <v>54</v>
      </c>
      <c r="M448" s="13" t="s">
        <v>55</v>
      </c>
      <c r="N448" s="20">
        <v>1124.0999999999999</v>
      </c>
      <c r="O448" s="20">
        <v>1622.13</v>
      </c>
      <c r="P448" s="21">
        <v>45733</v>
      </c>
      <c r="Q448" s="22"/>
      <c r="R448" s="23">
        <v>1622.13</v>
      </c>
      <c r="S448" s="24"/>
      <c r="T448" s="23"/>
      <c r="U448" s="24"/>
      <c r="V448" s="23"/>
      <c r="W448" s="23">
        <v>0.52</v>
      </c>
      <c r="X448" s="24">
        <v>20.95</v>
      </c>
      <c r="Y448" s="23"/>
      <c r="Z448" s="23"/>
      <c r="AA448" s="23">
        <v>4.0999999999999996</v>
      </c>
      <c r="AB448" s="23">
        <v>150.46</v>
      </c>
      <c r="AC448" s="24">
        <v>1028.9142857142856</v>
      </c>
      <c r="AD448" s="23">
        <v>546.59999999999991</v>
      </c>
      <c r="AE448" s="24">
        <v>3182.1414285714286</v>
      </c>
      <c r="AF448" s="23"/>
      <c r="AG448" s="23"/>
      <c r="AH448" s="23">
        <v>17.98</v>
      </c>
      <c r="AI448" s="24">
        <v>0</v>
      </c>
      <c r="AJ448" s="25">
        <v>166.64</v>
      </c>
      <c r="AK448" s="23">
        <v>36.64</v>
      </c>
      <c r="AL448" s="23"/>
      <c r="AM448" s="24"/>
      <c r="AN448" s="23">
        <v>-57.93</v>
      </c>
      <c r="AO448" s="24">
        <v>1</v>
      </c>
      <c r="AP448" s="23">
        <v>101.8</v>
      </c>
      <c r="AQ448" s="24">
        <v>591.70000000000005</v>
      </c>
      <c r="AR448" s="23">
        <v>185.10000000000002</v>
      </c>
      <c r="AS448" s="23">
        <v>-791.6</v>
      </c>
      <c r="AT448" s="23">
        <v>-115.87</v>
      </c>
      <c r="AU448" s="24">
        <v>2</v>
      </c>
      <c r="AW448" s="27">
        <f t="shared" si="79"/>
        <v>166.64044799999999</v>
      </c>
      <c r="AX448" s="27">
        <f t="shared" si="80"/>
        <v>546.60044799999991</v>
      </c>
      <c r="AY448" s="27">
        <f t="shared" si="81"/>
        <v>150.46044800000001</v>
      </c>
      <c r="AZ448" s="27">
        <f t="shared" si="82"/>
        <v>101.800448</v>
      </c>
    </row>
    <row r="449" spans="1:52" ht="15" customHeight="1" x14ac:dyDescent="0.25">
      <c r="A449" s="13" t="str">
        <f>VLOOKUP(L449,[1]VALIDAÇÃO!$D$13:$E$350,2,0)</f>
        <v>DIRETO</v>
      </c>
      <c r="B449" s="14" t="str">
        <f t="shared" si="84"/>
        <v>124RIO AVE CARNEIROS 01 SPE LTDA.</v>
      </c>
      <c r="C449" s="15">
        <f t="shared" si="83"/>
        <v>124</v>
      </c>
      <c r="D449" s="16" t="str">
        <f t="shared" si="85"/>
        <v>147RIO AVE CARNEIROS 01 SPE LTDA.</v>
      </c>
      <c r="E449" s="17">
        <f t="shared" si="76"/>
        <v>147</v>
      </c>
      <c r="F449" s="18" t="str">
        <f t="shared" si="86"/>
        <v>99RIO AVE CARNEIROS 01 SPE LTDA.</v>
      </c>
      <c r="G449" s="18">
        <f t="shared" si="77"/>
        <v>99</v>
      </c>
      <c r="H449" s="19" t="str">
        <f t="shared" si="87"/>
        <v>110RIO AVE CARNEIROS 01 SPE LTDA.</v>
      </c>
      <c r="I449" s="19">
        <f t="shared" si="78"/>
        <v>110</v>
      </c>
      <c r="J449" s="13" t="s">
        <v>61</v>
      </c>
      <c r="K449" s="13" t="s">
        <v>562</v>
      </c>
      <c r="L449" s="13" t="s">
        <v>54</v>
      </c>
      <c r="M449" s="13" t="s">
        <v>55</v>
      </c>
      <c r="N449" s="20">
        <v>0</v>
      </c>
      <c r="O449" s="20">
        <v>1622.13</v>
      </c>
      <c r="P449" s="21">
        <v>45931</v>
      </c>
      <c r="Q449" s="22"/>
      <c r="R449" s="23">
        <v>1622.13</v>
      </c>
      <c r="S449" s="24"/>
      <c r="T449" s="23"/>
      <c r="U449" s="24"/>
      <c r="V449" s="23"/>
      <c r="W449" s="23"/>
      <c r="X449" s="24"/>
      <c r="Y449" s="23"/>
      <c r="Z449" s="23"/>
      <c r="AA449" s="23">
        <v>0.22</v>
      </c>
      <c r="AB449" s="23">
        <v>37.799999999999997</v>
      </c>
      <c r="AC449" s="24">
        <v>965</v>
      </c>
      <c r="AD449" s="23"/>
      <c r="AE449" s="24"/>
      <c r="AF449" s="23"/>
      <c r="AG449" s="23"/>
      <c r="AH449" s="23">
        <v>1.1200000000000001</v>
      </c>
      <c r="AI449" s="24">
        <v>0</v>
      </c>
      <c r="AJ449" s="25">
        <v>44.03</v>
      </c>
      <c r="AK449" s="23">
        <v>8.4699999999999989</v>
      </c>
      <c r="AL449" s="23"/>
      <c r="AM449" s="24"/>
      <c r="AN449" s="23">
        <v>-1274.53</v>
      </c>
      <c r="AO449" s="24">
        <v>22</v>
      </c>
      <c r="AP449" s="23"/>
      <c r="AQ449" s="24"/>
      <c r="AR449" s="23">
        <v>9.39</v>
      </c>
      <c r="AS449" s="23"/>
      <c r="AT449" s="23">
        <v>-347.6</v>
      </c>
      <c r="AU449" s="24">
        <v>6</v>
      </c>
      <c r="AW449" s="27">
        <f t="shared" si="79"/>
        <v>44.030449000000004</v>
      </c>
      <c r="AX449" s="27">
        <f t="shared" si="80"/>
        <v>4.4900000000000002E-4</v>
      </c>
      <c r="AY449" s="27">
        <f t="shared" si="81"/>
        <v>37.800449</v>
      </c>
      <c r="AZ449" s="27">
        <f t="shared" si="82"/>
        <v>4.4900000000000002E-4</v>
      </c>
    </row>
    <row r="450" spans="1:52" ht="15" customHeight="1" x14ac:dyDescent="0.25">
      <c r="A450" s="13" t="str">
        <f>VLOOKUP(L450,[1]VALIDAÇÃO!$D$13:$E$350,2,0)</f>
        <v>DIRETO</v>
      </c>
      <c r="B450" s="14" t="str">
        <f t="shared" si="84"/>
        <v>77RESERVA DO PAIVA SPE 03 LTDA</v>
      </c>
      <c r="C450" s="15">
        <f t="shared" si="83"/>
        <v>77</v>
      </c>
      <c r="D450" s="16" t="str">
        <f t="shared" si="85"/>
        <v>22RESERVA DO PAIVA SPE 03 LTDA</v>
      </c>
      <c r="E450" s="17">
        <f t="shared" ref="E450:E513" si="88">1+SUMPRODUCT(($J$2:$J$1437=$J450)*(AX$2:AX$1437&gt;AX450))</f>
        <v>22</v>
      </c>
      <c r="F450" s="18" t="str">
        <f t="shared" si="86"/>
        <v>121RESERVA DO PAIVA SPE 03 LTDA</v>
      </c>
      <c r="G450" s="18">
        <f t="shared" ref="G450:G513" si="89">1+SUMPRODUCT(($J$2:$J$1437=$J450)*(AY$2:AY$1437&gt;AY450))</f>
        <v>121</v>
      </c>
      <c r="H450" s="19" t="str">
        <f t="shared" si="87"/>
        <v>115RESERVA DO PAIVA SPE 03 LTDA</v>
      </c>
      <c r="I450" s="19">
        <f t="shared" ref="I450:I513" si="90">1+SUMPRODUCT(($J$2:$J$1437=$J450)*(AZ$2:AZ$1437&gt;AZ450))</f>
        <v>115</v>
      </c>
      <c r="J450" s="13" t="s">
        <v>52</v>
      </c>
      <c r="K450" s="13" t="s">
        <v>563</v>
      </c>
      <c r="L450" s="13" t="s">
        <v>54</v>
      </c>
      <c r="M450" s="13" t="s">
        <v>55</v>
      </c>
      <c r="N450" s="20">
        <v>1421.63</v>
      </c>
      <c r="O450" s="20">
        <v>1622.13</v>
      </c>
      <c r="P450" s="21">
        <v>45798</v>
      </c>
      <c r="Q450" s="22"/>
      <c r="R450" s="23">
        <v>1622.13</v>
      </c>
      <c r="S450" s="24"/>
      <c r="T450" s="23"/>
      <c r="U450" s="24"/>
      <c r="V450" s="23"/>
      <c r="W450" s="23">
        <v>0.43</v>
      </c>
      <c r="X450" s="24">
        <v>24.36</v>
      </c>
      <c r="Y450" s="23"/>
      <c r="Z450" s="23"/>
      <c r="AA450" s="23">
        <v>3.48</v>
      </c>
      <c r="AB450" s="23">
        <v>10.71</v>
      </c>
      <c r="AC450" s="24">
        <v>100.02857142857142</v>
      </c>
      <c r="AD450" s="23">
        <v>602.96</v>
      </c>
      <c r="AE450" s="24">
        <v>3993.3985714285714</v>
      </c>
      <c r="AF450" s="23"/>
      <c r="AG450" s="23"/>
      <c r="AH450" s="23">
        <v>16.149999999999999</v>
      </c>
      <c r="AI450" s="24">
        <v>0</v>
      </c>
      <c r="AJ450" s="25">
        <v>176.37</v>
      </c>
      <c r="AK450" s="23">
        <v>38.36</v>
      </c>
      <c r="AL450" s="23"/>
      <c r="AM450" s="24"/>
      <c r="AN450" s="23"/>
      <c r="AO450" s="24"/>
      <c r="AP450" s="23"/>
      <c r="AQ450" s="24"/>
      <c r="AR450" s="23">
        <v>136.12</v>
      </c>
      <c r="AS450" s="23">
        <v>-791.2</v>
      </c>
      <c r="AT450" s="23"/>
      <c r="AU450" s="24"/>
      <c r="AW450" s="27">
        <f t="shared" ref="AW450:AW513" si="91">AJ450+ROW(C450)/1000000</f>
        <v>176.37045000000001</v>
      </c>
      <c r="AX450" s="27">
        <f t="shared" ref="AX450:AX513" si="92">AD450+ROW(C450)/1000000</f>
        <v>602.96045000000004</v>
      </c>
      <c r="AY450" s="27">
        <f t="shared" ref="AY450:AY513" si="93">AB450+ROW(A450)/1000000</f>
        <v>10.710450000000002</v>
      </c>
      <c r="AZ450" s="27">
        <f t="shared" ref="AZ450:AZ513" si="94">AP450+ROW(A450)/1000000</f>
        <v>4.4999999999999999E-4</v>
      </c>
    </row>
    <row r="451" spans="1:52" ht="15" customHeight="1" x14ac:dyDescent="0.25">
      <c r="A451" s="13" t="str">
        <f>VLOOKUP(L451,[1]VALIDAÇÃO!$D$13:$E$350,2,0)</f>
        <v>DIRETO</v>
      </c>
      <c r="B451" s="14" t="str">
        <f t="shared" si="84"/>
        <v>94CONDOMINIO DO EDIFICIO EMPRESARIAL MARIE CURIE</v>
      </c>
      <c r="C451" s="15">
        <f t="shared" ref="C451:C514" si="95">1+SUMPRODUCT(($J$2:$J$1437=J451)*($AW$2:$AW$1437&gt;AW451))</f>
        <v>94</v>
      </c>
      <c r="D451" s="16" t="str">
        <f t="shared" si="85"/>
        <v>12CONDOMINIO DO EDIFICIO EMPRESARIAL MARIE CURIE</v>
      </c>
      <c r="E451" s="17">
        <f t="shared" si="88"/>
        <v>12</v>
      </c>
      <c r="F451" s="18" t="str">
        <f t="shared" si="86"/>
        <v>22CONDOMINIO DO EDIFICIO EMPRESARIAL MARIE CURIE</v>
      </c>
      <c r="G451" s="18">
        <f t="shared" si="89"/>
        <v>22</v>
      </c>
      <c r="H451" s="19" t="str">
        <f t="shared" si="87"/>
        <v>15CONDOMINIO DO EDIFICIO EMPRESARIAL MARIE CURIE</v>
      </c>
      <c r="I451" s="19">
        <f t="shared" si="90"/>
        <v>15</v>
      </c>
      <c r="J451" s="13" t="s">
        <v>57</v>
      </c>
      <c r="K451" s="13" t="s">
        <v>564</v>
      </c>
      <c r="L451" s="13" t="s">
        <v>54</v>
      </c>
      <c r="M451" s="13" t="s">
        <v>60</v>
      </c>
      <c r="N451" s="20">
        <v>1765.8</v>
      </c>
      <c r="O451" s="20">
        <v>1622.13</v>
      </c>
      <c r="P451" s="21">
        <v>45904</v>
      </c>
      <c r="Q451" s="22"/>
      <c r="R451" s="23">
        <v>1622.13</v>
      </c>
      <c r="S451" s="24"/>
      <c r="T451" s="23"/>
      <c r="U451" s="24"/>
      <c r="V451" s="23"/>
      <c r="W451" s="23"/>
      <c r="X451" s="24"/>
      <c r="Y451" s="23"/>
      <c r="Z451" s="23"/>
      <c r="AA451" s="23">
        <v>5.55</v>
      </c>
      <c r="AB451" s="23">
        <v>187.91</v>
      </c>
      <c r="AC451" s="24">
        <v>1067.5185714285715</v>
      </c>
      <c r="AD451" s="23">
        <v>410.79</v>
      </c>
      <c r="AE451" s="24">
        <v>2402.6614285714286</v>
      </c>
      <c r="AF451" s="23"/>
      <c r="AG451" s="23"/>
      <c r="AH451" s="23">
        <v>23.96</v>
      </c>
      <c r="AI451" s="24">
        <v>0</v>
      </c>
      <c r="AJ451" s="25">
        <v>184.76000000000002</v>
      </c>
      <c r="AK451" s="23">
        <v>43.150000000000006</v>
      </c>
      <c r="AL451" s="23"/>
      <c r="AM451" s="24"/>
      <c r="AN451" s="23"/>
      <c r="AO451" s="24"/>
      <c r="AP451" s="23">
        <v>145.98000000000002</v>
      </c>
      <c r="AQ451" s="24">
        <v>697.04714285714283</v>
      </c>
      <c r="AR451" s="23">
        <v>166.95</v>
      </c>
      <c r="AS451" s="23">
        <v>-756.2</v>
      </c>
      <c r="AT451" s="23"/>
      <c r="AU451" s="24"/>
      <c r="AW451" s="27">
        <f t="shared" si="91"/>
        <v>184.76045100000002</v>
      </c>
      <c r="AX451" s="27">
        <f t="shared" si="92"/>
        <v>410.79045100000002</v>
      </c>
      <c r="AY451" s="27">
        <f t="shared" si="93"/>
        <v>187.91045099999999</v>
      </c>
      <c r="AZ451" s="27">
        <f t="shared" si="94"/>
        <v>145.98045100000002</v>
      </c>
    </row>
    <row r="452" spans="1:52" ht="15" customHeight="1" x14ac:dyDescent="0.25">
      <c r="A452" s="13" t="str">
        <f>VLOOKUP(L452,[1]VALIDAÇÃO!$D$13:$E$350,2,0)</f>
        <v>DIRETO</v>
      </c>
      <c r="B452" s="14" t="str">
        <f t="shared" si="84"/>
        <v>38RIO AVE CARNEIROS 01 SPE LTDA.</v>
      </c>
      <c r="C452" s="15">
        <f t="shared" si="95"/>
        <v>38</v>
      </c>
      <c r="D452" s="16" t="str">
        <f t="shared" si="85"/>
        <v>83RIO AVE CARNEIROS 01 SPE LTDA.</v>
      </c>
      <c r="E452" s="17">
        <f t="shared" si="88"/>
        <v>83</v>
      </c>
      <c r="F452" s="18" t="str">
        <f t="shared" si="86"/>
        <v>131RIO AVE CARNEIROS 01 SPE LTDA.</v>
      </c>
      <c r="G452" s="18">
        <f t="shared" si="89"/>
        <v>131</v>
      </c>
      <c r="H452" s="19" t="str">
        <f t="shared" si="87"/>
        <v>109RIO AVE CARNEIROS 01 SPE LTDA.</v>
      </c>
      <c r="I452" s="19">
        <f t="shared" si="90"/>
        <v>109</v>
      </c>
      <c r="J452" s="13" t="s">
        <v>61</v>
      </c>
      <c r="K452" s="13" t="s">
        <v>565</v>
      </c>
      <c r="L452" s="13" t="s">
        <v>54</v>
      </c>
      <c r="M452" s="13" t="s">
        <v>55</v>
      </c>
      <c r="N452" s="20">
        <v>1084.18</v>
      </c>
      <c r="O452" s="20">
        <v>1622.13</v>
      </c>
      <c r="P452" s="21">
        <v>45566</v>
      </c>
      <c r="Q452" s="22"/>
      <c r="R452" s="23">
        <v>1622.13</v>
      </c>
      <c r="S452" s="24"/>
      <c r="T452" s="23"/>
      <c r="U452" s="24"/>
      <c r="V452" s="23"/>
      <c r="W452" s="23"/>
      <c r="X452" s="24"/>
      <c r="Y452" s="23"/>
      <c r="Z452" s="23"/>
      <c r="AA452" s="23">
        <v>0.65</v>
      </c>
      <c r="AB452" s="23">
        <v>2.46</v>
      </c>
      <c r="AC452" s="24">
        <v>11</v>
      </c>
      <c r="AD452" s="23">
        <v>38.67</v>
      </c>
      <c r="AE452" s="24">
        <v>191.40142857142857</v>
      </c>
      <c r="AF452" s="23"/>
      <c r="AG452" s="23"/>
      <c r="AH452" s="23">
        <v>2.91</v>
      </c>
      <c r="AI452" s="24">
        <v>0</v>
      </c>
      <c r="AJ452" s="25">
        <v>533.96</v>
      </c>
      <c r="AK452" s="23">
        <v>117.04999999999998</v>
      </c>
      <c r="AL452" s="23"/>
      <c r="AM452" s="24"/>
      <c r="AN452" s="23"/>
      <c r="AO452" s="24"/>
      <c r="AP452" s="23"/>
      <c r="AQ452" s="24"/>
      <c r="AR452" s="23">
        <v>9.0399999999999991</v>
      </c>
      <c r="AS452" s="23">
        <v>-695.2</v>
      </c>
      <c r="AT452" s="23"/>
      <c r="AU452" s="24"/>
      <c r="AW452" s="27">
        <f t="shared" si="91"/>
        <v>533.96045200000003</v>
      </c>
      <c r="AX452" s="27">
        <f t="shared" si="92"/>
        <v>38.670452000000004</v>
      </c>
      <c r="AY452" s="27">
        <f t="shared" si="93"/>
        <v>2.4604520000000001</v>
      </c>
      <c r="AZ452" s="27">
        <f t="shared" si="94"/>
        <v>4.5199999999999998E-4</v>
      </c>
    </row>
    <row r="453" spans="1:52" ht="15" customHeight="1" x14ac:dyDescent="0.25">
      <c r="A453" s="13" t="str">
        <f>VLOOKUP(L453,[1]VALIDAÇÃO!$D$13:$E$350,2,0)</f>
        <v>DIRETO</v>
      </c>
      <c r="B453" s="14" t="str">
        <f t="shared" si="84"/>
        <v>103CONDOMINIO DO EDIFICIO EMPRESARIAL MARIE CURIE</v>
      </c>
      <c r="C453" s="15">
        <f t="shared" si="95"/>
        <v>103</v>
      </c>
      <c r="D453" s="16" t="str">
        <f t="shared" si="85"/>
        <v>110CONDOMINIO DO EDIFICIO EMPRESARIAL MARIE CURIE</v>
      </c>
      <c r="E453" s="17">
        <f t="shared" si="88"/>
        <v>110</v>
      </c>
      <c r="F453" s="18" t="str">
        <f t="shared" si="86"/>
        <v>21CONDOMINIO DO EDIFICIO EMPRESARIAL MARIE CURIE</v>
      </c>
      <c r="G453" s="18">
        <f t="shared" si="89"/>
        <v>21</v>
      </c>
      <c r="H453" s="19" t="str">
        <f t="shared" si="87"/>
        <v>16CONDOMINIO DO EDIFICIO EMPRESARIAL MARIE CURIE</v>
      </c>
      <c r="I453" s="19">
        <f t="shared" si="90"/>
        <v>16</v>
      </c>
      <c r="J453" s="13" t="s">
        <v>57</v>
      </c>
      <c r="K453" s="13" t="s">
        <v>566</v>
      </c>
      <c r="L453" s="13" t="s">
        <v>114</v>
      </c>
      <c r="M453" s="13" t="s">
        <v>60</v>
      </c>
      <c r="N453" s="20">
        <v>1152.21</v>
      </c>
      <c r="O453" s="20">
        <v>1622.13</v>
      </c>
      <c r="P453" s="21">
        <v>45918</v>
      </c>
      <c r="Q453" s="22"/>
      <c r="R453" s="23">
        <v>1622.13</v>
      </c>
      <c r="S453" s="24"/>
      <c r="T453" s="23"/>
      <c r="U453" s="24"/>
      <c r="V453" s="23"/>
      <c r="W453" s="23"/>
      <c r="X453" s="24"/>
      <c r="Y453" s="23"/>
      <c r="Z453" s="23"/>
      <c r="AA453" s="23">
        <v>2.3499999999999996</v>
      </c>
      <c r="AB453" s="23">
        <v>211.12</v>
      </c>
      <c r="AC453" s="24">
        <v>943.19</v>
      </c>
      <c r="AD453" s="23">
        <v>9.4600000000000009</v>
      </c>
      <c r="AE453" s="24">
        <v>172.55714285714288</v>
      </c>
      <c r="AF453" s="23"/>
      <c r="AG453" s="23"/>
      <c r="AH453" s="23">
        <v>10.52</v>
      </c>
      <c r="AI453" s="24">
        <v>0</v>
      </c>
      <c r="AJ453" s="25">
        <v>163.73000000000002</v>
      </c>
      <c r="AK453" s="23">
        <v>37.15</v>
      </c>
      <c r="AL453" s="23"/>
      <c r="AM453" s="24"/>
      <c r="AN453" s="23"/>
      <c r="AO453" s="24"/>
      <c r="AP453" s="23">
        <v>142.49</v>
      </c>
      <c r="AQ453" s="24">
        <v>713.37571428571425</v>
      </c>
      <c r="AR453" s="23">
        <v>80.5</v>
      </c>
      <c r="AS453" s="23">
        <v>-695.2</v>
      </c>
      <c r="AT453" s="23"/>
      <c r="AU453" s="24"/>
      <c r="AW453" s="27">
        <f t="shared" si="91"/>
        <v>163.73045300000001</v>
      </c>
      <c r="AX453" s="27">
        <f t="shared" si="92"/>
        <v>9.4604530000000011</v>
      </c>
      <c r="AY453" s="27">
        <f t="shared" si="93"/>
        <v>211.120453</v>
      </c>
      <c r="AZ453" s="27">
        <f t="shared" si="94"/>
        <v>142.490453</v>
      </c>
    </row>
    <row r="454" spans="1:52" ht="15" customHeight="1" x14ac:dyDescent="0.25">
      <c r="A454" s="13" t="str">
        <f>VLOOKUP(L454,[1]VALIDAÇÃO!$D$13:$E$350,2,0)</f>
        <v>DIRETO</v>
      </c>
      <c r="B454" s="14" t="str">
        <f t="shared" si="84"/>
        <v>21RIO AVE 200 SPE LTDA.</v>
      </c>
      <c r="C454" s="15">
        <f t="shared" si="95"/>
        <v>21</v>
      </c>
      <c r="D454" s="16" t="str">
        <f t="shared" si="85"/>
        <v>47RIO AVE 200 SPE LTDA.</v>
      </c>
      <c r="E454" s="17">
        <f t="shared" si="88"/>
        <v>47</v>
      </c>
      <c r="F454" s="18" t="str">
        <f t="shared" si="86"/>
        <v>63RIO AVE 200 SPE LTDA.</v>
      </c>
      <c r="G454" s="18">
        <f t="shared" si="89"/>
        <v>63</v>
      </c>
      <c r="H454" s="19" t="str">
        <f t="shared" si="87"/>
        <v>44RIO AVE 200 SPE LTDA.</v>
      </c>
      <c r="I454" s="19">
        <f t="shared" si="90"/>
        <v>44</v>
      </c>
      <c r="J454" s="13" t="s">
        <v>48</v>
      </c>
      <c r="K454" s="13" t="s">
        <v>567</v>
      </c>
      <c r="L454" s="13" t="s">
        <v>66</v>
      </c>
      <c r="M454" s="13" t="s">
        <v>55</v>
      </c>
      <c r="N454" s="20">
        <v>1800.86</v>
      </c>
      <c r="O454" s="20">
        <v>2156</v>
      </c>
      <c r="P454" s="21">
        <v>45964</v>
      </c>
      <c r="Q454" s="22"/>
      <c r="R454" s="23">
        <v>2156</v>
      </c>
      <c r="S454" s="24"/>
      <c r="T454" s="23"/>
      <c r="U454" s="24"/>
      <c r="V454" s="23"/>
      <c r="W454" s="23"/>
      <c r="X454" s="24"/>
      <c r="Y454" s="23"/>
      <c r="Z454" s="23"/>
      <c r="AA454" s="23">
        <v>2.2000000000000002</v>
      </c>
      <c r="AB454" s="23"/>
      <c r="AC454" s="24"/>
      <c r="AD454" s="23">
        <v>76.53</v>
      </c>
      <c r="AE454" s="24">
        <v>433.20000000000005</v>
      </c>
      <c r="AF454" s="23"/>
      <c r="AG454" s="23"/>
      <c r="AH454" s="23">
        <v>9.9500000000000011</v>
      </c>
      <c r="AI454" s="24">
        <v>0</v>
      </c>
      <c r="AJ454" s="25">
        <v>878.92000000000007</v>
      </c>
      <c r="AK454" s="23">
        <v>195.54</v>
      </c>
      <c r="AL454" s="23"/>
      <c r="AM454" s="24"/>
      <c r="AN454" s="23"/>
      <c r="AO454" s="24"/>
      <c r="AP454" s="23"/>
      <c r="AQ454" s="24"/>
      <c r="AR454" s="23">
        <v>17.22</v>
      </c>
      <c r="AS454" s="23">
        <v>-924</v>
      </c>
      <c r="AT454" s="23"/>
      <c r="AU454" s="24"/>
      <c r="AW454" s="27">
        <f t="shared" si="91"/>
        <v>878.92045400000006</v>
      </c>
      <c r="AX454" s="27">
        <f t="shared" si="92"/>
        <v>76.530454000000006</v>
      </c>
      <c r="AY454" s="27">
        <f t="shared" si="93"/>
        <v>4.5399999999999998E-4</v>
      </c>
      <c r="AZ454" s="27">
        <f t="shared" si="94"/>
        <v>4.5399999999999998E-4</v>
      </c>
    </row>
    <row r="455" spans="1:52" ht="15" customHeight="1" x14ac:dyDescent="0.25">
      <c r="A455" s="13" t="str">
        <f>VLOOKUP(L455,[1]VALIDAÇÃO!$D$13:$E$350,2,0)</f>
        <v>DIRETO</v>
      </c>
      <c r="B455" s="14" t="str">
        <f t="shared" si="84"/>
        <v>79CONDOMINIO DO EDIFICIO EMPRESARIAL MARIE CURIE</v>
      </c>
      <c r="C455" s="15">
        <f t="shared" si="95"/>
        <v>79</v>
      </c>
      <c r="D455" s="16" t="str">
        <f t="shared" si="85"/>
        <v>6CONDOMINIO DO EDIFICIO EMPRESARIAL MARIE CURIE</v>
      </c>
      <c r="E455" s="17">
        <f t="shared" si="88"/>
        <v>6</v>
      </c>
      <c r="F455" s="18" t="str">
        <f t="shared" si="86"/>
        <v>10CONDOMINIO DO EDIFICIO EMPRESARIAL MARIE CURIE</v>
      </c>
      <c r="G455" s="18">
        <f t="shared" si="89"/>
        <v>10</v>
      </c>
      <c r="H455" s="19" t="str">
        <f t="shared" si="87"/>
        <v>28CONDOMINIO DO EDIFICIO EMPRESARIAL MARIE CURIE</v>
      </c>
      <c r="I455" s="19">
        <f t="shared" si="90"/>
        <v>28</v>
      </c>
      <c r="J455" s="13" t="s">
        <v>57</v>
      </c>
      <c r="K455" s="13" t="s">
        <v>568</v>
      </c>
      <c r="L455" s="13" t="s">
        <v>54</v>
      </c>
      <c r="M455" s="13" t="s">
        <v>60</v>
      </c>
      <c r="N455" s="20">
        <v>1278.1300000000001</v>
      </c>
      <c r="O455" s="20">
        <v>1622.13</v>
      </c>
      <c r="P455" s="21">
        <v>45453</v>
      </c>
      <c r="Q455" s="22"/>
      <c r="R455" s="23">
        <v>1622.13</v>
      </c>
      <c r="S455" s="24"/>
      <c r="T455" s="23"/>
      <c r="U455" s="24"/>
      <c r="V455" s="23"/>
      <c r="W455" s="23">
        <v>0.12</v>
      </c>
      <c r="X455" s="24">
        <v>4.58</v>
      </c>
      <c r="Y455" s="23"/>
      <c r="Z455" s="23"/>
      <c r="AA455" s="23">
        <v>5.98</v>
      </c>
      <c r="AB455" s="23">
        <v>291.66000000000003</v>
      </c>
      <c r="AC455" s="24">
        <v>1445.9385714285715</v>
      </c>
      <c r="AD455" s="23">
        <v>650.24</v>
      </c>
      <c r="AE455" s="24">
        <v>3270.7628571428572</v>
      </c>
      <c r="AF455" s="23"/>
      <c r="AG455" s="23"/>
      <c r="AH455" s="23">
        <v>28.2</v>
      </c>
      <c r="AI455" s="24">
        <v>0</v>
      </c>
      <c r="AJ455" s="25">
        <v>260.11</v>
      </c>
      <c r="AK455" s="23">
        <v>55.08</v>
      </c>
      <c r="AL455" s="23"/>
      <c r="AM455" s="24"/>
      <c r="AN455" s="23"/>
      <c r="AO455" s="24"/>
      <c r="AP455" s="23">
        <v>20.389999999999997</v>
      </c>
      <c r="AQ455" s="24">
        <v>89.06</v>
      </c>
      <c r="AR455" s="23">
        <v>201.01</v>
      </c>
      <c r="AS455" s="23">
        <v>-695.2</v>
      </c>
      <c r="AT455" s="23"/>
      <c r="AU455" s="24"/>
      <c r="AW455" s="27">
        <f t="shared" si="91"/>
        <v>260.110455</v>
      </c>
      <c r="AX455" s="27">
        <f t="shared" si="92"/>
        <v>650.240455</v>
      </c>
      <c r="AY455" s="27">
        <f t="shared" si="93"/>
        <v>291.66045500000001</v>
      </c>
      <c r="AZ455" s="27">
        <f t="shared" si="94"/>
        <v>20.390454999999996</v>
      </c>
    </row>
    <row r="456" spans="1:52" ht="15" customHeight="1" x14ac:dyDescent="0.25">
      <c r="A456" s="13" t="str">
        <f>VLOOKUP(L456,[1]VALIDAÇÃO!$D$13:$E$350,2,0)</f>
        <v>DIRETO</v>
      </c>
      <c r="B456" s="14" t="str">
        <f t="shared" si="84"/>
        <v>20RESERVA DO PAIVA SPE 01 LTDA.</v>
      </c>
      <c r="C456" s="15">
        <f t="shared" si="95"/>
        <v>20</v>
      </c>
      <c r="D456" s="16" t="str">
        <f t="shared" si="85"/>
        <v>43RESERVA DO PAIVA SPE 01 LTDA.</v>
      </c>
      <c r="E456" s="17">
        <f t="shared" si="88"/>
        <v>43</v>
      </c>
      <c r="F456" s="18" t="str">
        <f t="shared" si="86"/>
        <v>41RESERVA DO PAIVA SPE 01 LTDA.</v>
      </c>
      <c r="G456" s="18">
        <f t="shared" si="89"/>
        <v>41</v>
      </c>
      <c r="H456" s="19" t="str">
        <f t="shared" si="87"/>
        <v>29RESERVA DO PAIVA SPE 01 LTDA.</v>
      </c>
      <c r="I456" s="19">
        <f t="shared" si="90"/>
        <v>29</v>
      </c>
      <c r="J456" s="13" t="s">
        <v>68</v>
      </c>
      <c r="K456" s="13" t="s">
        <v>569</v>
      </c>
      <c r="L456" s="13" t="s">
        <v>54</v>
      </c>
      <c r="M456" s="13" t="s">
        <v>55</v>
      </c>
      <c r="N456" s="20">
        <v>1749.71</v>
      </c>
      <c r="O456" s="20">
        <v>1216.5999999999999</v>
      </c>
      <c r="P456" s="21">
        <v>45103</v>
      </c>
      <c r="Q456" s="22"/>
      <c r="R456" s="23">
        <v>1216.5999999999999</v>
      </c>
      <c r="S456" s="24"/>
      <c r="T456" s="23"/>
      <c r="U456" s="24"/>
      <c r="V456" s="23"/>
      <c r="W456" s="23"/>
      <c r="X456" s="24"/>
      <c r="Y456" s="23"/>
      <c r="Z456" s="23"/>
      <c r="AA456" s="23">
        <v>19</v>
      </c>
      <c r="AB456" s="23">
        <v>264.67</v>
      </c>
      <c r="AC456" s="24">
        <v>1182.4099999999999</v>
      </c>
      <c r="AD456" s="23">
        <v>191.51</v>
      </c>
      <c r="AE456" s="24">
        <v>855.6099999999999</v>
      </c>
      <c r="AF456" s="23"/>
      <c r="AG456" s="23"/>
      <c r="AH456" s="23">
        <v>105.75999999999999</v>
      </c>
      <c r="AI456" s="24">
        <v>0</v>
      </c>
      <c r="AJ456" s="25">
        <v>903.79</v>
      </c>
      <c r="AK456" s="23">
        <v>164.65</v>
      </c>
      <c r="AL456" s="23">
        <v>-47.16</v>
      </c>
      <c r="AM456" s="24">
        <v>358.14</v>
      </c>
      <c r="AN456" s="23"/>
      <c r="AO456" s="24"/>
      <c r="AP456" s="23">
        <v>413.15</v>
      </c>
      <c r="AQ456" s="24">
        <v>1568.93</v>
      </c>
      <c r="AR456" s="23">
        <v>160.65</v>
      </c>
      <c r="AS456" s="23">
        <v>-695.2</v>
      </c>
      <c r="AT456" s="23"/>
      <c r="AU456" s="24"/>
      <c r="AV456" s="32"/>
      <c r="AW456" s="27">
        <f t="shared" si="91"/>
        <v>903.79045599999995</v>
      </c>
      <c r="AX456" s="27">
        <f t="shared" si="92"/>
        <v>191.510456</v>
      </c>
      <c r="AY456" s="27">
        <f t="shared" si="93"/>
        <v>264.670456</v>
      </c>
      <c r="AZ456" s="27">
        <f t="shared" si="94"/>
        <v>413.15045599999996</v>
      </c>
    </row>
    <row r="457" spans="1:52" ht="15" customHeight="1" x14ac:dyDescent="0.25">
      <c r="A457" s="13" t="str">
        <f>VLOOKUP(L457,[1]VALIDAÇÃO!$D$13:$E$350,2,0)</f>
        <v>DIRETO</v>
      </c>
      <c r="B457" s="14" t="str">
        <f t="shared" si="84"/>
        <v>82RESERVA DO PAIVA SPE 03 LTDA</v>
      </c>
      <c r="C457" s="15">
        <f t="shared" si="95"/>
        <v>82</v>
      </c>
      <c r="D457" s="16" t="str">
        <f t="shared" si="85"/>
        <v>32RESERVA DO PAIVA SPE 03 LTDA</v>
      </c>
      <c r="E457" s="17">
        <f t="shared" si="88"/>
        <v>32</v>
      </c>
      <c r="F457" s="18" t="str">
        <f t="shared" si="86"/>
        <v>111RESERVA DO PAIVA SPE 03 LTDA</v>
      </c>
      <c r="G457" s="18">
        <f t="shared" si="89"/>
        <v>111</v>
      </c>
      <c r="H457" s="19" t="str">
        <f t="shared" si="87"/>
        <v>114RESERVA DO PAIVA SPE 03 LTDA</v>
      </c>
      <c r="I457" s="19">
        <f t="shared" si="90"/>
        <v>114</v>
      </c>
      <c r="J457" s="13" t="s">
        <v>52</v>
      </c>
      <c r="K457" s="13" t="s">
        <v>570</v>
      </c>
      <c r="L457" s="13" t="s">
        <v>54</v>
      </c>
      <c r="M457" s="13" t="s">
        <v>55</v>
      </c>
      <c r="N457" s="20">
        <v>1224.78</v>
      </c>
      <c r="O457" s="20">
        <v>1622.13</v>
      </c>
      <c r="P457" s="21">
        <v>45798</v>
      </c>
      <c r="Q457" s="22"/>
      <c r="R457" s="23">
        <v>1622.13</v>
      </c>
      <c r="S457" s="24"/>
      <c r="T457" s="23"/>
      <c r="U457" s="24"/>
      <c r="V457" s="23"/>
      <c r="W457" s="23">
        <v>0.08</v>
      </c>
      <c r="X457" s="24">
        <v>4.45</v>
      </c>
      <c r="Y457" s="23"/>
      <c r="Z457" s="23"/>
      <c r="AA457" s="23">
        <v>2.4699999999999998</v>
      </c>
      <c r="AB457" s="23">
        <v>21.44</v>
      </c>
      <c r="AC457" s="24">
        <v>200.27142857142857</v>
      </c>
      <c r="AD457" s="23">
        <v>435.13</v>
      </c>
      <c r="AE457" s="24">
        <v>2858.8414285714284</v>
      </c>
      <c r="AF457" s="23"/>
      <c r="AG457" s="23"/>
      <c r="AH457" s="23">
        <v>11.31</v>
      </c>
      <c r="AI457" s="24">
        <v>0</v>
      </c>
      <c r="AJ457" s="25">
        <v>168.48000000000002</v>
      </c>
      <c r="AK457" s="23">
        <v>37.010000000000005</v>
      </c>
      <c r="AL457" s="23"/>
      <c r="AM457" s="24"/>
      <c r="AN457" s="23"/>
      <c r="AO457" s="24"/>
      <c r="AP457" s="23"/>
      <c r="AQ457" s="24"/>
      <c r="AR457" s="23">
        <v>101.97999999999999</v>
      </c>
      <c r="AS457" s="23">
        <v>-695.2</v>
      </c>
      <c r="AT457" s="23"/>
      <c r="AU457" s="24"/>
      <c r="AV457" s="32"/>
      <c r="AW457" s="27">
        <f t="shared" si="91"/>
        <v>168.48045700000003</v>
      </c>
      <c r="AX457" s="27">
        <f t="shared" si="92"/>
        <v>435.13045699999998</v>
      </c>
      <c r="AY457" s="27">
        <f t="shared" si="93"/>
        <v>21.440457000000002</v>
      </c>
      <c r="AZ457" s="27">
        <f t="shared" si="94"/>
        <v>4.57E-4</v>
      </c>
    </row>
    <row r="458" spans="1:52" ht="15" customHeight="1" x14ac:dyDescent="0.25">
      <c r="A458" s="13" t="str">
        <f>VLOOKUP(L458,[1]VALIDAÇÃO!$D$13:$E$350,2,0)</f>
        <v>DIRETO</v>
      </c>
      <c r="B458" s="14" t="str">
        <f t="shared" si="84"/>
        <v>112RESERVA DO PAIVA SPE 03 LTDA</v>
      </c>
      <c r="C458" s="15">
        <f t="shared" si="95"/>
        <v>112</v>
      </c>
      <c r="D458" s="16" t="str">
        <f t="shared" si="85"/>
        <v>150RESERVA DO PAIVA SPE 03 LTDA</v>
      </c>
      <c r="E458" s="17">
        <f t="shared" si="88"/>
        <v>150</v>
      </c>
      <c r="F458" s="18" t="str">
        <f t="shared" si="86"/>
        <v>74RESERVA DO PAIVA SPE 03 LTDA</v>
      </c>
      <c r="G458" s="18">
        <f t="shared" si="89"/>
        <v>74</v>
      </c>
      <c r="H458" s="19" t="str">
        <f t="shared" si="87"/>
        <v>113RESERVA DO PAIVA SPE 03 LTDA</v>
      </c>
      <c r="I458" s="19">
        <f t="shared" si="90"/>
        <v>113</v>
      </c>
      <c r="J458" s="13" t="s">
        <v>52</v>
      </c>
      <c r="K458" s="13" t="s">
        <v>571</v>
      </c>
      <c r="L458" s="13" t="s">
        <v>54</v>
      </c>
      <c r="M458" s="13" t="s">
        <v>55</v>
      </c>
      <c r="N458" s="20">
        <v>833.32</v>
      </c>
      <c r="O458" s="20">
        <v>1622.13</v>
      </c>
      <c r="P458" s="21">
        <v>45873</v>
      </c>
      <c r="Q458" s="22"/>
      <c r="R458" s="23">
        <v>1622.13</v>
      </c>
      <c r="S458" s="24"/>
      <c r="T458" s="23"/>
      <c r="U458" s="24"/>
      <c r="V458" s="23"/>
      <c r="W458" s="23"/>
      <c r="X458" s="24"/>
      <c r="Y458" s="23"/>
      <c r="Z458" s="23"/>
      <c r="AA458" s="23">
        <v>0.46</v>
      </c>
      <c r="AB458" s="23">
        <v>106.1</v>
      </c>
      <c r="AC458" s="24">
        <v>474</v>
      </c>
      <c r="AD458" s="23">
        <v>3.01</v>
      </c>
      <c r="AE458" s="24">
        <v>15.928571428571429</v>
      </c>
      <c r="AF458" s="23"/>
      <c r="AG458" s="23"/>
      <c r="AH458" s="23">
        <v>2.12</v>
      </c>
      <c r="AI458" s="24">
        <v>0</v>
      </c>
      <c r="AJ458" s="25">
        <v>87.13</v>
      </c>
      <c r="AK458" s="23">
        <v>19.39</v>
      </c>
      <c r="AL458" s="23"/>
      <c r="AM458" s="24"/>
      <c r="AN458" s="23"/>
      <c r="AO458" s="24"/>
      <c r="AP458" s="23"/>
      <c r="AQ458" s="24"/>
      <c r="AR458" s="23">
        <v>23.75</v>
      </c>
      <c r="AS458" s="23">
        <v>-695.2</v>
      </c>
      <c r="AT458" s="23"/>
      <c r="AU458" s="24"/>
      <c r="AV458" s="32"/>
      <c r="AW458" s="27">
        <f t="shared" si="91"/>
        <v>87.13045799999999</v>
      </c>
      <c r="AX458" s="27">
        <f t="shared" si="92"/>
        <v>3.0104579999999999</v>
      </c>
      <c r="AY458" s="27">
        <f t="shared" si="93"/>
        <v>106.10045799999999</v>
      </c>
      <c r="AZ458" s="27">
        <f t="shared" si="94"/>
        <v>4.5800000000000002E-4</v>
      </c>
    </row>
    <row r="459" spans="1:52" ht="15" customHeight="1" x14ac:dyDescent="0.25">
      <c r="A459" s="13" t="str">
        <f>VLOOKUP(L459,[1]VALIDAÇÃO!$D$13:$E$350,2,0)</f>
        <v>DIRETO</v>
      </c>
      <c r="B459" s="14" t="str">
        <f t="shared" si="84"/>
        <v>50RESERVA DO PAIVA SPE 01 LTDA.</v>
      </c>
      <c r="C459" s="15">
        <f t="shared" si="95"/>
        <v>50</v>
      </c>
      <c r="D459" s="16" t="str">
        <f t="shared" si="85"/>
        <v>24RESERVA DO PAIVA SPE 01 LTDA.</v>
      </c>
      <c r="E459" s="17">
        <f t="shared" si="88"/>
        <v>24</v>
      </c>
      <c r="F459" s="18" t="str">
        <f t="shared" si="86"/>
        <v>17RESERVA DO PAIVA SPE 01 LTDA.</v>
      </c>
      <c r="G459" s="18">
        <f t="shared" si="89"/>
        <v>17</v>
      </c>
      <c r="H459" s="19" t="str">
        <f t="shared" si="87"/>
        <v>60RESERVA DO PAIVA SPE 01 LTDA.</v>
      </c>
      <c r="I459" s="19">
        <f t="shared" si="90"/>
        <v>60</v>
      </c>
      <c r="J459" s="13" t="s">
        <v>68</v>
      </c>
      <c r="K459" s="13" t="s">
        <v>572</v>
      </c>
      <c r="L459" s="13" t="s">
        <v>54</v>
      </c>
      <c r="M459" s="13" t="s">
        <v>55</v>
      </c>
      <c r="N459" s="20">
        <v>1709.8</v>
      </c>
      <c r="O459" s="20">
        <v>1622.13</v>
      </c>
      <c r="P459" s="21">
        <v>45131</v>
      </c>
      <c r="Q459" s="22"/>
      <c r="R459" s="23">
        <v>1622.13</v>
      </c>
      <c r="S459" s="24"/>
      <c r="T459" s="23"/>
      <c r="U459" s="24"/>
      <c r="V459" s="23"/>
      <c r="W459" s="23"/>
      <c r="X459" s="24"/>
      <c r="Y459" s="23"/>
      <c r="Z459" s="23"/>
      <c r="AA459" s="23">
        <v>14.55</v>
      </c>
      <c r="AB459" s="23">
        <v>443.82</v>
      </c>
      <c r="AC459" s="24">
        <v>2236.83</v>
      </c>
      <c r="AD459" s="23">
        <v>491.28</v>
      </c>
      <c r="AE459" s="24">
        <v>2471.6942857142858</v>
      </c>
      <c r="AF459" s="23"/>
      <c r="AG459" s="23"/>
      <c r="AH459" s="23">
        <v>65.73</v>
      </c>
      <c r="AI459" s="24">
        <v>0</v>
      </c>
      <c r="AJ459" s="25">
        <v>543.4</v>
      </c>
      <c r="AK459" s="23">
        <v>117.77</v>
      </c>
      <c r="AL459" s="23"/>
      <c r="AM459" s="24"/>
      <c r="AN459" s="23"/>
      <c r="AO459" s="24"/>
      <c r="AP459" s="23">
        <v>199.44</v>
      </c>
      <c r="AQ459" s="24">
        <v>769.83999999999992</v>
      </c>
      <c r="AR459" s="23">
        <v>237.13</v>
      </c>
      <c r="AS459" s="23">
        <v>-695.2</v>
      </c>
      <c r="AT459" s="23"/>
      <c r="AU459" s="24"/>
      <c r="AV459" s="32"/>
      <c r="AW459" s="27">
        <f t="shared" si="91"/>
        <v>543.40045899999996</v>
      </c>
      <c r="AX459" s="27">
        <f t="shared" si="92"/>
        <v>491.28045899999995</v>
      </c>
      <c r="AY459" s="27">
        <f t="shared" si="93"/>
        <v>443.82045899999997</v>
      </c>
      <c r="AZ459" s="27">
        <f t="shared" si="94"/>
        <v>199.440459</v>
      </c>
    </row>
    <row r="460" spans="1:52" ht="15" customHeight="1" x14ac:dyDescent="0.25">
      <c r="A460" s="13" t="str">
        <f>VLOOKUP(L460,[1]VALIDAÇÃO!$D$13:$E$350,2,0)</f>
        <v>DIRETO</v>
      </c>
      <c r="B460" s="14" t="str">
        <f t="shared" si="84"/>
        <v>93RESERVA DO PAIVA SPE 03 LTDA</v>
      </c>
      <c r="C460" s="15">
        <f t="shared" si="95"/>
        <v>93</v>
      </c>
      <c r="D460" s="16" t="str">
        <f t="shared" si="85"/>
        <v>143RESERVA DO PAIVA SPE 03 LTDA</v>
      </c>
      <c r="E460" s="17">
        <f t="shared" si="88"/>
        <v>143</v>
      </c>
      <c r="F460" s="18" t="str">
        <f t="shared" si="86"/>
        <v>110RESERVA DO PAIVA SPE 03 LTDA</v>
      </c>
      <c r="G460" s="18">
        <f t="shared" si="89"/>
        <v>110</v>
      </c>
      <c r="H460" s="19" t="str">
        <f t="shared" si="87"/>
        <v>112RESERVA DO PAIVA SPE 03 LTDA</v>
      </c>
      <c r="I460" s="19">
        <f t="shared" si="90"/>
        <v>112</v>
      </c>
      <c r="J460" s="13" t="s">
        <v>52</v>
      </c>
      <c r="K460" s="13" t="s">
        <v>573</v>
      </c>
      <c r="L460" s="13" t="s">
        <v>63</v>
      </c>
      <c r="M460" s="13" t="s">
        <v>55</v>
      </c>
      <c r="N460" s="20">
        <v>1021.98</v>
      </c>
      <c r="O460" s="20">
        <v>2156</v>
      </c>
      <c r="P460" s="21">
        <v>45922</v>
      </c>
      <c r="Q460" s="22"/>
      <c r="R460" s="23">
        <v>2156</v>
      </c>
      <c r="S460" s="24"/>
      <c r="T460" s="23"/>
      <c r="U460" s="24"/>
      <c r="V460" s="23"/>
      <c r="W460" s="23"/>
      <c r="X460" s="24"/>
      <c r="Y460" s="23"/>
      <c r="Z460" s="23"/>
      <c r="AA460" s="23">
        <v>0.01</v>
      </c>
      <c r="AB460" s="23">
        <v>33.6</v>
      </c>
      <c r="AC460" s="24">
        <v>460.95714285714291</v>
      </c>
      <c r="AD460" s="23">
        <v>10.49</v>
      </c>
      <c r="AE460" s="24">
        <v>143.81428571428572</v>
      </c>
      <c r="AF460" s="23"/>
      <c r="AG460" s="23"/>
      <c r="AH460" s="23">
        <v>0.01</v>
      </c>
      <c r="AI460" s="24">
        <v>0</v>
      </c>
      <c r="AJ460" s="25">
        <v>154.12</v>
      </c>
      <c r="AK460" s="23">
        <v>35.069999999999993</v>
      </c>
      <c r="AL460" s="23"/>
      <c r="AM460" s="24"/>
      <c r="AN460" s="23"/>
      <c r="AO460" s="24"/>
      <c r="AP460" s="23"/>
      <c r="AQ460" s="24"/>
      <c r="AR460" s="23">
        <v>10.62</v>
      </c>
      <c r="AS460" s="23">
        <v>-924</v>
      </c>
      <c r="AT460" s="23"/>
      <c r="AU460" s="24"/>
      <c r="AV460" s="32"/>
      <c r="AW460" s="27">
        <f t="shared" si="91"/>
        <v>154.12046000000001</v>
      </c>
      <c r="AX460" s="27">
        <f t="shared" si="92"/>
        <v>10.490460000000001</v>
      </c>
      <c r="AY460" s="27">
        <f t="shared" si="93"/>
        <v>33.600459999999998</v>
      </c>
      <c r="AZ460" s="27">
        <f t="shared" si="94"/>
        <v>4.6000000000000001E-4</v>
      </c>
    </row>
    <row r="461" spans="1:52" ht="15" customHeight="1" x14ac:dyDescent="0.25">
      <c r="A461" s="13" t="str">
        <f>VLOOKUP(L461,[1]VALIDAÇÃO!$D$13:$E$350,2,0)</f>
        <v>DIRETO</v>
      </c>
      <c r="B461" s="14" t="str">
        <f t="shared" si="84"/>
        <v>2RIO AVE 130 SPE LTDA</v>
      </c>
      <c r="C461" s="15">
        <f t="shared" si="95"/>
        <v>2</v>
      </c>
      <c r="D461" s="16" t="str">
        <f t="shared" si="85"/>
        <v>29RIO AVE 130 SPE LTDA</v>
      </c>
      <c r="E461" s="17">
        <f t="shared" si="88"/>
        <v>29</v>
      </c>
      <c r="F461" s="18" t="str">
        <f t="shared" si="86"/>
        <v>24RIO AVE 130 SPE LTDA</v>
      </c>
      <c r="G461" s="18">
        <f t="shared" si="89"/>
        <v>24</v>
      </c>
      <c r="H461" s="19" t="str">
        <f t="shared" si="87"/>
        <v>25RIO AVE 130 SPE LTDA</v>
      </c>
      <c r="I461" s="19">
        <f t="shared" si="90"/>
        <v>25</v>
      </c>
      <c r="J461" s="13" t="s">
        <v>102</v>
      </c>
      <c r="K461" s="13" t="s">
        <v>574</v>
      </c>
      <c r="L461" s="13" t="s">
        <v>63</v>
      </c>
      <c r="M461" s="13" t="s">
        <v>55</v>
      </c>
      <c r="N461" s="20">
        <v>2157.56</v>
      </c>
      <c r="O461" s="20">
        <v>2156</v>
      </c>
      <c r="P461" s="21">
        <v>45378</v>
      </c>
      <c r="Q461" s="22"/>
      <c r="R461" s="23">
        <v>2156</v>
      </c>
      <c r="S461" s="24"/>
      <c r="T461" s="23"/>
      <c r="U461" s="24"/>
      <c r="V461" s="23"/>
      <c r="W461" s="23"/>
      <c r="X461" s="24"/>
      <c r="Y461" s="23"/>
      <c r="Z461" s="23"/>
      <c r="AA461" s="23">
        <v>13.81</v>
      </c>
      <c r="AB461" s="23">
        <v>213.43</v>
      </c>
      <c r="AC461" s="24">
        <v>719.64285714285711</v>
      </c>
      <c r="AD461" s="23">
        <v>209.14000000000001</v>
      </c>
      <c r="AE461" s="24">
        <v>720.75428571428574</v>
      </c>
      <c r="AF461" s="23"/>
      <c r="AG461" s="23"/>
      <c r="AH461" s="23">
        <v>63.160000000000004</v>
      </c>
      <c r="AI461" s="24">
        <v>0</v>
      </c>
      <c r="AJ461" s="25">
        <v>1398.1799999999998</v>
      </c>
      <c r="AK461" s="23">
        <v>310.27999999999997</v>
      </c>
      <c r="AL461" s="23">
        <v>-15.58</v>
      </c>
      <c r="AM461" s="24">
        <v>89</v>
      </c>
      <c r="AN461" s="23"/>
      <c r="AO461" s="24"/>
      <c r="AP461" s="23">
        <v>109.2</v>
      </c>
      <c r="AQ461" s="24">
        <v>312</v>
      </c>
      <c r="AR461" s="23">
        <v>115.69999999999999</v>
      </c>
      <c r="AS461" s="23">
        <v>-924</v>
      </c>
      <c r="AT461" s="23"/>
      <c r="AU461" s="24"/>
      <c r="AV461" s="32"/>
      <c r="AW461" s="27">
        <f t="shared" si="91"/>
        <v>1398.1804609999999</v>
      </c>
      <c r="AX461" s="27">
        <f t="shared" si="92"/>
        <v>209.14046100000002</v>
      </c>
      <c r="AY461" s="27">
        <f t="shared" si="93"/>
        <v>213.43046100000001</v>
      </c>
      <c r="AZ461" s="27">
        <f t="shared" si="94"/>
        <v>109.200461</v>
      </c>
    </row>
    <row r="462" spans="1:52" ht="15" customHeight="1" x14ac:dyDescent="0.25">
      <c r="A462" s="13" t="str">
        <f>VLOOKUP(L462,[1]VALIDAÇÃO!$D$13:$E$350,2,0)</f>
        <v>DIRETO</v>
      </c>
      <c r="B462" s="14" t="str">
        <f t="shared" si="84"/>
        <v>9RIO AVE 130 SPE LTDA</v>
      </c>
      <c r="C462" s="15">
        <f t="shared" si="95"/>
        <v>9</v>
      </c>
      <c r="D462" s="16" t="str">
        <f t="shared" si="85"/>
        <v>32RIO AVE 130 SPE LTDA</v>
      </c>
      <c r="E462" s="17">
        <f t="shared" si="88"/>
        <v>32</v>
      </c>
      <c r="F462" s="18" t="str">
        <f t="shared" si="86"/>
        <v>40RIO AVE 130 SPE LTDA</v>
      </c>
      <c r="G462" s="18">
        <f t="shared" si="89"/>
        <v>40</v>
      </c>
      <c r="H462" s="19" t="str">
        <f t="shared" si="87"/>
        <v>51RIO AVE 130 SPE LTDA</v>
      </c>
      <c r="I462" s="19">
        <f t="shared" si="90"/>
        <v>51</v>
      </c>
      <c r="J462" s="13" t="s">
        <v>102</v>
      </c>
      <c r="K462" s="13" t="s">
        <v>575</v>
      </c>
      <c r="L462" s="13" t="s">
        <v>63</v>
      </c>
      <c r="M462" s="13" t="s">
        <v>55</v>
      </c>
      <c r="N462" s="20">
        <v>1817.81</v>
      </c>
      <c r="O462" s="20">
        <v>2156</v>
      </c>
      <c r="P462" s="21">
        <v>45180</v>
      </c>
      <c r="Q462" s="22"/>
      <c r="R462" s="23">
        <v>2156</v>
      </c>
      <c r="S462" s="24"/>
      <c r="T462" s="23"/>
      <c r="U462" s="24"/>
      <c r="V462" s="23"/>
      <c r="W462" s="23"/>
      <c r="X462" s="24"/>
      <c r="Y462" s="23"/>
      <c r="Z462" s="23"/>
      <c r="AA462" s="23">
        <v>3.8499999999999996</v>
      </c>
      <c r="AB462" s="23">
        <v>110.19000000000001</v>
      </c>
      <c r="AC462" s="24">
        <v>370.38</v>
      </c>
      <c r="AD462" s="23">
        <v>88.95</v>
      </c>
      <c r="AE462" s="24">
        <v>308.12714285714287</v>
      </c>
      <c r="AF462" s="23"/>
      <c r="AG462" s="23"/>
      <c r="AH462" s="23">
        <v>17.149999999999999</v>
      </c>
      <c r="AI462" s="24">
        <v>0</v>
      </c>
      <c r="AJ462" s="25">
        <v>933.39</v>
      </c>
      <c r="AK462" s="23">
        <v>207.07</v>
      </c>
      <c r="AL462" s="23">
        <v>-8.0500000000000007</v>
      </c>
      <c r="AM462" s="24">
        <v>46</v>
      </c>
      <c r="AN462" s="23"/>
      <c r="AO462" s="24"/>
      <c r="AP462" s="23"/>
      <c r="AQ462" s="24"/>
      <c r="AR462" s="23">
        <v>44.14</v>
      </c>
      <c r="AS462" s="23">
        <v>-1016.2</v>
      </c>
      <c r="AT462" s="23"/>
      <c r="AU462" s="24"/>
      <c r="AV462" s="32"/>
      <c r="AW462" s="27">
        <f t="shared" si="91"/>
        <v>933.39046199999996</v>
      </c>
      <c r="AX462" s="27">
        <f t="shared" si="92"/>
        <v>88.950462000000002</v>
      </c>
      <c r="AY462" s="27">
        <f t="shared" si="93"/>
        <v>110.19046200000001</v>
      </c>
      <c r="AZ462" s="27">
        <f t="shared" si="94"/>
        <v>4.6200000000000001E-4</v>
      </c>
    </row>
    <row r="463" spans="1:52" ht="15" customHeight="1" x14ac:dyDescent="0.25">
      <c r="A463" s="13" t="str">
        <f>VLOOKUP(L463,[1]VALIDAÇÃO!$D$13:$E$350,2,0)</f>
        <v>DIRETO</v>
      </c>
      <c r="B463" s="14" t="str">
        <f t="shared" si="84"/>
        <v>71RESERVA DO PAIVA SPE 01 LTDA.</v>
      </c>
      <c r="C463" s="15">
        <f t="shared" si="95"/>
        <v>71</v>
      </c>
      <c r="D463" s="16" t="str">
        <f t="shared" si="85"/>
        <v>62RESERVA DO PAIVA SPE 01 LTDA.</v>
      </c>
      <c r="E463" s="17">
        <f t="shared" si="88"/>
        <v>62</v>
      </c>
      <c r="F463" s="18" t="str">
        <f t="shared" si="86"/>
        <v>71RESERVA DO PAIVA SPE 01 LTDA.</v>
      </c>
      <c r="G463" s="18">
        <f t="shared" si="89"/>
        <v>71</v>
      </c>
      <c r="H463" s="19" t="str">
        <f t="shared" si="87"/>
        <v>66RESERVA DO PAIVA SPE 01 LTDA.</v>
      </c>
      <c r="I463" s="19">
        <f t="shared" si="90"/>
        <v>66</v>
      </c>
      <c r="J463" s="13" t="s">
        <v>68</v>
      </c>
      <c r="K463" s="13" t="s">
        <v>576</v>
      </c>
      <c r="L463" s="13" t="s">
        <v>54</v>
      </c>
      <c r="M463" s="13" t="s">
        <v>55</v>
      </c>
      <c r="N463" s="20">
        <v>1187.76</v>
      </c>
      <c r="O463" s="20">
        <v>1622.13</v>
      </c>
      <c r="P463" s="21">
        <v>45938</v>
      </c>
      <c r="Q463" s="22"/>
      <c r="R463" s="23">
        <v>1622.13</v>
      </c>
      <c r="S463" s="24"/>
      <c r="T463" s="23"/>
      <c r="U463" s="24"/>
      <c r="V463" s="23"/>
      <c r="W463" s="23"/>
      <c r="X463" s="24"/>
      <c r="Y463" s="23"/>
      <c r="Z463" s="23"/>
      <c r="AA463" s="23">
        <v>2.41</v>
      </c>
      <c r="AB463" s="23">
        <v>38.31</v>
      </c>
      <c r="AC463" s="24">
        <v>698.57142857142856</v>
      </c>
      <c r="AD463" s="23">
        <v>75.56</v>
      </c>
      <c r="AE463" s="24">
        <v>475.14285714285711</v>
      </c>
      <c r="AF463" s="23"/>
      <c r="AG463" s="23"/>
      <c r="AH463" s="23">
        <v>10.44</v>
      </c>
      <c r="AI463" s="24">
        <v>0</v>
      </c>
      <c r="AJ463" s="25">
        <v>226.25</v>
      </c>
      <c r="AK463" s="23">
        <v>51.47</v>
      </c>
      <c r="AL463" s="23"/>
      <c r="AM463" s="24"/>
      <c r="AN463" s="23"/>
      <c r="AO463" s="24"/>
      <c r="AP463" s="23">
        <v>165.47</v>
      </c>
      <c r="AQ463" s="24">
        <v>888.28571428571422</v>
      </c>
      <c r="AR463" s="23">
        <v>65.89</v>
      </c>
      <c r="AS463" s="23">
        <v>-695.2</v>
      </c>
      <c r="AT463" s="23"/>
      <c r="AU463" s="24"/>
      <c r="AV463" s="32"/>
      <c r="AW463" s="27">
        <f t="shared" si="91"/>
        <v>226.250463</v>
      </c>
      <c r="AX463" s="27">
        <f t="shared" si="92"/>
        <v>75.560462999999999</v>
      </c>
      <c r="AY463" s="27">
        <f t="shared" si="93"/>
        <v>38.310463000000006</v>
      </c>
      <c r="AZ463" s="27">
        <f t="shared" si="94"/>
        <v>165.470463</v>
      </c>
    </row>
    <row r="464" spans="1:52" ht="15" customHeight="1" x14ac:dyDescent="0.25">
      <c r="A464" s="13" t="str">
        <f>VLOOKUP(L464,[1]VALIDAÇÃO!$D$13:$E$350,2,0)</f>
        <v>DIRETO</v>
      </c>
      <c r="B464" s="14" t="str">
        <f t="shared" si="84"/>
        <v>26CONDOMINIO DO EDIFICIO EMPRESARIAL MARIE CURIE</v>
      </c>
      <c r="C464" s="15">
        <f t="shared" si="95"/>
        <v>26</v>
      </c>
      <c r="D464" s="16" t="str">
        <f t="shared" si="85"/>
        <v>51CONDOMINIO DO EDIFICIO EMPRESARIAL MARIE CURIE</v>
      </c>
      <c r="E464" s="17">
        <f t="shared" si="88"/>
        <v>51</v>
      </c>
      <c r="F464" s="18" t="str">
        <f t="shared" si="86"/>
        <v>55CONDOMINIO DO EDIFICIO EMPRESARIAL MARIE CURIE</v>
      </c>
      <c r="G464" s="18">
        <f t="shared" si="89"/>
        <v>55</v>
      </c>
      <c r="H464" s="19" t="str">
        <f t="shared" si="87"/>
        <v>40CONDOMINIO DO EDIFICIO EMPRESARIAL MARIE CURIE</v>
      </c>
      <c r="I464" s="19">
        <f t="shared" si="90"/>
        <v>40</v>
      </c>
      <c r="J464" s="13" t="s">
        <v>57</v>
      </c>
      <c r="K464" s="13" t="s">
        <v>577</v>
      </c>
      <c r="L464" s="13" t="s">
        <v>54</v>
      </c>
      <c r="M464" s="13" t="s">
        <v>60</v>
      </c>
      <c r="N464" s="20">
        <v>1184.17</v>
      </c>
      <c r="O464" s="20">
        <v>1622.13</v>
      </c>
      <c r="P464" s="21">
        <v>45236</v>
      </c>
      <c r="Q464" s="22"/>
      <c r="R464" s="23">
        <v>1622.13</v>
      </c>
      <c r="S464" s="24"/>
      <c r="T464" s="23"/>
      <c r="U464" s="24"/>
      <c r="V464" s="23"/>
      <c r="W464" s="23"/>
      <c r="X464" s="24"/>
      <c r="Y464" s="23"/>
      <c r="Z464" s="23"/>
      <c r="AA464" s="23">
        <v>3.41</v>
      </c>
      <c r="AB464" s="23">
        <v>63.580000000000005</v>
      </c>
      <c r="AC464" s="24">
        <v>376.75285714285712</v>
      </c>
      <c r="AD464" s="23">
        <v>158.11000000000001</v>
      </c>
      <c r="AE464" s="24">
        <v>847.41857142857134</v>
      </c>
      <c r="AF464" s="23"/>
      <c r="AG464" s="23"/>
      <c r="AH464" s="23">
        <v>16.830000000000002</v>
      </c>
      <c r="AI464" s="24">
        <v>0</v>
      </c>
      <c r="AJ464" s="25">
        <v>785.56</v>
      </c>
      <c r="AK464" s="23">
        <v>163.6</v>
      </c>
      <c r="AL464" s="23"/>
      <c r="AM464" s="24"/>
      <c r="AN464" s="23"/>
      <c r="AO464" s="24"/>
      <c r="AP464" s="23">
        <v>0.25</v>
      </c>
      <c r="AQ464" s="24">
        <v>0.95</v>
      </c>
      <c r="AR464" s="23">
        <v>43.84</v>
      </c>
      <c r="AS464" s="23">
        <v>-695.2</v>
      </c>
      <c r="AT464" s="23"/>
      <c r="AU464" s="24"/>
      <c r="AV464" s="32"/>
      <c r="AW464" s="27">
        <f t="shared" si="91"/>
        <v>785.56046399999991</v>
      </c>
      <c r="AX464" s="27">
        <f t="shared" si="92"/>
        <v>158.11046400000001</v>
      </c>
      <c r="AY464" s="27">
        <f t="shared" si="93"/>
        <v>63.580464000000006</v>
      </c>
      <c r="AZ464" s="27">
        <f t="shared" si="94"/>
        <v>0.25046400000000002</v>
      </c>
    </row>
    <row r="465" spans="1:52" ht="15" customHeight="1" x14ac:dyDescent="0.25">
      <c r="A465" s="13" t="str">
        <f>VLOOKUP(L465,[1]VALIDAÇÃO!$D$13:$E$350,2,0)</f>
        <v>DIRETO</v>
      </c>
      <c r="B465" s="14" t="str">
        <f t="shared" si="84"/>
        <v>26RESERVA DO PAIVA SPE 01 LTDA.</v>
      </c>
      <c r="C465" s="15">
        <f t="shared" si="95"/>
        <v>26</v>
      </c>
      <c r="D465" s="16" t="str">
        <f t="shared" si="85"/>
        <v>7RESERVA DO PAIVA SPE 01 LTDA.</v>
      </c>
      <c r="E465" s="17">
        <f t="shared" si="88"/>
        <v>7</v>
      </c>
      <c r="F465" s="18" t="str">
        <f t="shared" si="86"/>
        <v>23RESERVA DO PAIVA SPE 01 LTDA.</v>
      </c>
      <c r="G465" s="18">
        <f t="shared" si="89"/>
        <v>23</v>
      </c>
      <c r="H465" s="19" t="str">
        <f t="shared" si="87"/>
        <v>49RESERVA DO PAIVA SPE 01 LTDA.</v>
      </c>
      <c r="I465" s="19">
        <f t="shared" si="90"/>
        <v>49</v>
      </c>
      <c r="J465" s="13" t="s">
        <v>68</v>
      </c>
      <c r="K465" s="13" t="s">
        <v>578</v>
      </c>
      <c r="L465" s="13" t="s">
        <v>131</v>
      </c>
      <c r="M465" s="13" t="s">
        <v>55</v>
      </c>
      <c r="N465" s="20">
        <v>2863.63</v>
      </c>
      <c r="O465" s="20">
        <v>2156</v>
      </c>
      <c r="P465" s="21">
        <v>45293</v>
      </c>
      <c r="Q465" s="22"/>
      <c r="R465" s="23">
        <v>2156</v>
      </c>
      <c r="S465" s="24"/>
      <c r="T465" s="23"/>
      <c r="U465" s="24"/>
      <c r="V465" s="23"/>
      <c r="W465" s="23">
        <v>9.8699999999999992</v>
      </c>
      <c r="X465" s="24">
        <v>282.14</v>
      </c>
      <c r="Y465" s="23"/>
      <c r="Z465" s="23"/>
      <c r="AA465" s="23">
        <v>26.96</v>
      </c>
      <c r="AB465" s="23">
        <v>404.32000000000005</v>
      </c>
      <c r="AC465" s="24">
        <v>1367.75</v>
      </c>
      <c r="AD465" s="23">
        <v>1049.9100000000001</v>
      </c>
      <c r="AE465" s="24">
        <v>3604.4724999999999</v>
      </c>
      <c r="AF465" s="23"/>
      <c r="AG465" s="23"/>
      <c r="AH465" s="23">
        <v>120.73</v>
      </c>
      <c r="AI465" s="24">
        <v>0</v>
      </c>
      <c r="AJ465" s="25">
        <v>832.39</v>
      </c>
      <c r="AK465" s="23">
        <v>183.49</v>
      </c>
      <c r="AL465" s="23">
        <v>-5.27</v>
      </c>
      <c r="AM465" s="24">
        <v>30.14</v>
      </c>
      <c r="AN465" s="23"/>
      <c r="AO465" s="24"/>
      <c r="AP465" s="23">
        <v>267.04000000000002</v>
      </c>
      <c r="AQ465" s="24">
        <v>762.98</v>
      </c>
      <c r="AR465" s="23">
        <v>377.28000000000003</v>
      </c>
      <c r="AS465" s="23">
        <v>-995</v>
      </c>
      <c r="AT465" s="23"/>
      <c r="AU465" s="24"/>
      <c r="AV465" s="32"/>
      <c r="AW465" s="27">
        <f t="shared" si="91"/>
        <v>832.39046499999995</v>
      </c>
      <c r="AX465" s="27">
        <f t="shared" si="92"/>
        <v>1049.9104650000002</v>
      </c>
      <c r="AY465" s="27">
        <f t="shared" si="93"/>
        <v>404.32046500000007</v>
      </c>
      <c r="AZ465" s="27">
        <f t="shared" si="94"/>
        <v>267.04046500000004</v>
      </c>
    </row>
    <row r="466" spans="1:52" ht="15" customHeight="1" x14ac:dyDescent="0.25">
      <c r="A466" s="13" t="str">
        <f>VLOOKUP(L466,[1]VALIDAÇÃO!$D$13:$E$350,2,0)</f>
        <v>DIRETO</v>
      </c>
      <c r="B466" s="14" t="str">
        <f t="shared" si="84"/>
        <v>39CONDOMINIO DO EDIFICIO EMPRESARIAL MARIE CURIE</v>
      </c>
      <c r="C466" s="15">
        <f t="shared" si="95"/>
        <v>39</v>
      </c>
      <c r="D466" s="16" t="str">
        <f t="shared" si="85"/>
        <v>98CONDOMINIO DO EDIFICIO EMPRESARIAL MARIE CURIE</v>
      </c>
      <c r="E466" s="17">
        <f t="shared" si="88"/>
        <v>98</v>
      </c>
      <c r="F466" s="18" t="str">
        <f t="shared" si="86"/>
        <v>106CONDOMINIO DO EDIFICIO EMPRESARIAL MARIE CURIE</v>
      </c>
      <c r="G466" s="18">
        <f t="shared" si="89"/>
        <v>106</v>
      </c>
      <c r="H466" s="19" t="str">
        <f t="shared" si="87"/>
        <v>74CONDOMINIO DO EDIFICIO EMPRESARIAL MARIE CURIE</v>
      </c>
      <c r="I466" s="19">
        <f t="shared" si="90"/>
        <v>74</v>
      </c>
      <c r="J466" s="13" t="s">
        <v>57</v>
      </c>
      <c r="K466" s="13" t="s">
        <v>579</v>
      </c>
      <c r="L466" s="13" t="s">
        <v>54</v>
      </c>
      <c r="M466" s="13" t="s">
        <v>60</v>
      </c>
      <c r="N466" s="20">
        <v>1195.3699999999999</v>
      </c>
      <c r="O466" s="20">
        <v>1622.13</v>
      </c>
      <c r="P466" s="21">
        <v>45600</v>
      </c>
      <c r="Q466" s="22"/>
      <c r="R466" s="23">
        <v>1622.13</v>
      </c>
      <c r="S466" s="24"/>
      <c r="T466" s="23"/>
      <c r="U466" s="24"/>
      <c r="V466" s="23"/>
      <c r="W466" s="23"/>
      <c r="X466" s="24"/>
      <c r="Y466" s="23"/>
      <c r="Z466" s="23"/>
      <c r="AA466" s="23">
        <v>0.25</v>
      </c>
      <c r="AB466" s="23"/>
      <c r="AC466" s="24"/>
      <c r="AD466" s="23">
        <v>25.06</v>
      </c>
      <c r="AE466" s="24">
        <v>145.03428571428572</v>
      </c>
      <c r="AF466" s="23"/>
      <c r="AG466" s="23"/>
      <c r="AH466" s="23">
        <v>1.35</v>
      </c>
      <c r="AI466" s="24">
        <v>0</v>
      </c>
      <c r="AJ466" s="25">
        <v>602.26</v>
      </c>
      <c r="AK466" s="23">
        <v>128.36000000000001</v>
      </c>
      <c r="AL466" s="23">
        <v>-26.49</v>
      </c>
      <c r="AM466" s="24">
        <v>201.19</v>
      </c>
      <c r="AN466" s="23"/>
      <c r="AO466" s="24"/>
      <c r="AP466" s="23"/>
      <c r="AQ466" s="24"/>
      <c r="AR466" s="23">
        <v>4.38</v>
      </c>
      <c r="AS466" s="23">
        <v>-759.2</v>
      </c>
      <c r="AT466" s="23"/>
      <c r="AU466" s="24"/>
      <c r="AV466" s="32"/>
      <c r="AW466" s="27">
        <f t="shared" si="91"/>
        <v>602.26046599999995</v>
      </c>
      <c r="AX466" s="27">
        <f t="shared" si="92"/>
        <v>25.060465999999998</v>
      </c>
      <c r="AY466" s="27">
        <f t="shared" si="93"/>
        <v>4.66E-4</v>
      </c>
      <c r="AZ466" s="27">
        <f t="shared" si="94"/>
        <v>4.66E-4</v>
      </c>
    </row>
    <row r="467" spans="1:52" ht="15" customHeight="1" x14ac:dyDescent="0.25">
      <c r="A467" s="13" t="str">
        <f>VLOOKUP(L467,[1]VALIDAÇÃO!$D$13:$E$350,2,0)</f>
        <v>DIRETO</v>
      </c>
      <c r="B467" s="14" t="str">
        <f t="shared" si="84"/>
        <v>16RIO AVE 130 SPE LTDA</v>
      </c>
      <c r="C467" s="15">
        <f t="shared" si="95"/>
        <v>16</v>
      </c>
      <c r="D467" s="16" t="str">
        <f t="shared" si="85"/>
        <v>7RIO AVE 130 SPE LTDA</v>
      </c>
      <c r="E467" s="17">
        <f t="shared" si="88"/>
        <v>7</v>
      </c>
      <c r="F467" s="18" t="str">
        <f t="shared" si="86"/>
        <v>15RIO AVE 130 SPE LTDA</v>
      </c>
      <c r="G467" s="18">
        <f t="shared" si="89"/>
        <v>15</v>
      </c>
      <c r="H467" s="19" t="str">
        <f t="shared" si="87"/>
        <v>50RIO AVE 130 SPE LTDA</v>
      </c>
      <c r="I467" s="19">
        <f t="shared" si="90"/>
        <v>50</v>
      </c>
      <c r="J467" s="13" t="s">
        <v>102</v>
      </c>
      <c r="K467" s="13" t="s">
        <v>580</v>
      </c>
      <c r="L467" s="13" t="s">
        <v>435</v>
      </c>
      <c r="M467" s="13" t="s">
        <v>55</v>
      </c>
      <c r="N467" s="20">
        <v>2207.1</v>
      </c>
      <c r="O467" s="20">
        <v>2156</v>
      </c>
      <c r="P467" s="21">
        <v>45516</v>
      </c>
      <c r="Q467" s="22"/>
      <c r="R467" s="23">
        <v>2156</v>
      </c>
      <c r="S467" s="24"/>
      <c r="T467" s="23"/>
      <c r="U467" s="24"/>
      <c r="V467" s="23"/>
      <c r="W467" s="23"/>
      <c r="X467" s="24"/>
      <c r="Y467" s="23"/>
      <c r="Z467" s="23"/>
      <c r="AA467" s="23">
        <v>15.32</v>
      </c>
      <c r="AB467" s="23">
        <v>266.43</v>
      </c>
      <c r="AC467" s="24">
        <v>930.14714285714285</v>
      </c>
      <c r="AD467" s="23">
        <v>749.67000000000007</v>
      </c>
      <c r="AE467" s="24">
        <v>2895.9057142857146</v>
      </c>
      <c r="AF467" s="23"/>
      <c r="AG467" s="23"/>
      <c r="AH467" s="23">
        <v>70.709999999999994</v>
      </c>
      <c r="AI467" s="24">
        <v>0</v>
      </c>
      <c r="AJ467" s="25">
        <v>776.68</v>
      </c>
      <c r="AK467" s="23">
        <v>171.1</v>
      </c>
      <c r="AL467" s="23">
        <v>-23.1</v>
      </c>
      <c r="AM467" s="24">
        <v>132</v>
      </c>
      <c r="AN467" s="23"/>
      <c r="AO467" s="24"/>
      <c r="AP467" s="23"/>
      <c r="AQ467" s="24"/>
      <c r="AR467" s="23">
        <v>218.24</v>
      </c>
      <c r="AS467" s="23">
        <v>-1059</v>
      </c>
      <c r="AT467" s="23"/>
      <c r="AU467" s="24"/>
      <c r="AV467" s="32"/>
      <c r="AW467" s="27">
        <f t="shared" si="91"/>
        <v>776.68046699999991</v>
      </c>
      <c r="AX467" s="27">
        <f t="shared" si="92"/>
        <v>749.67046700000003</v>
      </c>
      <c r="AY467" s="27">
        <f t="shared" si="93"/>
        <v>266.43046700000002</v>
      </c>
      <c r="AZ467" s="27">
        <f t="shared" si="94"/>
        <v>4.6700000000000002E-4</v>
      </c>
    </row>
    <row r="468" spans="1:52" ht="15" customHeight="1" x14ac:dyDescent="0.25">
      <c r="A468" s="13" t="str">
        <f>VLOOKUP(L468,[1]VALIDAÇÃO!$D$13:$E$350,2,0)</f>
        <v>DIRETO</v>
      </c>
      <c r="B468" s="14" t="str">
        <f t="shared" ref="B468:B531" si="96">C468&amp;J468</f>
        <v>40CONDOMINIO DO EDIFICIO EMPRESARIAL MARIE CURIE</v>
      </c>
      <c r="C468" s="15">
        <f t="shared" si="95"/>
        <v>40</v>
      </c>
      <c r="D468" s="16" t="str">
        <f t="shared" ref="D468:D531" si="97">E468&amp;J468</f>
        <v>56CONDOMINIO DO EDIFICIO EMPRESARIAL MARIE CURIE</v>
      </c>
      <c r="E468" s="17">
        <f t="shared" si="88"/>
        <v>56</v>
      </c>
      <c r="F468" s="18" t="str">
        <f t="shared" ref="F468:F531" si="98">G468&amp;J468</f>
        <v>61CONDOMINIO DO EDIFICIO EMPRESARIAL MARIE CURIE</v>
      </c>
      <c r="G468" s="18">
        <f t="shared" si="89"/>
        <v>61</v>
      </c>
      <c r="H468" s="19" t="str">
        <f t="shared" ref="H468:H531" si="99">I468&amp;J468</f>
        <v>73CONDOMINIO DO EDIFICIO EMPRESARIAL MARIE CURIE</v>
      </c>
      <c r="I468" s="19">
        <f t="shared" si="90"/>
        <v>73</v>
      </c>
      <c r="J468" s="13" t="s">
        <v>57</v>
      </c>
      <c r="K468" s="13" t="s">
        <v>581</v>
      </c>
      <c r="L468" s="13" t="s">
        <v>54</v>
      </c>
      <c r="M468" s="13" t="s">
        <v>60</v>
      </c>
      <c r="N468" s="20">
        <v>1171.5999999999999</v>
      </c>
      <c r="O468" s="20">
        <v>1622.13</v>
      </c>
      <c r="P468" s="21">
        <v>45581</v>
      </c>
      <c r="Q468" s="22"/>
      <c r="R468" s="23">
        <v>1622.13</v>
      </c>
      <c r="S468" s="24"/>
      <c r="T468" s="23"/>
      <c r="U468" s="24"/>
      <c r="V468" s="23"/>
      <c r="W468" s="23"/>
      <c r="X468" s="24"/>
      <c r="Y468" s="23"/>
      <c r="Z468" s="23"/>
      <c r="AA468" s="23">
        <v>2.85</v>
      </c>
      <c r="AB468" s="23">
        <v>48.959999999999994</v>
      </c>
      <c r="AC468" s="24">
        <v>288.19142857142856</v>
      </c>
      <c r="AD468" s="23">
        <v>129.34</v>
      </c>
      <c r="AE468" s="24">
        <v>627.53857142857146</v>
      </c>
      <c r="AF468" s="23"/>
      <c r="AG468" s="23"/>
      <c r="AH468" s="23">
        <v>13.01</v>
      </c>
      <c r="AI468" s="24">
        <v>0</v>
      </c>
      <c r="AJ468" s="25">
        <v>601.56999999999994</v>
      </c>
      <c r="AK468" s="23">
        <v>126.86000000000001</v>
      </c>
      <c r="AL468" s="23"/>
      <c r="AM468" s="24"/>
      <c r="AN468" s="23"/>
      <c r="AO468" s="24"/>
      <c r="AP468" s="23"/>
      <c r="AQ468" s="24"/>
      <c r="AR468" s="23">
        <v>39.43</v>
      </c>
      <c r="AS468" s="23">
        <v>-695.2</v>
      </c>
      <c r="AT468" s="23"/>
      <c r="AU468" s="24"/>
      <c r="AV468" s="32"/>
      <c r="AW468" s="27">
        <f t="shared" si="91"/>
        <v>601.57046799999989</v>
      </c>
      <c r="AX468" s="27">
        <f t="shared" si="92"/>
        <v>129.34046800000002</v>
      </c>
      <c r="AY468" s="27">
        <f t="shared" si="93"/>
        <v>48.960467999999992</v>
      </c>
      <c r="AZ468" s="27">
        <f t="shared" si="94"/>
        <v>4.6799999999999999E-4</v>
      </c>
    </row>
    <row r="469" spans="1:52" ht="15" customHeight="1" x14ac:dyDescent="0.25">
      <c r="A469" s="13" t="str">
        <f>VLOOKUP(L469,[1]VALIDAÇÃO!$D$13:$E$350,2,0)</f>
        <v>DIRETO</v>
      </c>
      <c r="B469" s="14" t="str">
        <f t="shared" si="96"/>
        <v>16RESERVA DO PAIVA SPE 03 LTDA</v>
      </c>
      <c r="C469" s="15">
        <f t="shared" si="95"/>
        <v>16</v>
      </c>
      <c r="D469" s="16" t="str">
        <f t="shared" si="97"/>
        <v>51RESERVA DO PAIVA SPE 03 LTDA</v>
      </c>
      <c r="E469" s="17">
        <f t="shared" si="88"/>
        <v>51</v>
      </c>
      <c r="F469" s="18" t="str">
        <f t="shared" si="98"/>
        <v>39RESERVA DO PAIVA SPE 03 LTDA</v>
      </c>
      <c r="G469" s="18">
        <f t="shared" si="89"/>
        <v>39</v>
      </c>
      <c r="H469" s="19" t="str">
        <f t="shared" si="99"/>
        <v>111RESERVA DO PAIVA SPE 03 LTDA</v>
      </c>
      <c r="I469" s="19">
        <f t="shared" si="90"/>
        <v>111</v>
      </c>
      <c r="J469" s="13" t="s">
        <v>52</v>
      </c>
      <c r="K469" s="13" t="s">
        <v>582</v>
      </c>
      <c r="L469" s="13" t="s">
        <v>66</v>
      </c>
      <c r="M469" s="13" t="s">
        <v>55</v>
      </c>
      <c r="N469" s="20">
        <v>1713.99</v>
      </c>
      <c r="O469" s="20">
        <v>2156</v>
      </c>
      <c r="P469" s="21">
        <v>45749</v>
      </c>
      <c r="Q469" s="22"/>
      <c r="R469" s="23">
        <v>2156</v>
      </c>
      <c r="S469" s="24"/>
      <c r="T469" s="23"/>
      <c r="U469" s="24"/>
      <c r="V469" s="23"/>
      <c r="W469" s="23"/>
      <c r="X469" s="24"/>
      <c r="Y469" s="23"/>
      <c r="Z469" s="23"/>
      <c r="AA469" s="23">
        <v>8.7100000000000009</v>
      </c>
      <c r="AB469" s="23">
        <v>230.10999999999999</v>
      </c>
      <c r="AC469" s="24">
        <v>966.99857142857149</v>
      </c>
      <c r="AD469" s="23">
        <v>307.96999999999997</v>
      </c>
      <c r="AE469" s="24">
        <v>1376.1985714285713</v>
      </c>
      <c r="AF469" s="23"/>
      <c r="AG469" s="23"/>
      <c r="AH469" s="23">
        <v>38.480000000000004</v>
      </c>
      <c r="AI469" s="24">
        <v>0</v>
      </c>
      <c r="AJ469" s="25">
        <v>776.64</v>
      </c>
      <c r="AK469" s="23">
        <v>172.47</v>
      </c>
      <c r="AL469" s="23">
        <v>-40.98</v>
      </c>
      <c r="AM469" s="24">
        <v>234.17</v>
      </c>
      <c r="AN469" s="23"/>
      <c r="AO469" s="24"/>
      <c r="AP469" s="23"/>
      <c r="AQ469" s="24"/>
      <c r="AR469" s="23">
        <v>120.92</v>
      </c>
      <c r="AS469" s="23">
        <v>-924</v>
      </c>
      <c r="AT469" s="23"/>
      <c r="AU469" s="24"/>
      <c r="AV469" s="32"/>
      <c r="AW469" s="27">
        <f t="shared" si="91"/>
        <v>776.64046899999994</v>
      </c>
      <c r="AX469" s="27">
        <f t="shared" si="92"/>
        <v>307.97046899999998</v>
      </c>
      <c r="AY469" s="27">
        <f t="shared" si="93"/>
        <v>230.11046899999999</v>
      </c>
      <c r="AZ469" s="27">
        <f t="shared" si="94"/>
        <v>4.6900000000000002E-4</v>
      </c>
    </row>
    <row r="470" spans="1:52" ht="15" customHeight="1" x14ac:dyDescent="0.25">
      <c r="A470" s="13" t="str">
        <f>VLOOKUP(L470,[1]VALIDAÇÃO!$D$13:$E$350,2,0)</f>
        <v>DIRETO</v>
      </c>
      <c r="B470" s="14" t="str">
        <f t="shared" si="96"/>
        <v>1RIO AVE SUBHOLDING INCORPORACAO LTDA</v>
      </c>
      <c r="C470" s="15">
        <f t="shared" si="95"/>
        <v>1</v>
      </c>
      <c r="D470" s="16" t="str">
        <f t="shared" si="97"/>
        <v>5RIO AVE SUBHOLDING INCORPORACAO LTDA</v>
      </c>
      <c r="E470" s="17">
        <f t="shared" si="88"/>
        <v>5</v>
      </c>
      <c r="F470" s="18" t="str">
        <f t="shared" si="98"/>
        <v>3RIO AVE SUBHOLDING INCORPORACAO LTDA</v>
      </c>
      <c r="G470" s="18">
        <f t="shared" si="89"/>
        <v>3</v>
      </c>
      <c r="H470" s="19" t="str">
        <f t="shared" si="99"/>
        <v>6RIO AVE SUBHOLDING INCORPORACAO LTDA</v>
      </c>
      <c r="I470" s="19">
        <f t="shared" si="90"/>
        <v>6</v>
      </c>
      <c r="J470" s="13" t="s">
        <v>124</v>
      </c>
      <c r="K470" s="13" t="s">
        <v>583</v>
      </c>
      <c r="L470" s="13" t="s">
        <v>54</v>
      </c>
      <c r="M470" s="13" t="s">
        <v>181</v>
      </c>
      <c r="N470" s="20">
        <v>833.71</v>
      </c>
      <c r="O470" s="20">
        <v>1564.2</v>
      </c>
      <c r="P470" s="21">
        <v>45505</v>
      </c>
      <c r="Q470" s="22"/>
      <c r="R470" s="23">
        <v>1564.2</v>
      </c>
      <c r="S470" s="24"/>
      <c r="T470" s="23"/>
      <c r="U470" s="24"/>
      <c r="V470" s="23"/>
      <c r="W470" s="23"/>
      <c r="X470" s="24"/>
      <c r="Y470" s="23"/>
      <c r="Z470" s="23"/>
      <c r="AA470" s="23">
        <v>6.9999999999999993E-2</v>
      </c>
      <c r="AB470" s="23">
        <v>0.35</v>
      </c>
      <c r="AC470" s="24">
        <v>2.02</v>
      </c>
      <c r="AD470" s="23">
        <v>10.74</v>
      </c>
      <c r="AE470" s="24">
        <v>59.95</v>
      </c>
      <c r="AF470" s="23"/>
      <c r="AG470" s="23"/>
      <c r="AH470" s="23">
        <v>0.38</v>
      </c>
      <c r="AI470" s="24">
        <v>0</v>
      </c>
      <c r="AJ470" s="25">
        <v>426.7</v>
      </c>
      <c r="AK470" s="23">
        <v>90.06</v>
      </c>
      <c r="AL470" s="23">
        <v>-17.91</v>
      </c>
      <c r="AM470" s="24">
        <v>136</v>
      </c>
      <c r="AN470" s="23"/>
      <c r="AO470" s="24"/>
      <c r="AP470" s="23"/>
      <c r="AQ470" s="24"/>
      <c r="AR470" s="23">
        <v>1.78</v>
      </c>
      <c r="AS470" s="23">
        <v>-695.2</v>
      </c>
      <c r="AT470" s="23"/>
      <c r="AU470" s="24"/>
      <c r="AV470" s="32"/>
      <c r="AW470" s="27">
        <f t="shared" si="91"/>
        <v>426.70047</v>
      </c>
      <c r="AX470" s="27">
        <f t="shared" si="92"/>
        <v>10.74047</v>
      </c>
      <c r="AY470" s="27">
        <f t="shared" si="93"/>
        <v>0.35047</v>
      </c>
      <c r="AZ470" s="27">
        <f t="shared" si="94"/>
        <v>4.6999999999999999E-4</v>
      </c>
    </row>
    <row r="471" spans="1:52" ht="15" customHeight="1" x14ac:dyDescent="0.25">
      <c r="A471" s="13" t="str">
        <f>VLOOKUP(L471,[1]VALIDAÇÃO!$D$13:$E$350,2,0)</f>
        <v>DIRETO</v>
      </c>
      <c r="B471" s="14" t="str">
        <f t="shared" si="96"/>
        <v>105CONDOMINIO DO EDIFICIO EMPRESARIAL MARIE CURIE</v>
      </c>
      <c r="C471" s="15">
        <f t="shared" si="95"/>
        <v>105</v>
      </c>
      <c r="D471" s="16" t="str">
        <f t="shared" si="97"/>
        <v>30CONDOMINIO DO EDIFICIO EMPRESARIAL MARIE CURIE</v>
      </c>
      <c r="E471" s="17">
        <f t="shared" si="88"/>
        <v>30</v>
      </c>
      <c r="F471" s="18" t="str">
        <f t="shared" si="98"/>
        <v>48CONDOMINIO DO EDIFICIO EMPRESARIAL MARIE CURIE</v>
      </c>
      <c r="G471" s="18">
        <f t="shared" si="89"/>
        <v>48</v>
      </c>
      <c r="H471" s="19" t="str">
        <f t="shared" si="99"/>
        <v>17CONDOMINIO DO EDIFICIO EMPRESARIAL MARIE CURIE</v>
      </c>
      <c r="I471" s="19">
        <f t="shared" si="90"/>
        <v>17</v>
      </c>
      <c r="J471" s="13" t="s">
        <v>57</v>
      </c>
      <c r="K471" s="13" t="s">
        <v>584</v>
      </c>
      <c r="L471" s="13" t="s">
        <v>54</v>
      </c>
      <c r="M471" s="13" t="s">
        <v>60</v>
      </c>
      <c r="N471" s="20">
        <v>1153.5899999999999</v>
      </c>
      <c r="O471" s="20">
        <v>1622.13</v>
      </c>
      <c r="P471" s="21">
        <v>45818</v>
      </c>
      <c r="Q471" s="22"/>
      <c r="R471" s="23">
        <v>1622.13</v>
      </c>
      <c r="S471" s="24"/>
      <c r="T471" s="23"/>
      <c r="U471" s="24"/>
      <c r="V471" s="23"/>
      <c r="W471" s="23"/>
      <c r="X471" s="24"/>
      <c r="Y471" s="23"/>
      <c r="Z471" s="23"/>
      <c r="AA471" s="23">
        <v>2.2000000000000002</v>
      </c>
      <c r="AB471" s="23">
        <v>72.34</v>
      </c>
      <c r="AC471" s="24">
        <v>375.47571428571428</v>
      </c>
      <c r="AD471" s="23">
        <v>246.39000000000001</v>
      </c>
      <c r="AE471" s="24">
        <v>1454.747142857143</v>
      </c>
      <c r="AF471" s="23"/>
      <c r="AG471" s="23"/>
      <c r="AH471" s="23">
        <v>9.9199999999999982</v>
      </c>
      <c r="AI471" s="24">
        <v>0</v>
      </c>
      <c r="AJ471" s="25">
        <v>141.28</v>
      </c>
      <c r="AK471" s="23">
        <v>30.869999999999997</v>
      </c>
      <c r="AL471" s="23"/>
      <c r="AM471" s="24"/>
      <c r="AN471" s="23"/>
      <c r="AO471" s="24"/>
      <c r="AP471" s="23">
        <v>141.82</v>
      </c>
      <c r="AQ471" s="24">
        <v>593.47571428571428</v>
      </c>
      <c r="AR471" s="23">
        <v>101.17</v>
      </c>
      <c r="AS471" s="23">
        <v>-695.2</v>
      </c>
      <c r="AT471" s="23"/>
      <c r="AU471" s="24"/>
      <c r="AV471" s="32"/>
      <c r="AW471" s="27">
        <f t="shared" si="91"/>
        <v>141.28047100000001</v>
      </c>
      <c r="AX471" s="27">
        <f t="shared" si="92"/>
        <v>246.39047100000002</v>
      </c>
      <c r="AY471" s="27">
        <f t="shared" si="93"/>
        <v>72.340471000000008</v>
      </c>
      <c r="AZ471" s="27">
        <f t="shared" si="94"/>
        <v>141.820471</v>
      </c>
    </row>
    <row r="472" spans="1:52" ht="15" customHeight="1" x14ac:dyDescent="0.25">
      <c r="A472" s="13" t="str">
        <f>VLOOKUP(L472,[1]VALIDAÇÃO!$D$13:$E$350,2,0)</f>
        <v>DIRETO</v>
      </c>
      <c r="B472" s="14" t="str">
        <f t="shared" si="96"/>
        <v>73CONDOMINIO DO EDIFICIO EMPRESARIAL MARIE CURIE</v>
      </c>
      <c r="C472" s="15">
        <f t="shared" si="95"/>
        <v>73</v>
      </c>
      <c r="D472" s="16" t="str">
        <f t="shared" si="97"/>
        <v>108CONDOMINIO DO EDIFICIO EMPRESARIAL MARIE CURIE</v>
      </c>
      <c r="E472" s="17">
        <f t="shared" si="88"/>
        <v>108</v>
      </c>
      <c r="F472" s="18" t="str">
        <f t="shared" si="98"/>
        <v>88CONDOMINIO DO EDIFICIO EMPRESARIAL MARIE CURIE</v>
      </c>
      <c r="G472" s="18">
        <f t="shared" si="89"/>
        <v>88</v>
      </c>
      <c r="H472" s="19" t="str">
        <f t="shared" si="99"/>
        <v>72CONDOMINIO DO EDIFICIO EMPRESARIAL MARIE CURIE</v>
      </c>
      <c r="I472" s="19">
        <f t="shared" si="90"/>
        <v>72</v>
      </c>
      <c r="J472" s="13" t="s">
        <v>57</v>
      </c>
      <c r="K472" s="13" t="s">
        <v>585</v>
      </c>
      <c r="L472" s="13" t="s">
        <v>54</v>
      </c>
      <c r="M472" s="13" t="s">
        <v>60</v>
      </c>
      <c r="N472" s="20">
        <v>652.1</v>
      </c>
      <c r="O472" s="20">
        <v>1622.13</v>
      </c>
      <c r="P472" s="21">
        <v>45825</v>
      </c>
      <c r="Q472" s="22"/>
      <c r="R472" s="23">
        <v>1622.13</v>
      </c>
      <c r="S472" s="24"/>
      <c r="T472" s="23"/>
      <c r="U472" s="24"/>
      <c r="V472" s="23"/>
      <c r="W472" s="23"/>
      <c r="X472" s="24"/>
      <c r="Y472" s="23"/>
      <c r="Z472" s="23"/>
      <c r="AA472" s="23">
        <v>0.26</v>
      </c>
      <c r="AB472" s="23">
        <v>8.65</v>
      </c>
      <c r="AC472" s="24">
        <v>92</v>
      </c>
      <c r="AD472" s="23">
        <v>12.930000000000001</v>
      </c>
      <c r="AE472" s="24">
        <v>75.047142857142859</v>
      </c>
      <c r="AF472" s="23"/>
      <c r="AG472" s="23"/>
      <c r="AH472" s="23">
        <v>1.22</v>
      </c>
      <c r="AI472" s="24">
        <v>0</v>
      </c>
      <c r="AJ472" s="25">
        <v>287.36</v>
      </c>
      <c r="AK472" s="23">
        <v>60.05</v>
      </c>
      <c r="AL472" s="23">
        <v>-12.8</v>
      </c>
      <c r="AM472" s="24">
        <v>97.19</v>
      </c>
      <c r="AN472" s="23">
        <v>-57.93</v>
      </c>
      <c r="AO472" s="24">
        <v>1</v>
      </c>
      <c r="AP472" s="23"/>
      <c r="AQ472" s="24"/>
      <c r="AR472" s="23">
        <v>4.5999999999999996</v>
      </c>
      <c r="AS472" s="23">
        <v>-695.2</v>
      </c>
      <c r="AT472" s="23">
        <v>-57.93</v>
      </c>
      <c r="AU472" s="24">
        <v>1</v>
      </c>
      <c r="AV472" s="32"/>
      <c r="AW472" s="27">
        <f t="shared" si="91"/>
        <v>287.36047200000002</v>
      </c>
      <c r="AX472" s="27">
        <f t="shared" si="92"/>
        <v>12.930472000000002</v>
      </c>
      <c r="AY472" s="27">
        <f t="shared" si="93"/>
        <v>8.6504720000000006</v>
      </c>
      <c r="AZ472" s="27">
        <f t="shared" si="94"/>
        <v>4.7199999999999998E-4</v>
      </c>
    </row>
    <row r="473" spans="1:52" ht="15" customHeight="1" x14ac:dyDescent="0.25">
      <c r="A473" s="13" t="str">
        <f>VLOOKUP(L473,[1]VALIDAÇÃO!$D$13:$E$350,2,0)</f>
        <v>DIRETO</v>
      </c>
      <c r="B473" s="14" t="str">
        <f t="shared" si="96"/>
        <v>99RESERVA DO PAIVA SPE 03 LTDA</v>
      </c>
      <c r="C473" s="15">
        <f t="shared" si="95"/>
        <v>99</v>
      </c>
      <c r="D473" s="16" t="str">
        <f t="shared" si="97"/>
        <v>43RESERVA DO PAIVA SPE 03 LTDA</v>
      </c>
      <c r="E473" s="17">
        <f t="shared" si="88"/>
        <v>43</v>
      </c>
      <c r="F473" s="18" t="str">
        <f t="shared" si="98"/>
        <v>56RESERVA DO PAIVA SPE 03 LTDA</v>
      </c>
      <c r="G473" s="18">
        <f t="shared" si="89"/>
        <v>56</v>
      </c>
      <c r="H473" s="19" t="str">
        <f t="shared" si="99"/>
        <v>23RESERVA DO PAIVA SPE 03 LTDA</v>
      </c>
      <c r="I473" s="19">
        <f t="shared" si="90"/>
        <v>23</v>
      </c>
      <c r="J473" s="13" t="s">
        <v>52</v>
      </c>
      <c r="K473" s="13" t="s">
        <v>586</v>
      </c>
      <c r="L473" s="13" t="s">
        <v>54</v>
      </c>
      <c r="M473" s="13" t="s">
        <v>55</v>
      </c>
      <c r="N473" s="20">
        <v>1714.74</v>
      </c>
      <c r="O473" s="20">
        <v>1622.13</v>
      </c>
      <c r="P473" s="21">
        <v>45943</v>
      </c>
      <c r="Q473" s="22"/>
      <c r="R473" s="23">
        <v>1622.13</v>
      </c>
      <c r="S473" s="24"/>
      <c r="T473" s="23"/>
      <c r="U473" s="24"/>
      <c r="V473" s="23"/>
      <c r="W473" s="23"/>
      <c r="X473" s="24"/>
      <c r="Y473" s="23"/>
      <c r="Z473" s="23"/>
      <c r="AA473" s="23">
        <v>3.81</v>
      </c>
      <c r="AB473" s="23">
        <v>148.96</v>
      </c>
      <c r="AC473" s="24">
        <v>1181.5714285714284</v>
      </c>
      <c r="AD473" s="23">
        <v>357.06999999999994</v>
      </c>
      <c r="AE473" s="24">
        <v>2591.2857142857142</v>
      </c>
      <c r="AF473" s="23"/>
      <c r="AG473" s="23"/>
      <c r="AH473" s="23">
        <v>17.510000000000002</v>
      </c>
      <c r="AI473" s="24">
        <v>0</v>
      </c>
      <c r="AJ473" s="25">
        <v>138.59</v>
      </c>
      <c r="AK473" s="23">
        <v>30.13</v>
      </c>
      <c r="AL473" s="23"/>
      <c r="AM473" s="24"/>
      <c r="AN473" s="23"/>
      <c r="AO473" s="24"/>
      <c r="AP473" s="23">
        <v>243.74</v>
      </c>
      <c r="AQ473" s="24">
        <v>1892</v>
      </c>
      <c r="AR473" s="23">
        <v>179.41000000000003</v>
      </c>
      <c r="AS473" s="23">
        <v>-802.7</v>
      </c>
      <c r="AT473" s="23"/>
      <c r="AU473" s="24"/>
      <c r="AV473" s="32"/>
      <c r="AW473" s="27">
        <f t="shared" si="91"/>
        <v>138.590473</v>
      </c>
      <c r="AX473" s="27">
        <f t="shared" si="92"/>
        <v>357.07047299999994</v>
      </c>
      <c r="AY473" s="27">
        <f t="shared" si="93"/>
        <v>148.96047300000001</v>
      </c>
      <c r="AZ473" s="27">
        <f t="shared" si="94"/>
        <v>243.74047300000001</v>
      </c>
    </row>
    <row r="474" spans="1:52" ht="15" customHeight="1" x14ac:dyDescent="0.25">
      <c r="A474" s="13" t="str">
        <f>VLOOKUP(L474,[1]VALIDAÇÃO!$D$13:$E$350,2,0)</f>
        <v>INDIRETO</v>
      </c>
      <c r="B474" s="14" t="str">
        <f t="shared" si="96"/>
        <v>24RIO AVE PRAIA HOTEL SPE LTDA.</v>
      </c>
      <c r="C474" s="15">
        <f t="shared" si="95"/>
        <v>24</v>
      </c>
      <c r="D474" s="16" t="str">
        <f t="shared" si="97"/>
        <v>24RIO AVE PRAIA HOTEL SPE LTDA.</v>
      </c>
      <c r="E474" s="17">
        <f t="shared" si="88"/>
        <v>24</v>
      </c>
      <c r="F474" s="18" t="str">
        <f t="shared" si="98"/>
        <v>25RIO AVE PRAIA HOTEL SPE LTDA.</v>
      </c>
      <c r="G474" s="18">
        <f t="shared" si="89"/>
        <v>25</v>
      </c>
      <c r="H474" s="19" t="str">
        <f t="shared" si="99"/>
        <v>25RIO AVE PRAIA HOTEL SPE LTDA.</v>
      </c>
      <c r="I474" s="19">
        <f t="shared" si="90"/>
        <v>25</v>
      </c>
      <c r="J474" s="13" t="s">
        <v>80</v>
      </c>
      <c r="K474" s="13" t="s">
        <v>587</v>
      </c>
      <c r="L474" s="13" t="s">
        <v>588</v>
      </c>
      <c r="M474" s="13" t="s">
        <v>82</v>
      </c>
      <c r="N474" s="20">
        <v>2505.92</v>
      </c>
      <c r="O474" s="20">
        <v>7941.91</v>
      </c>
      <c r="P474" s="21">
        <v>45372</v>
      </c>
      <c r="Q474" s="22"/>
      <c r="R474" s="23">
        <v>7941.91</v>
      </c>
      <c r="S474" s="24"/>
      <c r="T474" s="23"/>
      <c r="U474" s="24"/>
      <c r="V474" s="23"/>
      <c r="W474" s="23"/>
      <c r="X474" s="24"/>
      <c r="Y474" s="23"/>
      <c r="Z474" s="23"/>
      <c r="AA474" s="23"/>
      <c r="AB474" s="23"/>
      <c r="AC474" s="24"/>
      <c r="AD474" s="23"/>
      <c r="AE474" s="24"/>
      <c r="AF474" s="23"/>
      <c r="AG474" s="23"/>
      <c r="AH474" s="23"/>
      <c r="AI474" s="24"/>
      <c r="AJ474" s="25"/>
      <c r="AK474" s="23"/>
      <c r="AL474" s="23"/>
      <c r="AM474" s="24"/>
      <c r="AN474" s="23"/>
      <c r="AO474" s="24"/>
      <c r="AP474" s="23"/>
      <c r="AQ474" s="24"/>
      <c r="AR474" s="23"/>
      <c r="AS474" s="23">
        <v>-3529.74</v>
      </c>
      <c r="AT474" s="23"/>
      <c r="AU474" s="24"/>
      <c r="AV474" s="32"/>
      <c r="AW474" s="27">
        <f t="shared" si="91"/>
        <v>4.7399999999999997E-4</v>
      </c>
      <c r="AX474" s="27">
        <f t="shared" si="92"/>
        <v>4.7399999999999997E-4</v>
      </c>
      <c r="AY474" s="27">
        <f t="shared" si="93"/>
        <v>4.7399999999999997E-4</v>
      </c>
      <c r="AZ474" s="27">
        <f t="shared" si="94"/>
        <v>4.7399999999999997E-4</v>
      </c>
    </row>
    <row r="475" spans="1:52" ht="15" customHeight="1" x14ac:dyDescent="0.25">
      <c r="A475" s="13" t="str">
        <f>VLOOKUP(L475,[1]VALIDAÇÃO!$D$13:$E$350,2,0)</f>
        <v>DIRETO</v>
      </c>
      <c r="B475" s="14" t="str">
        <f t="shared" si="96"/>
        <v>10RIO AVE CARNEIROS 01 SPE LTDA.</v>
      </c>
      <c r="C475" s="15">
        <f t="shared" si="95"/>
        <v>10</v>
      </c>
      <c r="D475" s="16" t="str">
        <f t="shared" si="97"/>
        <v>58RIO AVE CARNEIROS 01 SPE LTDA.</v>
      </c>
      <c r="E475" s="17">
        <f t="shared" si="88"/>
        <v>58</v>
      </c>
      <c r="F475" s="18" t="str">
        <f t="shared" si="98"/>
        <v>103RIO AVE CARNEIROS 01 SPE LTDA.</v>
      </c>
      <c r="G475" s="18">
        <f t="shared" si="89"/>
        <v>103</v>
      </c>
      <c r="H475" s="19" t="str">
        <f t="shared" si="99"/>
        <v>108RIO AVE CARNEIROS 01 SPE LTDA.</v>
      </c>
      <c r="I475" s="19">
        <f t="shared" si="90"/>
        <v>108</v>
      </c>
      <c r="J475" s="13" t="s">
        <v>61</v>
      </c>
      <c r="K475" s="13" t="s">
        <v>589</v>
      </c>
      <c r="L475" s="13" t="s">
        <v>54</v>
      </c>
      <c r="M475" s="13" t="s">
        <v>55</v>
      </c>
      <c r="N475" s="20">
        <v>1529.48</v>
      </c>
      <c r="O475" s="20">
        <v>1622.13</v>
      </c>
      <c r="P475" s="21">
        <v>45828</v>
      </c>
      <c r="Q475" s="22"/>
      <c r="R475" s="23">
        <v>1622.13</v>
      </c>
      <c r="S475" s="24"/>
      <c r="T475" s="23"/>
      <c r="U475" s="24"/>
      <c r="V475" s="23"/>
      <c r="W475" s="23"/>
      <c r="X475" s="24"/>
      <c r="Y475" s="23"/>
      <c r="Z475" s="23"/>
      <c r="AA475" s="23">
        <v>4.33</v>
      </c>
      <c r="AB475" s="23">
        <v>32.520000000000003</v>
      </c>
      <c r="AC475" s="24">
        <v>345.9571428571428</v>
      </c>
      <c r="AD475" s="23">
        <v>121.42999999999999</v>
      </c>
      <c r="AE475" s="24">
        <v>648.14285714285711</v>
      </c>
      <c r="AF475" s="23"/>
      <c r="AG475" s="23"/>
      <c r="AH475" s="23">
        <v>19.89</v>
      </c>
      <c r="AI475" s="24">
        <v>0</v>
      </c>
      <c r="AJ475" s="25">
        <v>886.64</v>
      </c>
      <c r="AK475" s="23">
        <v>195.41</v>
      </c>
      <c r="AL475" s="23">
        <v>-5.79</v>
      </c>
      <c r="AM475" s="24">
        <v>44</v>
      </c>
      <c r="AN475" s="23">
        <v>-57.93</v>
      </c>
      <c r="AO475" s="24">
        <v>1</v>
      </c>
      <c r="AP475" s="23"/>
      <c r="AQ475" s="24"/>
      <c r="AR475" s="23">
        <v>33.72</v>
      </c>
      <c r="AS475" s="23">
        <v>-755.2</v>
      </c>
      <c r="AT475" s="23">
        <v>-115.87</v>
      </c>
      <c r="AU475" s="24">
        <v>2</v>
      </c>
      <c r="AV475" s="32"/>
      <c r="AW475" s="27">
        <f t="shared" si="91"/>
        <v>886.64047500000004</v>
      </c>
      <c r="AX475" s="27">
        <f t="shared" si="92"/>
        <v>121.43047499999999</v>
      </c>
      <c r="AY475" s="27">
        <f t="shared" si="93"/>
        <v>32.520475000000005</v>
      </c>
      <c r="AZ475" s="27">
        <f t="shared" si="94"/>
        <v>4.75E-4</v>
      </c>
    </row>
    <row r="476" spans="1:52" ht="15" customHeight="1" x14ac:dyDescent="0.25">
      <c r="A476" s="13" t="str">
        <f>VLOOKUP(L476,[1]VALIDAÇÃO!$D$13:$E$350,2,0)</f>
        <v>DIRETO</v>
      </c>
      <c r="B476" s="14" t="str">
        <f t="shared" si="96"/>
        <v>16RIO AVE 200 SPE LTDA.</v>
      </c>
      <c r="C476" s="15">
        <f t="shared" si="95"/>
        <v>16</v>
      </c>
      <c r="D476" s="16" t="str">
        <f t="shared" si="97"/>
        <v>45RIO AVE 200 SPE LTDA.</v>
      </c>
      <c r="E476" s="17">
        <f t="shared" si="88"/>
        <v>45</v>
      </c>
      <c r="F476" s="18" t="str">
        <f t="shared" si="98"/>
        <v>62RIO AVE 200 SPE LTDA.</v>
      </c>
      <c r="G476" s="18">
        <f t="shared" si="89"/>
        <v>62</v>
      </c>
      <c r="H476" s="19" t="str">
        <f t="shared" si="99"/>
        <v>43RIO AVE 200 SPE LTDA.</v>
      </c>
      <c r="I476" s="19">
        <f t="shared" si="90"/>
        <v>43</v>
      </c>
      <c r="J476" s="13" t="s">
        <v>48</v>
      </c>
      <c r="K476" s="13" t="s">
        <v>590</v>
      </c>
      <c r="L476" s="13" t="s">
        <v>63</v>
      </c>
      <c r="M476" s="13" t="s">
        <v>55</v>
      </c>
      <c r="N476" s="20">
        <v>2203.06</v>
      </c>
      <c r="O476" s="20">
        <v>2156</v>
      </c>
      <c r="P476" s="21">
        <v>45971</v>
      </c>
      <c r="Q476" s="22"/>
      <c r="R476" s="23">
        <v>2156</v>
      </c>
      <c r="S476" s="24"/>
      <c r="T476" s="23"/>
      <c r="U476" s="24"/>
      <c r="V476" s="23"/>
      <c r="W476" s="23"/>
      <c r="X476" s="24"/>
      <c r="Y476" s="23"/>
      <c r="Z476" s="23"/>
      <c r="AA476" s="23">
        <v>2.52</v>
      </c>
      <c r="AB476" s="23"/>
      <c r="AC476" s="24"/>
      <c r="AD476" s="23">
        <v>84.32</v>
      </c>
      <c r="AE476" s="24">
        <v>300.8</v>
      </c>
      <c r="AF476" s="23"/>
      <c r="AG476" s="23"/>
      <c r="AH476" s="23">
        <v>11.57</v>
      </c>
      <c r="AI476" s="24">
        <v>0</v>
      </c>
      <c r="AJ476" s="25">
        <v>912.38</v>
      </c>
      <c r="AK476" s="23">
        <v>211.62</v>
      </c>
      <c r="AL476" s="23"/>
      <c r="AM476" s="24"/>
      <c r="AN476" s="23"/>
      <c r="AO476" s="24"/>
      <c r="AP476" s="23"/>
      <c r="AQ476" s="24"/>
      <c r="AR476" s="23">
        <v>18.43</v>
      </c>
      <c r="AS476" s="23">
        <v>-924</v>
      </c>
      <c r="AT476" s="23"/>
      <c r="AU476" s="24"/>
      <c r="AV476" s="32"/>
      <c r="AW476" s="27">
        <f t="shared" si="91"/>
        <v>912.38047600000004</v>
      </c>
      <c r="AX476" s="27">
        <f t="shared" si="92"/>
        <v>84.320475999999999</v>
      </c>
      <c r="AY476" s="27">
        <f t="shared" si="93"/>
        <v>4.7600000000000002E-4</v>
      </c>
      <c r="AZ476" s="27">
        <f t="shared" si="94"/>
        <v>4.7600000000000002E-4</v>
      </c>
    </row>
    <row r="477" spans="1:52" ht="15" customHeight="1" x14ac:dyDescent="0.25">
      <c r="A477" s="13" t="str">
        <f>VLOOKUP(L477,[1]VALIDAÇÃO!$D$13:$E$350,2,0)</f>
        <v>DIRETO</v>
      </c>
      <c r="B477" s="14" t="str">
        <f t="shared" si="96"/>
        <v>38RIO AVE 200 SPE LTDA.</v>
      </c>
      <c r="C477" s="15">
        <f t="shared" si="95"/>
        <v>38</v>
      </c>
      <c r="D477" s="16" t="str">
        <f t="shared" si="97"/>
        <v>43RIO AVE 200 SPE LTDA.</v>
      </c>
      <c r="E477" s="17">
        <f t="shared" si="88"/>
        <v>43</v>
      </c>
      <c r="F477" s="18" t="str">
        <f t="shared" si="98"/>
        <v>26RIO AVE 200 SPE LTDA.</v>
      </c>
      <c r="G477" s="18">
        <f t="shared" si="89"/>
        <v>26</v>
      </c>
      <c r="H477" s="19" t="str">
        <f t="shared" si="99"/>
        <v>42RIO AVE 200 SPE LTDA.</v>
      </c>
      <c r="I477" s="19">
        <f t="shared" si="90"/>
        <v>42</v>
      </c>
      <c r="J477" s="13" t="s">
        <v>48</v>
      </c>
      <c r="K477" s="13" t="s">
        <v>591</v>
      </c>
      <c r="L477" s="13" t="s">
        <v>54</v>
      </c>
      <c r="M477" s="13" t="s">
        <v>55</v>
      </c>
      <c r="N477" s="20">
        <v>1051.21</v>
      </c>
      <c r="O477" s="20">
        <v>1622.13</v>
      </c>
      <c r="P477" s="21">
        <v>45938</v>
      </c>
      <c r="Q477" s="22"/>
      <c r="R477" s="23">
        <v>1622.13</v>
      </c>
      <c r="S477" s="24"/>
      <c r="T477" s="23"/>
      <c r="U477" s="24"/>
      <c r="V477" s="23"/>
      <c r="W477" s="23"/>
      <c r="X477" s="24"/>
      <c r="Y477" s="23"/>
      <c r="Z477" s="23"/>
      <c r="AA477" s="23">
        <v>2.08</v>
      </c>
      <c r="AB477" s="23">
        <v>46.930000000000007</v>
      </c>
      <c r="AC477" s="24">
        <v>855.71428571428578</v>
      </c>
      <c r="AD477" s="23">
        <v>101.32</v>
      </c>
      <c r="AE477" s="24">
        <v>593.42857142857144</v>
      </c>
      <c r="AF477" s="23"/>
      <c r="AG477" s="23"/>
      <c r="AH477" s="23">
        <v>8.9499999999999993</v>
      </c>
      <c r="AI477" s="24">
        <v>0</v>
      </c>
      <c r="AJ477" s="25">
        <v>353.61</v>
      </c>
      <c r="AK477" s="23">
        <v>78.37</v>
      </c>
      <c r="AL477" s="23"/>
      <c r="AM477" s="24"/>
      <c r="AN477" s="23"/>
      <c r="AO477" s="24"/>
      <c r="AP477" s="23"/>
      <c r="AQ477" s="24"/>
      <c r="AR477" s="23">
        <v>35.450000000000003</v>
      </c>
      <c r="AS477" s="23">
        <v>-780.2</v>
      </c>
      <c r="AT477" s="23"/>
      <c r="AU477" s="24"/>
      <c r="AV477" s="32"/>
      <c r="AW477" s="27">
        <f t="shared" si="91"/>
        <v>353.610477</v>
      </c>
      <c r="AX477" s="27">
        <f t="shared" si="92"/>
        <v>101.320477</v>
      </c>
      <c r="AY477" s="27">
        <f t="shared" si="93"/>
        <v>46.930477000000003</v>
      </c>
      <c r="AZ477" s="27">
        <f t="shared" si="94"/>
        <v>4.7699999999999999E-4</v>
      </c>
    </row>
    <row r="478" spans="1:52" ht="15" customHeight="1" x14ac:dyDescent="0.25">
      <c r="A478" s="13" t="str">
        <f>VLOOKUP(L478,[1]VALIDAÇÃO!$D$13:$E$350,2,0)</f>
        <v>DIRETO</v>
      </c>
      <c r="B478" s="14" t="str">
        <f t="shared" si="96"/>
        <v>31CONDOMINIO DO EDIFICIO EMPRESARIAL MARIE CURIE</v>
      </c>
      <c r="C478" s="15">
        <f t="shared" si="95"/>
        <v>31</v>
      </c>
      <c r="D478" s="16" t="str">
        <f t="shared" si="97"/>
        <v>21CONDOMINIO DO EDIFICIO EMPRESARIAL MARIE CURIE</v>
      </c>
      <c r="E478" s="17">
        <f t="shared" si="88"/>
        <v>21</v>
      </c>
      <c r="F478" s="18" t="str">
        <f t="shared" si="98"/>
        <v>74CONDOMINIO DO EDIFICIO EMPRESARIAL MARIE CURIE</v>
      </c>
      <c r="G478" s="18">
        <f t="shared" si="89"/>
        <v>74</v>
      </c>
      <c r="H478" s="19" t="str">
        <f t="shared" si="99"/>
        <v>71CONDOMINIO DO EDIFICIO EMPRESARIAL MARIE CURIE</v>
      </c>
      <c r="I478" s="19">
        <f t="shared" si="90"/>
        <v>71</v>
      </c>
      <c r="J478" s="13" t="s">
        <v>57</v>
      </c>
      <c r="K478" s="13" t="s">
        <v>592</v>
      </c>
      <c r="L478" s="13" t="s">
        <v>63</v>
      </c>
      <c r="M478" s="13" t="s">
        <v>60</v>
      </c>
      <c r="N478" s="20">
        <v>1440.71</v>
      </c>
      <c r="O478" s="20">
        <v>2156</v>
      </c>
      <c r="P478" s="21">
        <v>45265</v>
      </c>
      <c r="Q478" s="22"/>
      <c r="R478" s="23">
        <v>2156</v>
      </c>
      <c r="S478" s="24"/>
      <c r="T478" s="23"/>
      <c r="U478" s="24"/>
      <c r="V478" s="23"/>
      <c r="W478" s="23"/>
      <c r="X478" s="24"/>
      <c r="Y478" s="23"/>
      <c r="Z478" s="23"/>
      <c r="AA478" s="23">
        <v>3.4699999999999998</v>
      </c>
      <c r="AB478" s="23">
        <v>20.14</v>
      </c>
      <c r="AC478" s="24">
        <v>75.882857142857134</v>
      </c>
      <c r="AD478" s="23">
        <v>285.32</v>
      </c>
      <c r="AE478" s="24">
        <v>1127.4757142857143</v>
      </c>
      <c r="AF478" s="23"/>
      <c r="AG478" s="23"/>
      <c r="AH478" s="23">
        <v>16</v>
      </c>
      <c r="AI478" s="24">
        <v>0</v>
      </c>
      <c r="AJ478" s="25">
        <v>713.37</v>
      </c>
      <c r="AK478" s="23">
        <v>155.26999999999998</v>
      </c>
      <c r="AL478" s="23"/>
      <c r="AM478" s="24"/>
      <c r="AN478" s="23"/>
      <c r="AO478" s="24"/>
      <c r="AP478" s="23"/>
      <c r="AQ478" s="24"/>
      <c r="AR478" s="23">
        <v>60.61</v>
      </c>
      <c r="AS478" s="23">
        <v>-924</v>
      </c>
      <c r="AT478" s="23"/>
      <c r="AU478" s="24"/>
      <c r="AV478" s="32"/>
      <c r="AW478" s="27">
        <f t="shared" si="91"/>
        <v>713.37047800000005</v>
      </c>
      <c r="AX478" s="27">
        <f t="shared" si="92"/>
        <v>285.32047799999998</v>
      </c>
      <c r="AY478" s="27">
        <f t="shared" si="93"/>
        <v>20.140478000000002</v>
      </c>
      <c r="AZ478" s="27">
        <f t="shared" si="94"/>
        <v>4.7800000000000002E-4</v>
      </c>
    </row>
    <row r="479" spans="1:52" ht="15" customHeight="1" x14ac:dyDescent="0.25">
      <c r="A479" s="13" t="str">
        <f>VLOOKUP(L479,[1]VALIDAÇÃO!$D$13:$E$350,2,0)</f>
        <v>DIRETO</v>
      </c>
      <c r="B479" s="14" t="str">
        <f t="shared" si="96"/>
        <v>69RIO AVE CARNEIROS 01 SPE LTDA.</v>
      </c>
      <c r="C479" s="15">
        <f t="shared" si="95"/>
        <v>69</v>
      </c>
      <c r="D479" s="16" t="str">
        <f t="shared" si="97"/>
        <v>59RIO AVE CARNEIROS 01 SPE LTDA.</v>
      </c>
      <c r="E479" s="17">
        <f t="shared" si="88"/>
        <v>59</v>
      </c>
      <c r="F479" s="18" t="str">
        <f t="shared" si="98"/>
        <v>48RIO AVE CARNEIROS 01 SPE LTDA.</v>
      </c>
      <c r="G479" s="18">
        <f t="shared" si="89"/>
        <v>48</v>
      </c>
      <c r="H479" s="19" t="str">
        <f t="shared" si="99"/>
        <v>76RIO AVE CARNEIROS 01 SPE LTDA.</v>
      </c>
      <c r="I479" s="19">
        <f t="shared" si="90"/>
        <v>76</v>
      </c>
      <c r="J479" s="13" t="s">
        <v>61</v>
      </c>
      <c r="K479" s="13" t="s">
        <v>593</v>
      </c>
      <c r="L479" s="13" t="s">
        <v>54</v>
      </c>
      <c r="M479" s="13" t="s">
        <v>55</v>
      </c>
      <c r="N479" s="20">
        <v>374.85</v>
      </c>
      <c r="O479" s="20">
        <v>1622.13</v>
      </c>
      <c r="P479" s="21">
        <v>45691</v>
      </c>
      <c r="Q479" s="30"/>
      <c r="R479" s="30">
        <v>1622.13</v>
      </c>
      <c r="S479" s="30"/>
      <c r="T479" s="30"/>
      <c r="U479" s="30"/>
      <c r="V479" s="30"/>
      <c r="W479" s="30"/>
      <c r="X479" s="30"/>
      <c r="Y479" s="30"/>
      <c r="Z479" s="30"/>
      <c r="AA479" s="30">
        <v>3.19</v>
      </c>
      <c r="AB479" s="23">
        <v>118.52</v>
      </c>
      <c r="AC479" s="24">
        <v>739.14285714285711</v>
      </c>
      <c r="AD479" s="23">
        <v>110.57999999999998</v>
      </c>
      <c r="AE479" s="24">
        <v>642.71428571428567</v>
      </c>
      <c r="AF479" s="30"/>
      <c r="AG479" s="30"/>
      <c r="AH479" s="30">
        <v>14.23</v>
      </c>
      <c r="AI479" s="30">
        <v>0</v>
      </c>
      <c r="AJ479" s="25">
        <v>371.32</v>
      </c>
      <c r="AK479" s="30">
        <v>83.02</v>
      </c>
      <c r="AL479" s="30"/>
      <c r="AM479" s="30"/>
      <c r="AN479" s="30"/>
      <c r="AO479" s="30"/>
      <c r="AP479" s="23">
        <v>12.99</v>
      </c>
      <c r="AQ479" s="24">
        <v>69.285714285714278</v>
      </c>
      <c r="AR479" s="30">
        <v>53.129999999999995</v>
      </c>
      <c r="AS479" s="30">
        <v>-785.2</v>
      </c>
      <c r="AT479" s="30"/>
      <c r="AU479" s="30"/>
      <c r="AV479" s="32"/>
      <c r="AW479" s="27">
        <f t="shared" si="91"/>
        <v>371.32047899999998</v>
      </c>
      <c r="AX479" s="27">
        <f t="shared" si="92"/>
        <v>110.58047899999998</v>
      </c>
      <c r="AY479" s="27">
        <f t="shared" si="93"/>
        <v>118.52047899999999</v>
      </c>
      <c r="AZ479" s="27">
        <f t="shared" si="94"/>
        <v>12.990479000000001</v>
      </c>
    </row>
    <row r="480" spans="1:52" ht="15" customHeight="1" x14ac:dyDescent="0.25">
      <c r="A480" s="13" t="str">
        <f>VLOOKUP(L480,[1]VALIDAÇÃO!$D$13:$E$350,2,0)</f>
        <v>DIRETO</v>
      </c>
      <c r="B480" s="14" t="str">
        <f t="shared" si="96"/>
        <v>147RESERVA DO PAIVA SPE 03 LTDA</v>
      </c>
      <c r="C480" s="15">
        <f t="shared" si="95"/>
        <v>147</v>
      </c>
      <c r="D480" s="16" t="str">
        <f t="shared" si="97"/>
        <v>128RESERVA DO PAIVA SPE 03 LTDA</v>
      </c>
      <c r="E480" s="17">
        <f t="shared" si="88"/>
        <v>128</v>
      </c>
      <c r="F480" s="18" t="str">
        <f t="shared" si="98"/>
        <v>142RESERVA DO PAIVA SPE 03 LTDA</v>
      </c>
      <c r="G480" s="18">
        <f t="shared" si="89"/>
        <v>142</v>
      </c>
      <c r="H480" s="19" t="str">
        <f t="shared" si="99"/>
        <v>110RESERVA DO PAIVA SPE 03 LTDA</v>
      </c>
      <c r="I480" s="19">
        <f t="shared" si="90"/>
        <v>110</v>
      </c>
      <c r="J480" s="13" t="s">
        <v>52</v>
      </c>
      <c r="K480" s="13" t="s">
        <v>594</v>
      </c>
      <c r="L480" s="13" t="s">
        <v>63</v>
      </c>
      <c r="M480" s="13" t="s">
        <v>55</v>
      </c>
      <c r="N480" s="20">
        <v>916.32</v>
      </c>
      <c r="O480" s="20">
        <v>2156</v>
      </c>
      <c r="P480" s="21">
        <v>45992</v>
      </c>
      <c r="Q480" s="22"/>
      <c r="R480" s="23">
        <v>2156</v>
      </c>
      <c r="S480" s="24"/>
      <c r="T480" s="23"/>
      <c r="U480" s="24"/>
      <c r="V480" s="23"/>
      <c r="W480" s="23"/>
      <c r="X480" s="24"/>
      <c r="Y480" s="23"/>
      <c r="Z480" s="23"/>
      <c r="AA480" s="23"/>
      <c r="AB480" s="23"/>
      <c r="AC480" s="24"/>
      <c r="AD480" s="23">
        <v>40.46</v>
      </c>
      <c r="AE480" s="24">
        <v>136</v>
      </c>
      <c r="AF480" s="23"/>
      <c r="AG480" s="23"/>
      <c r="AH480" s="23"/>
      <c r="AI480" s="24"/>
      <c r="AJ480" s="25"/>
      <c r="AK480" s="23"/>
      <c r="AL480" s="23"/>
      <c r="AM480" s="24"/>
      <c r="AN480" s="23"/>
      <c r="AO480" s="24"/>
      <c r="AP480" s="23"/>
      <c r="AQ480" s="24"/>
      <c r="AR480" s="23">
        <v>8.8000000000000007</v>
      </c>
      <c r="AS480" s="23">
        <v>-924</v>
      </c>
      <c r="AT480" s="23"/>
      <c r="AU480" s="24"/>
      <c r="AV480" s="32"/>
      <c r="AW480" s="27">
        <f t="shared" si="91"/>
        <v>4.8000000000000001E-4</v>
      </c>
      <c r="AX480" s="27">
        <f t="shared" si="92"/>
        <v>40.460480000000004</v>
      </c>
      <c r="AY480" s="27">
        <f t="shared" si="93"/>
        <v>4.8000000000000001E-4</v>
      </c>
      <c r="AZ480" s="27">
        <f t="shared" si="94"/>
        <v>4.8000000000000001E-4</v>
      </c>
    </row>
    <row r="481" spans="1:52" ht="15" customHeight="1" x14ac:dyDescent="0.25">
      <c r="A481" s="13" t="str">
        <f>VLOOKUP(L481,[1]VALIDAÇÃO!$D$13:$E$350,2,0)</f>
        <v>DIRETO</v>
      </c>
      <c r="B481" s="14" t="str">
        <f t="shared" si="96"/>
        <v>146RESERVA DO PAIVA SPE 03 LTDA</v>
      </c>
      <c r="C481" s="15">
        <f t="shared" si="95"/>
        <v>146</v>
      </c>
      <c r="D481" s="16" t="str">
        <f t="shared" si="97"/>
        <v>134RESERVA DO PAIVA SPE 03 LTDA</v>
      </c>
      <c r="E481" s="17">
        <f t="shared" si="88"/>
        <v>134</v>
      </c>
      <c r="F481" s="18" t="str">
        <f t="shared" si="98"/>
        <v>141RESERVA DO PAIVA SPE 03 LTDA</v>
      </c>
      <c r="G481" s="18">
        <f t="shared" si="89"/>
        <v>141</v>
      </c>
      <c r="H481" s="19" t="str">
        <f t="shared" si="99"/>
        <v>109RESERVA DO PAIVA SPE 03 LTDA</v>
      </c>
      <c r="I481" s="19">
        <f t="shared" si="90"/>
        <v>109</v>
      </c>
      <c r="J481" s="13" t="s">
        <v>52</v>
      </c>
      <c r="K481" s="13" t="s">
        <v>595</v>
      </c>
      <c r="L481" s="13" t="s">
        <v>54</v>
      </c>
      <c r="M481" s="13" t="s">
        <v>55</v>
      </c>
      <c r="N481" s="20">
        <v>207.4</v>
      </c>
      <c r="O481" s="20">
        <v>1622.13</v>
      </c>
      <c r="P481" s="21">
        <v>45971</v>
      </c>
      <c r="Q481" s="22"/>
      <c r="R481" s="23">
        <v>1622.13</v>
      </c>
      <c r="S481" s="24"/>
      <c r="T481" s="23"/>
      <c r="U481" s="24"/>
      <c r="V481" s="23"/>
      <c r="W481" s="23"/>
      <c r="X481" s="24"/>
      <c r="Y481" s="23"/>
      <c r="Z481" s="23"/>
      <c r="AA481" s="23"/>
      <c r="AB481" s="23"/>
      <c r="AC481" s="24"/>
      <c r="AD481" s="23">
        <v>20.699999999999996</v>
      </c>
      <c r="AE481" s="24">
        <v>134</v>
      </c>
      <c r="AF481" s="23"/>
      <c r="AG481" s="23"/>
      <c r="AH481" s="23"/>
      <c r="AI481" s="24"/>
      <c r="AJ481" s="25"/>
      <c r="AK481" s="23"/>
      <c r="AL481" s="23"/>
      <c r="AM481" s="24"/>
      <c r="AN481" s="23">
        <v>-405.53</v>
      </c>
      <c r="AO481" s="24">
        <v>7</v>
      </c>
      <c r="AP481" s="23"/>
      <c r="AQ481" s="24"/>
      <c r="AR481" s="23">
        <v>4.67</v>
      </c>
      <c r="AS481" s="23">
        <v>-695.2</v>
      </c>
      <c r="AT481" s="23">
        <v>-173.8</v>
      </c>
      <c r="AU481" s="24">
        <v>3</v>
      </c>
      <c r="AV481" s="32"/>
      <c r="AW481" s="27">
        <f t="shared" si="91"/>
        <v>4.8099999999999998E-4</v>
      </c>
      <c r="AX481" s="27">
        <f t="shared" si="92"/>
        <v>20.700480999999996</v>
      </c>
      <c r="AY481" s="27">
        <f t="shared" si="93"/>
        <v>4.8099999999999998E-4</v>
      </c>
      <c r="AZ481" s="27">
        <f t="shared" si="94"/>
        <v>4.8099999999999998E-4</v>
      </c>
    </row>
    <row r="482" spans="1:52" ht="15" customHeight="1" x14ac:dyDescent="0.25">
      <c r="A482" s="13" t="str">
        <f>VLOOKUP(L482,[1]VALIDAÇÃO!$D$13:$E$350,2,0)</f>
        <v>INDIRETO</v>
      </c>
      <c r="B482" s="14" t="str">
        <f t="shared" si="96"/>
        <v>145RESERVA DO PAIVA SPE 03 LTDA</v>
      </c>
      <c r="C482" s="15">
        <f t="shared" si="95"/>
        <v>145</v>
      </c>
      <c r="D482" s="16" t="str">
        <f t="shared" si="97"/>
        <v>159RESERVA DO PAIVA SPE 03 LTDA</v>
      </c>
      <c r="E482" s="17">
        <f t="shared" si="88"/>
        <v>159</v>
      </c>
      <c r="F482" s="18" t="str">
        <f t="shared" si="98"/>
        <v>140RESERVA DO PAIVA SPE 03 LTDA</v>
      </c>
      <c r="G482" s="18">
        <f t="shared" si="89"/>
        <v>140</v>
      </c>
      <c r="H482" s="19" t="str">
        <f t="shared" si="99"/>
        <v>108RESERVA DO PAIVA SPE 03 LTDA</v>
      </c>
      <c r="I482" s="19">
        <f t="shared" si="90"/>
        <v>108</v>
      </c>
      <c r="J482" s="13" t="s">
        <v>52</v>
      </c>
      <c r="K482" s="13" t="s">
        <v>596</v>
      </c>
      <c r="L482" s="13" t="s">
        <v>597</v>
      </c>
      <c r="M482" s="13" t="s">
        <v>85</v>
      </c>
      <c r="N482" s="20">
        <v>1379.8</v>
      </c>
      <c r="O482" s="20"/>
      <c r="P482" s="21">
        <v>45733</v>
      </c>
      <c r="Q482" s="22"/>
      <c r="R482" s="23"/>
      <c r="S482" s="24"/>
      <c r="T482" s="23"/>
      <c r="U482" s="24"/>
      <c r="V482" s="23"/>
      <c r="W482" s="23"/>
      <c r="X482" s="24"/>
      <c r="Y482" s="23"/>
      <c r="Z482" s="23"/>
      <c r="AA482" s="23"/>
      <c r="AB482" s="23"/>
      <c r="AC482" s="24"/>
      <c r="AD482" s="23"/>
      <c r="AE482" s="24"/>
      <c r="AF482" s="23"/>
      <c r="AG482" s="23"/>
      <c r="AH482" s="23"/>
      <c r="AI482" s="24"/>
      <c r="AJ482" s="25"/>
      <c r="AK482" s="23"/>
      <c r="AL482" s="23"/>
      <c r="AM482" s="24"/>
      <c r="AN482" s="23"/>
      <c r="AO482" s="24"/>
      <c r="AP482" s="23"/>
      <c r="AQ482" s="24"/>
      <c r="AR482" s="23"/>
      <c r="AS482" s="23">
        <v>-520</v>
      </c>
      <c r="AT482" s="23"/>
      <c r="AU482" s="24"/>
      <c r="AV482" s="32"/>
      <c r="AW482" s="27">
        <f t="shared" si="91"/>
        <v>4.8200000000000001E-4</v>
      </c>
      <c r="AX482" s="27">
        <f t="shared" si="92"/>
        <v>4.8200000000000001E-4</v>
      </c>
      <c r="AY482" s="27">
        <f t="shared" si="93"/>
        <v>4.8200000000000001E-4</v>
      </c>
      <c r="AZ482" s="27">
        <f t="shared" si="94"/>
        <v>4.8200000000000001E-4</v>
      </c>
    </row>
    <row r="483" spans="1:52" ht="15" customHeight="1" x14ac:dyDescent="0.25">
      <c r="A483" s="13" t="str">
        <f>VLOOKUP(L483,[1]VALIDAÇÃO!$D$13:$E$350,2,0)</f>
        <v>INDIRETO</v>
      </c>
      <c r="B483" s="14" t="str">
        <f t="shared" si="96"/>
        <v>144RESERVA DO PAIVA SPE 03 LTDA</v>
      </c>
      <c r="C483" s="15">
        <f t="shared" si="95"/>
        <v>144</v>
      </c>
      <c r="D483" s="16" t="str">
        <f t="shared" si="97"/>
        <v>15RESERVA DO PAIVA SPE 03 LTDA</v>
      </c>
      <c r="E483" s="17">
        <f t="shared" si="88"/>
        <v>15</v>
      </c>
      <c r="F483" s="18" t="str">
        <f t="shared" si="98"/>
        <v>13RESERVA DO PAIVA SPE 03 LTDA</v>
      </c>
      <c r="G483" s="18">
        <f t="shared" si="89"/>
        <v>13</v>
      </c>
      <c r="H483" s="19" t="str">
        <f t="shared" si="99"/>
        <v>17RESERVA DO PAIVA SPE 03 LTDA</v>
      </c>
      <c r="I483" s="19">
        <f t="shared" si="90"/>
        <v>17</v>
      </c>
      <c r="J483" s="13" t="s">
        <v>52</v>
      </c>
      <c r="K483" s="13" t="s">
        <v>598</v>
      </c>
      <c r="L483" s="13" t="s">
        <v>201</v>
      </c>
      <c r="M483" s="13" t="s">
        <v>85</v>
      </c>
      <c r="N483" s="20">
        <v>3266.77</v>
      </c>
      <c r="O483" s="20">
        <v>3777.73</v>
      </c>
      <c r="P483" s="21">
        <v>45782</v>
      </c>
      <c r="Q483" s="22"/>
      <c r="R483" s="23">
        <v>3777.73</v>
      </c>
      <c r="S483" s="24"/>
      <c r="T483" s="23"/>
      <c r="U483" s="24"/>
      <c r="V483" s="23"/>
      <c r="W483" s="23">
        <v>2.95</v>
      </c>
      <c r="X483" s="24">
        <v>48.17</v>
      </c>
      <c r="Y483" s="23"/>
      <c r="Z483" s="23"/>
      <c r="AA483" s="23"/>
      <c r="AB483" s="23">
        <v>375.07000000000005</v>
      </c>
      <c r="AC483" s="24">
        <v>767.29857142857134</v>
      </c>
      <c r="AD483" s="23">
        <v>699.23</v>
      </c>
      <c r="AE483" s="24">
        <v>1401.1128571428571</v>
      </c>
      <c r="AF483" s="23"/>
      <c r="AG483" s="23"/>
      <c r="AH483" s="23"/>
      <c r="AI483" s="24"/>
      <c r="AJ483" s="25"/>
      <c r="AK483" s="23"/>
      <c r="AL483" s="23"/>
      <c r="AM483" s="24"/>
      <c r="AN483" s="23"/>
      <c r="AO483" s="24"/>
      <c r="AP483" s="23">
        <v>368.07</v>
      </c>
      <c r="AQ483" s="24">
        <v>600.16999999999996</v>
      </c>
      <c r="AR483" s="23">
        <v>315.83</v>
      </c>
      <c r="AS483" s="23">
        <v>-1619.03</v>
      </c>
      <c r="AT483" s="23"/>
      <c r="AU483" s="24"/>
      <c r="AV483" s="32"/>
      <c r="AW483" s="27">
        <f t="shared" si="91"/>
        <v>4.8299999999999998E-4</v>
      </c>
      <c r="AX483" s="27">
        <f t="shared" si="92"/>
        <v>699.23048300000005</v>
      </c>
      <c r="AY483" s="27">
        <f t="shared" si="93"/>
        <v>375.07048300000002</v>
      </c>
      <c r="AZ483" s="27">
        <f t="shared" si="94"/>
        <v>368.07048299999997</v>
      </c>
    </row>
    <row r="484" spans="1:52" ht="15" customHeight="1" x14ac:dyDescent="0.25">
      <c r="A484" s="13" t="str">
        <f>VLOOKUP(L484,[1]VALIDAÇÃO!$D$13:$E$350,2,0)</f>
        <v>DIRETO</v>
      </c>
      <c r="B484" s="14" t="str">
        <f t="shared" si="96"/>
        <v>55RESERVA DO PAIVA SPE 01 LTDA.</v>
      </c>
      <c r="C484" s="15">
        <f t="shared" si="95"/>
        <v>55</v>
      </c>
      <c r="D484" s="16" t="str">
        <f t="shared" si="97"/>
        <v>69RESERVA DO PAIVA SPE 01 LTDA.</v>
      </c>
      <c r="E484" s="17">
        <f t="shared" si="88"/>
        <v>69</v>
      </c>
      <c r="F484" s="18" t="str">
        <f t="shared" si="98"/>
        <v>72RESERVA DO PAIVA SPE 01 LTDA.</v>
      </c>
      <c r="G484" s="18">
        <f t="shared" si="89"/>
        <v>72</v>
      </c>
      <c r="H484" s="19" t="str">
        <f t="shared" si="99"/>
        <v>67RESERVA DO PAIVA SPE 01 LTDA.</v>
      </c>
      <c r="I484" s="19">
        <f t="shared" si="90"/>
        <v>67</v>
      </c>
      <c r="J484" s="13" t="s">
        <v>68</v>
      </c>
      <c r="K484" s="13" t="s">
        <v>599</v>
      </c>
      <c r="L484" s="13" t="s">
        <v>54</v>
      </c>
      <c r="M484" s="13" t="s">
        <v>55</v>
      </c>
      <c r="N484" s="20">
        <v>1341.47</v>
      </c>
      <c r="O484" s="20">
        <v>1622.13</v>
      </c>
      <c r="P484" s="21">
        <v>45943</v>
      </c>
      <c r="Q484" s="22"/>
      <c r="R484" s="23">
        <v>1622.13</v>
      </c>
      <c r="S484" s="24"/>
      <c r="T484" s="23"/>
      <c r="U484" s="24"/>
      <c r="V484" s="23"/>
      <c r="W484" s="23"/>
      <c r="X484" s="24"/>
      <c r="Y484" s="23"/>
      <c r="Z484" s="23"/>
      <c r="AA484" s="23">
        <v>5.08</v>
      </c>
      <c r="AB484" s="23">
        <v>38.11</v>
      </c>
      <c r="AC484" s="24">
        <v>695</v>
      </c>
      <c r="AD484" s="23">
        <v>58.64</v>
      </c>
      <c r="AE484" s="24">
        <v>326.71428571428572</v>
      </c>
      <c r="AF484" s="23"/>
      <c r="AG484" s="23"/>
      <c r="AH484" s="23">
        <v>21.79</v>
      </c>
      <c r="AI484" s="24">
        <v>0</v>
      </c>
      <c r="AJ484" s="25">
        <v>487.75</v>
      </c>
      <c r="AK484" s="23">
        <v>110.66</v>
      </c>
      <c r="AL484" s="23"/>
      <c r="AM484" s="24"/>
      <c r="AN484" s="23"/>
      <c r="AO484" s="24"/>
      <c r="AP484" s="23">
        <v>164.81</v>
      </c>
      <c r="AQ484" s="24">
        <v>884.14285714285711</v>
      </c>
      <c r="AR484" s="23">
        <v>62.5</v>
      </c>
      <c r="AS484" s="23">
        <v>-695.2</v>
      </c>
      <c r="AT484" s="23"/>
      <c r="AU484" s="24"/>
      <c r="AV484" s="32"/>
      <c r="AW484" s="27">
        <f t="shared" si="91"/>
        <v>487.75048399999997</v>
      </c>
      <c r="AX484" s="27">
        <f t="shared" si="92"/>
        <v>58.640484000000001</v>
      </c>
      <c r="AY484" s="27">
        <f t="shared" si="93"/>
        <v>38.110484</v>
      </c>
      <c r="AZ484" s="27">
        <f t="shared" si="94"/>
        <v>164.810484</v>
      </c>
    </row>
    <row r="485" spans="1:52" ht="15" customHeight="1" x14ac:dyDescent="0.25">
      <c r="A485" s="13" t="str">
        <f>VLOOKUP(L485,[1]VALIDAÇÃO!$D$13:$E$350,2,0)</f>
        <v>DIRETO</v>
      </c>
      <c r="B485" s="14" t="str">
        <f t="shared" si="96"/>
        <v>53RIO AVE 200 SPE LTDA.</v>
      </c>
      <c r="C485" s="15">
        <f t="shared" si="95"/>
        <v>53</v>
      </c>
      <c r="D485" s="16" t="str">
        <f t="shared" si="97"/>
        <v>5RIO AVE 200 SPE LTDA.</v>
      </c>
      <c r="E485" s="17">
        <f t="shared" si="88"/>
        <v>5</v>
      </c>
      <c r="F485" s="18" t="str">
        <f t="shared" si="98"/>
        <v>20RIO AVE 200 SPE LTDA.</v>
      </c>
      <c r="G485" s="18">
        <f t="shared" si="89"/>
        <v>20</v>
      </c>
      <c r="H485" s="19" t="str">
        <f t="shared" si="99"/>
        <v>41RIO AVE 200 SPE LTDA.</v>
      </c>
      <c r="I485" s="19">
        <f t="shared" si="90"/>
        <v>41</v>
      </c>
      <c r="J485" s="13" t="s">
        <v>48</v>
      </c>
      <c r="K485" s="13" t="s">
        <v>600</v>
      </c>
      <c r="L485" s="13" t="s">
        <v>423</v>
      </c>
      <c r="M485" s="13" t="s">
        <v>55</v>
      </c>
      <c r="N485" s="20">
        <v>1377.02</v>
      </c>
      <c r="O485" s="20">
        <v>2156</v>
      </c>
      <c r="P485" s="21">
        <v>45874</v>
      </c>
      <c r="Q485" s="22"/>
      <c r="R485" s="23">
        <v>2156</v>
      </c>
      <c r="S485" s="24"/>
      <c r="T485" s="23"/>
      <c r="U485" s="24"/>
      <c r="V485" s="23"/>
      <c r="W485" s="23">
        <v>0.25</v>
      </c>
      <c r="X485" s="24">
        <v>13.5</v>
      </c>
      <c r="Y485" s="23"/>
      <c r="Z485" s="23"/>
      <c r="AA485" s="23">
        <v>2.62</v>
      </c>
      <c r="AB485" s="23">
        <v>74.16</v>
      </c>
      <c r="AC485" s="24">
        <v>689.28571428571422</v>
      </c>
      <c r="AD485" s="23">
        <v>615.19000000000005</v>
      </c>
      <c r="AE485" s="24">
        <v>3476.0714285714284</v>
      </c>
      <c r="AF485" s="23"/>
      <c r="AG485" s="23"/>
      <c r="AH485" s="23">
        <v>12.15</v>
      </c>
      <c r="AI485" s="24">
        <v>0</v>
      </c>
      <c r="AJ485" s="25">
        <v>132.26</v>
      </c>
      <c r="AK485" s="23">
        <v>28</v>
      </c>
      <c r="AL485" s="23"/>
      <c r="AM485" s="24"/>
      <c r="AN485" s="23"/>
      <c r="AO485" s="24"/>
      <c r="AP485" s="23"/>
      <c r="AQ485" s="24"/>
      <c r="AR485" s="23">
        <v>154.28</v>
      </c>
      <c r="AS485" s="23">
        <v>-924</v>
      </c>
      <c r="AT485" s="23"/>
      <c r="AU485" s="24"/>
      <c r="AV485" s="32"/>
      <c r="AW485" s="27">
        <f t="shared" si="91"/>
        <v>132.26048499999999</v>
      </c>
      <c r="AX485" s="27">
        <f t="shared" si="92"/>
        <v>615.19048500000008</v>
      </c>
      <c r="AY485" s="27">
        <f t="shared" si="93"/>
        <v>74.160484999999994</v>
      </c>
      <c r="AZ485" s="27">
        <f t="shared" si="94"/>
        <v>4.8500000000000003E-4</v>
      </c>
    </row>
    <row r="486" spans="1:52" ht="15" customHeight="1" x14ac:dyDescent="0.25">
      <c r="A486" s="13" t="str">
        <f>VLOOKUP(L486,[1]VALIDAÇÃO!$D$13:$E$350,2,0)</f>
        <v>DIRETO</v>
      </c>
      <c r="B486" s="14" t="str">
        <f t="shared" si="96"/>
        <v>34RIO AVE 130 SPE LTDA</v>
      </c>
      <c r="C486" s="15">
        <f t="shared" si="95"/>
        <v>34</v>
      </c>
      <c r="D486" s="16" t="str">
        <f t="shared" si="97"/>
        <v>6RIO AVE 130 SPE LTDA</v>
      </c>
      <c r="E486" s="17">
        <f t="shared" si="88"/>
        <v>6</v>
      </c>
      <c r="F486" s="18" t="str">
        <f t="shared" si="98"/>
        <v>6RIO AVE 130 SPE LTDA</v>
      </c>
      <c r="G486" s="18">
        <f t="shared" si="89"/>
        <v>6</v>
      </c>
      <c r="H486" s="19" t="str">
        <f t="shared" si="99"/>
        <v>7RIO AVE 130 SPE LTDA</v>
      </c>
      <c r="I486" s="19">
        <f t="shared" si="90"/>
        <v>7</v>
      </c>
      <c r="J486" s="13" t="s">
        <v>102</v>
      </c>
      <c r="K486" s="13" t="s">
        <v>601</v>
      </c>
      <c r="L486" s="13" t="s">
        <v>54</v>
      </c>
      <c r="M486" s="13" t="s">
        <v>55</v>
      </c>
      <c r="N486" s="20">
        <v>1812.03</v>
      </c>
      <c r="O486" s="20">
        <v>1622.13</v>
      </c>
      <c r="P486" s="21">
        <v>45005</v>
      </c>
      <c r="Q486" s="22"/>
      <c r="R486" s="23">
        <v>1622.13</v>
      </c>
      <c r="S486" s="24"/>
      <c r="T486" s="23"/>
      <c r="U486" s="24"/>
      <c r="V486" s="23"/>
      <c r="W486" s="23"/>
      <c r="X486" s="24"/>
      <c r="Y486" s="23"/>
      <c r="Z486" s="23"/>
      <c r="AA486" s="23">
        <v>22.190000000000005</v>
      </c>
      <c r="AB486" s="23">
        <v>332.23</v>
      </c>
      <c r="AC486" s="24">
        <v>1727.3057142857142</v>
      </c>
      <c r="AD486" s="23">
        <v>759.7</v>
      </c>
      <c r="AE486" s="24">
        <v>3813.4928571428572</v>
      </c>
      <c r="AF486" s="23"/>
      <c r="AG486" s="23"/>
      <c r="AH486" s="23">
        <v>79.86</v>
      </c>
      <c r="AI486" s="24">
        <v>0</v>
      </c>
      <c r="AJ486" s="25">
        <v>536.44000000000005</v>
      </c>
      <c r="AK486" s="23">
        <v>188.49</v>
      </c>
      <c r="AL486" s="23">
        <v>-7.5</v>
      </c>
      <c r="AM486" s="24">
        <v>57</v>
      </c>
      <c r="AN486" s="23"/>
      <c r="AO486" s="24"/>
      <c r="AP486" s="23">
        <v>229.76</v>
      </c>
      <c r="AQ486" s="24">
        <v>872.5</v>
      </c>
      <c r="AR486" s="23">
        <v>429.15</v>
      </c>
      <c r="AS486" s="23">
        <v>-695.2</v>
      </c>
      <c r="AT486" s="23"/>
      <c r="AU486" s="24"/>
      <c r="AV486" s="32"/>
      <c r="AW486" s="27">
        <f t="shared" si="91"/>
        <v>536.44048600000008</v>
      </c>
      <c r="AX486" s="27">
        <f t="shared" si="92"/>
        <v>759.70048600000007</v>
      </c>
      <c r="AY486" s="27">
        <f t="shared" si="93"/>
        <v>332.23048600000004</v>
      </c>
      <c r="AZ486" s="27">
        <f t="shared" si="94"/>
        <v>229.76048599999999</v>
      </c>
    </row>
    <row r="487" spans="1:52" ht="15" customHeight="1" x14ac:dyDescent="0.25">
      <c r="A487" s="13" t="str">
        <f>VLOOKUP(L487,[1]VALIDAÇÃO!$D$13:$E$350,2,0)</f>
        <v>DIRETO</v>
      </c>
      <c r="B487" s="14" t="str">
        <f t="shared" si="96"/>
        <v>80RIO AVE CARNEIROS 01 SPE LTDA.</v>
      </c>
      <c r="C487" s="15">
        <f t="shared" si="95"/>
        <v>80</v>
      </c>
      <c r="D487" s="16" t="str">
        <f t="shared" si="97"/>
        <v>129RIO AVE CARNEIROS 01 SPE LTDA.</v>
      </c>
      <c r="E487" s="17">
        <f t="shared" si="88"/>
        <v>129</v>
      </c>
      <c r="F487" s="18" t="str">
        <f t="shared" si="98"/>
        <v>137RIO AVE CARNEIROS 01 SPE LTDA.</v>
      </c>
      <c r="G487" s="18">
        <f t="shared" si="89"/>
        <v>137</v>
      </c>
      <c r="H487" s="19" t="str">
        <f t="shared" si="99"/>
        <v>107RIO AVE CARNEIROS 01 SPE LTDA.</v>
      </c>
      <c r="I487" s="19">
        <f t="shared" si="90"/>
        <v>107</v>
      </c>
      <c r="J487" s="13" t="s">
        <v>61</v>
      </c>
      <c r="K487" s="13" t="s">
        <v>602</v>
      </c>
      <c r="L487" s="13" t="s">
        <v>87</v>
      </c>
      <c r="M487" s="13" t="s">
        <v>55</v>
      </c>
      <c r="N487" s="20">
        <v>1154.1300000000001</v>
      </c>
      <c r="O487" s="20">
        <v>2156</v>
      </c>
      <c r="P487" s="21">
        <v>45931</v>
      </c>
      <c r="Q487" s="22"/>
      <c r="R487" s="23">
        <v>2156</v>
      </c>
      <c r="S487" s="24"/>
      <c r="T487" s="23"/>
      <c r="U487" s="24"/>
      <c r="V487" s="23"/>
      <c r="W487" s="23"/>
      <c r="X487" s="24"/>
      <c r="Y487" s="23"/>
      <c r="Z487" s="23"/>
      <c r="AA487" s="23">
        <v>0.03</v>
      </c>
      <c r="AB487" s="23"/>
      <c r="AC487" s="24"/>
      <c r="AD487" s="23">
        <v>3.27</v>
      </c>
      <c r="AE487" s="24">
        <v>11</v>
      </c>
      <c r="AF487" s="23"/>
      <c r="AG487" s="23"/>
      <c r="AH487" s="23">
        <v>0.12</v>
      </c>
      <c r="AI487" s="24">
        <v>0</v>
      </c>
      <c r="AJ487" s="25">
        <v>317.8</v>
      </c>
      <c r="AK487" s="23">
        <v>72.289999999999992</v>
      </c>
      <c r="AL487" s="23">
        <v>-29.75</v>
      </c>
      <c r="AM487" s="24">
        <v>170</v>
      </c>
      <c r="AN487" s="23">
        <v>-77</v>
      </c>
      <c r="AO487" s="24">
        <v>1</v>
      </c>
      <c r="AP487" s="23"/>
      <c r="AQ487" s="24"/>
      <c r="AR487" s="23">
        <v>0.71</v>
      </c>
      <c r="AS487" s="23">
        <v>-1014</v>
      </c>
      <c r="AT487" s="23">
        <v>-77</v>
      </c>
      <c r="AU487" s="24">
        <v>1</v>
      </c>
      <c r="AV487" s="32"/>
      <c r="AW487" s="27">
        <f t="shared" si="91"/>
        <v>317.80048700000003</v>
      </c>
      <c r="AX487" s="27">
        <f t="shared" si="92"/>
        <v>3.2704870000000001</v>
      </c>
      <c r="AY487" s="27">
        <f t="shared" si="93"/>
        <v>4.8700000000000002E-4</v>
      </c>
      <c r="AZ487" s="27">
        <f t="shared" si="94"/>
        <v>4.8700000000000002E-4</v>
      </c>
    </row>
    <row r="488" spans="1:52" ht="15" customHeight="1" x14ac:dyDescent="0.25">
      <c r="A488" s="13" t="str">
        <f>VLOOKUP(L488,[1]VALIDAÇÃO!$D$13:$E$350,2,0)</f>
        <v>DIRETO</v>
      </c>
      <c r="B488" s="14" t="str">
        <f t="shared" si="96"/>
        <v>17CONDOMINIO DO EDIFICIO EMPRESARIAL MARIE CURIE</v>
      </c>
      <c r="C488" s="15">
        <f t="shared" si="95"/>
        <v>17</v>
      </c>
      <c r="D488" s="16" t="str">
        <f t="shared" si="97"/>
        <v>79CONDOMINIO DO EDIFICIO EMPRESARIAL MARIE CURIE</v>
      </c>
      <c r="E488" s="17">
        <f t="shared" si="88"/>
        <v>79</v>
      </c>
      <c r="F488" s="18" t="str">
        <f t="shared" si="98"/>
        <v>53CONDOMINIO DO EDIFICIO EMPRESARIAL MARIE CURIE</v>
      </c>
      <c r="G488" s="18">
        <f t="shared" si="89"/>
        <v>53</v>
      </c>
      <c r="H488" s="19" t="str">
        <f t="shared" si="99"/>
        <v>70CONDOMINIO DO EDIFICIO EMPRESARIAL MARIE CURIE</v>
      </c>
      <c r="I488" s="19">
        <f t="shared" si="90"/>
        <v>70</v>
      </c>
      <c r="J488" s="13" t="s">
        <v>57</v>
      </c>
      <c r="K488" s="13" t="s">
        <v>603</v>
      </c>
      <c r="L488" s="13" t="s">
        <v>59</v>
      </c>
      <c r="M488" s="13" t="s">
        <v>60</v>
      </c>
      <c r="N488" s="20">
        <v>1412.74</v>
      </c>
      <c r="O488" s="20">
        <v>2156</v>
      </c>
      <c r="P488" s="21">
        <v>45446</v>
      </c>
      <c r="Q488" s="22"/>
      <c r="R488" s="23">
        <v>2156</v>
      </c>
      <c r="S488" s="24"/>
      <c r="T488" s="23"/>
      <c r="U488" s="24"/>
      <c r="V488" s="23"/>
      <c r="W488" s="23"/>
      <c r="X488" s="24"/>
      <c r="Y488" s="23"/>
      <c r="Z488" s="23"/>
      <c r="AA488" s="23">
        <v>1.97</v>
      </c>
      <c r="AB488" s="23">
        <v>64.460000000000008</v>
      </c>
      <c r="AC488" s="24">
        <v>300.87</v>
      </c>
      <c r="AD488" s="23">
        <v>65.67</v>
      </c>
      <c r="AE488" s="24">
        <v>296.53428571428572</v>
      </c>
      <c r="AF488" s="23"/>
      <c r="AG488" s="23"/>
      <c r="AH488" s="23">
        <v>10.25</v>
      </c>
      <c r="AI488" s="24">
        <v>0</v>
      </c>
      <c r="AJ488" s="25">
        <v>1017.5</v>
      </c>
      <c r="AK488" s="23">
        <v>216.01999999999998</v>
      </c>
      <c r="AL488" s="23"/>
      <c r="AM488" s="24"/>
      <c r="AN488" s="23"/>
      <c r="AO488" s="24"/>
      <c r="AP488" s="23"/>
      <c r="AQ488" s="24"/>
      <c r="AR488" s="23">
        <v>23.59</v>
      </c>
      <c r="AS488" s="23">
        <v>-924</v>
      </c>
      <c r="AT488" s="23"/>
      <c r="AU488" s="24"/>
      <c r="AV488" s="32"/>
      <c r="AW488" s="27">
        <f t="shared" si="91"/>
        <v>1017.500488</v>
      </c>
      <c r="AX488" s="27">
        <f t="shared" si="92"/>
        <v>65.670488000000006</v>
      </c>
      <c r="AY488" s="27">
        <f t="shared" si="93"/>
        <v>64.460488000000012</v>
      </c>
      <c r="AZ488" s="27">
        <f t="shared" si="94"/>
        <v>4.8799999999999999E-4</v>
      </c>
    </row>
    <row r="489" spans="1:52" ht="15" customHeight="1" x14ac:dyDescent="0.25">
      <c r="A489" s="13" t="str">
        <f>VLOOKUP(L489,[1]VALIDAÇÃO!$D$13:$E$350,2,0)</f>
        <v>DIRETO</v>
      </c>
      <c r="B489" s="14" t="str">
        <f t="shared" si="96"/>
        <v>47CONDOMINIO DO EDIFICIO EMPRESARIAL MARIE CURIE</v>
      </c>
      <c r="C489" s="15">
        <f t="shared" si="95"/>
        <v>47</v>
      </c>
      <c r="D489" s="16" t="str">
        <f t="shared" si="97"/>
        <v>59CONDOMINIO DO EDIFICIO EMPRESARIAL MARIE CURIE</v>
      </c>
      <c r="E489" s="17">
        <f t="shared" si="88"/>
        <v>59</v>
      </c>
      <c r="F489" s="18" t="str">
        <f t="shared" si="98"/>
        <v>68CONDOMINIO DO EDIFICIO EMPRESARIAL MARIE CURIE</v>
      </c>
      <c r="G489" s="18">
        <f t="shared" si="89"/>
        <v>68</v>
      </c>
      <c r="H489" s="19" t="str">
        <f t="shared" si="99"/>
        <v>69CONDOMINIO DO EDIFICIO EMPRESARIAL MARIE CURIE</v>
      </c>
      <c r="I489" s="19">
        <f t="shared" si="90"/>
        <v>69</v>
      </c>
      <c r="J489" s="13" t="s">
        <v>57</v>
      </c>
      <c r="K489" s="13" t="s">
        <v>604</v>
      </c>
      <c r="L489" s="13" t="s">
        <v>63</v>
      </c>
      <c r="M489" s="13" t="s">
        <v>60</v>
      </c>
      <c r="N489" s="20">
        <v>1405.11</v>
      </c>
      <c r="O489" s="20">
        <v>2156</v>
      </c>
      <c r="P489" s="21">
        <v>45880</v>
      </c>
      <c r="Q489" s="22"/>
      <c r="R489" s="23">
        <v>2156</v>
      </c>
      <c r="S489" s="24"/>
      <c r="T489" s="23"/>
      <c r="U489" s="24"/>
      <c r="V489" s="23"/>
      <c r="W489" s="23"/>
      <c r="X489" s="24"/>
      <c r="Y489" s="23"/>
      <c r="Z489" s="23"/>
      <c r="AA489" s="23">
        <v>2.37</v>
      </c>
      <c r="AB489" s="23">
        <v>29.6</v>
      </c>
      <c r="AC489" s="24">
        <v>275.14285714285711</v>
      </c>
      <c r="AD489" s="23">
        <v>122.60999999999999</v>
      </c>
      <c r="AE489" s="24">
        <v>766.81857142857143</v>
      </c>
      <c r="AF489" s="23"/>
      <c r="AG489" s="23"/>
      <c r="AH489" s="23">
        <v>10.17</v>
      </c>
      <c r="AI489" s="24">
        <v>0</v>
      </c>
      <c r="AJ489" s="25">
        <v>554.5</v>
      </c>
      <c r="AK489" s="23">
        <v>123.78</v>
      </c>
      <c r="AL489" s="23"/>
      <c r="AM489" s="24"/>
      <c r="AN489" s="23"/>
      <c r="AO489" s="24"/>
      <c r="AP489" s="23"/>
      <c r="AQ489" s="24"/>
      <c r="AR489" s="23">
        <v>33.339999999999996</v>
      </c>
      <c r="AS489" s="23">
        <v>-924</v>
      </c>
      <c r="AT489" s="23"/>
      <c r="AU489" s="24"/>
      <c r="AV489" s="32"/>
      <c r="AW489" s="27">
        <f t="shared" si="91"/>
        <v>554.50048900000002</v>
      </c>
      <c r="AX489" s="27">
        <f t="shared" si="92"/>
        <v>122.61048899999999</v>
      </c>
      <c r="AY489" s="27">
        <f t="shared" si="93"/>
        <v>29.600489000000003</v>
      </c>
      <c r="AZ489" s="27">
        <f t="shared" si="94"/>
        <v>4.8899999999999996E-4</v>
      </c>
    </row>
    <row r="490" spans="1:52" ht="15" customHeight="1" x14ac:dyDescent="0.25">
      <c r="A490" s="13" t="str">
        <f>VLOOKUP(L490,[1]VALIDAÇÃO!$D$13:$E$350,2,0)</f>
        <v>DIRETO</v>
      </c>
      <c r="B490" s="14" t="str">
        <f t="shared" si="96"/>
        <v>121RESERVA DO PAIVA SPE 03 LTDA</v>
      </c>
      <c r="C490" s="15">
        <f t="shared" si="95"/>
        <v>121</v>
      </c>
      <c r="D490" s="16" t="str">
        <f t="shared" si="97"/>
        <v>118RESERVA DO PAIVA SPE 03 LTDA</v>
      </c>
      <c r="E490" s="17">
        <f t="shared" si="88"/>
        <v>118</v>
      </c>
      <c r="F490" s="18" t="str">
        <f t="shared" si="98"/>
        <v>84RESERVA DO PAIVA SPE 03 LTDA</v>
      </c>
      <c r="G490" s="18">
        <f t="shared" si="89"/>
        <v>84</v>
      </c>
      <c r="H490" s="19" t="str">
        <f t="shared" si="99"/>
        <v>107RESERVA DO PAIVA SPE 03 LTDA</v>
      </c>
      <c r="I490" s="19">
        <f t="shared" si="90"/>
        <v>107</v>
      </c>
      <c r="J490" s="13" t="s">
        <v>52</v>
      </c>
      <c r="K490" s="13" t="s">
        <v>605</v>
      </c>
      <c r="L490" s="13" t="s">
        <v>54</v>
      </c>
      <c r="M490" s="13" t="s">
        <v>55</v>
      </c>
      <c r="N490" s="20">
        <v>735.67</v>
      </c>
      <c r="O490" s="20">
        <v>1622.13</v>
      </c>
      <c r="P490" s="21">
        <v>45677</v>
      </c>
      <c r="Q490" s="22"/>
      <c r="R490" s="23">
        <v>1622.13</v>
      </c>
      <c r="S490" s="24"/>
      <c r="T490" s="23"/>
      <c r="U490" s="24"/>
      <c r="V490" s="23"/>
      <c r="W490" s="23"/>
      <c r="X490" s="24"/>
      <c r="Y490" s="23"/>
      <c r="Z490" s="23"/>
      <c r="AA490" s="23">
        <v>0.31000000000000005</v>
      </c>
      <c r="AB490" s="23">
        <v>85.22</v>
      </c>
      <c r="AC490" s="24">
        <v>582.72857142857151</v>
      </c>
      <c r="AD490" s="23">
        <v>68.87</v>
      </c>
      <c r="AE490" s="24">
        <v>429.51285714285711</v>
      </c>
      <c r="AF490" s="23"/>
      <c r="AG490" s="23"/>
      <c r="AH490" s="23">
        <v>1.38</v>
      </c>
      <c r="AI490" s="24">
        <v>0</v>
      </c>
      <c r="AJ490" s="25">
        <v>68.52</v>
      </c>
      <c r="AK490" s="23">
        <v>15.16</v>
      </c>
      <c r="AL490" s="23"/>
      <c r="AM490" s="24"/>
      <c r="AN490" s="23"/>
      <c r="AO490" s="24"/>
      <c r="AP490" s="23"/>
      <c r="AQ490" s="24"/>
      <c r="AR490" s="23">
        <v>32.1</v>
      </c>
      <c r="AS490" s="23">
        <v>-695.2</v>
      </c>
      <c r="AT490" s="23"/>
      <c r="AU490" s="24"/>
      <c r="AV490" s="32"/>
      <c r="AW490" s="27">
        <f t="shared" si="91"/>
        <v>68.520489999999995</v>
      </c>
      <c r="AX490" s="27">
        <f t="shared" si="92"/>
        <v>68.870490000000004</v>
      </c>
      <c r="AY490" s="27">
        <f t="shared" si="93"/>
        <v>85.220489999999998</v>
      </c>
      <c r="AZ490" s="27">
        <f t="shared" si="94"/>
        <v>4.8999999999999998E-4</v>
      </c>
    </row>
    <row r="491" spans="1:52" ht="15" customHeight="1" x14ac:dyDescent="0.25">
      <c r="A491" s="13" t="str">
        <f>VLOOKUP(L491,[1]VALIDAÇÃO!$D$13:$E$350,2,0)</f>
        <v>INDIRETO</v>
      </c>
      <c r="B491" s="14" t="str">
        <f t="shared" si="96"/>
        <v>17RIO AVE PRAIA HOTEL SPE LTDA.</v>
      </c>
      <c r="C491" s="15">
        <f t="shared" si="95"/>
        <v>17</v>
      </c>
      <c r="D491" s="16" t="str">
        <f t="shared" si="97"/>
        <v>23RIO AVE PRAIA HOTEL SPE LTDA.</v>
      </c>
      <c r="E491" s="17">
        <f t="shared" si="88"/>
        <v>23</v>
      </c>
      <c r="F491" s="18" t="str">
        <f t="shared" si="98"/>
        <v>24RIO AVE PRAIA HOTEL SPE LTDA.</v>
      </c>
      <c r="G491" s="18">
        <f t="shared" si="89"/>
        <v>24</v>
      </c>
      <c r="H491" s="19" t="str">
        <f t="shared" si="99"/>
        <v>24RIO AVE PRAIA HOTEL SPE LTDA.</v>
      </c>
      <c r="I491" s="19">
        <f t="shared" si="90"/>
        <v>24</v>
      </c>
      <c r="J491" s="13" t="s">
        <v>80</v>
      </c>
      <c r="K491" s="13" t="s">
        <v>606</v>
      </c>
      <c r="L491" s="13" t="s">
        <v>607</v>
      </c>
      <c r="M491" s="13" t="s">
        <v>82</v>
      </c>
      <c r="N491" s="20">
        <v>3816.95</v>
      </c>
      <c r="O491" s="20">
        <v>7687.75</v>
      </c>
      <c r="P491" s="21">
        <v>45544</v>
      </c>
      <c r="Q491" s="22"/>
      <c r="R491" s="23">
        <v>7687.75</v>
      </c>
      <c r="S491" s="24"/>
      <c r="T491" s="23"/>
      <c r="U491" s="24"/>
      <c r="V491" s="23"/>
      <c r="W491" s="23"/>
      <c r="X491" s="24"/>
      <c r="Y491" s="23"/>
      <c r="Z491" s="23"/>
      <c r="AA491" s="23"/>
      <c r="AB491" s="23"/>
      <c r="AC491" s="24"/>
      <c r="AD491" s="23"/>
      <c r="AE491" s="24"/>
      <c r="AF491" s="23"/>
      <c r="AG491" s="23"/>
      <c r="AH491" s="23"/>
      <c r="AI491" s="24"/>
      <c r="AJ491" s="25">
        <v>169.55</v>
      </c>
      <c r="AK491" s="23"/>
      <c r="AL491" s="23"/>
      <c r="AM491" s="24"/>
      <c r="AN491" s="23"/>
      <c r="AO491" s="24"/>
      <c r="AP491" s="23"/>
      <c r="AQ491" s="24"/>
      <c r="AR491" s="23"/>
      <c r="AS491" s="23">
        <v>-3416.78</v>
      </c>
      <c r="AT491" s="23"/>
      <c r="AU491" s="24"/>
      <c r="AV491" s="32"/>
      <c r="AW491" s="27">
        <f t="shared" si="91"/>
        <v>169.55049100000002</v>
      </c>
      <c r="AX491" s="27">
        <f t="shared" si="92"/>
        <v>4.9100000000000001E-4</v>
      </c>
      <c r="AY491" s="27">
        <f t="shared" si="93"/>
        <v>4.9100000000000001E-4</v>
      </c>
      <c r="AZ491" s="27">
        <f t="shared" si="94"/>
        <v>4.9100000000000001E-4</v>
      </c>
    </row>
    <row r="492" spans="1:52" ht="15" customHeight="1" x14ac:dyDescent="0.25">
      <c r="A492" s="13" t="str">
        <f>VLOOKUP(L492,[1]VALIDAÇÃO!$D$13:$E$350,2,0)</f>
        <v>DIRETO</v>
      </c>
      <c r="B492" s="14" t="str">
        <f t="shared" si="96"/>
        <v>41RIO AVE CARNEIROS 01 SPE LTDA.</v>
      </c>
      <c r="C492" s="15">
        <f t="shared" si="95"/>
        <v>41</v>
      </c>
      <c r="D492" s="16" t="str">
        <f t="shared" si="97"/>
        <v>55RIO AVE CARNEIROS 01 SPE LTDA.</v>
      </c>
      <c r="E492" s="17">
        <f t="shared" si="88"/>
        <v>55</v>
      </c>
      <c r="F492" s="18" t="str">
        <f t="shared" si="98"/>
        <v>66RIO AVE CARNEIROS 01 SPE LTDA.</v>
      </c>
      <c r="G492" s="18">
        <f t="shared" si="89"/>
        <v>66</v>
      </c>
      <c r="H492" s="19" t="str">
        <f t="shared" si="99"/>
        <v>26RIO AVE CARNEIROS 01 SPE LTDA.</v>
      </c>
      <c r="I492" s="19">
        <f t="shared" si="90"/>
        <v>26</v>
      </c>
      <c r="J492" s="13" t="s">
        <v>61</v>
      </c>
      <c r="K492" s="13" t="s">
        <v>608</v>
      </c>
      <c r="L492" s="13" t="s">
        <v>131</v>
      </c>
      <c r="M492" s="13" t="s">
        <v>55</v>
      </c>
      <c r="N492" s="20">
        <v>1054.06</v>
      </c>
      <c r="O492" s="20">
        <v>2156</v>
      </c>
      <c r="P492" s="21">
        <v>45880</v>
      </c>
      <c r="Q492" s="22"/>
      <c r="R492" s="23">
        <v>2156</v>
      </c>
      <c r="S492" s="24"/>
      <c r="T492" s="23"/>
      <c r="U492" s="24"/>
      <c r="V492" s="23"/>
      <c r="W492" s="23"/>
      <c r="X492" s="24"/>
      <c r="Y492" s="23"/>
      <c r="Z492" s="23"/>
      <c r="AA492" s="23">
        <v>4.2699999999999996</v>
      </c>
      <c r="AB492" s="23">
        <v>91.12</v>
      </c>
      <c r="AC492" s="24">
        <v>846.78571428571422</v>
      </c>
      <c r="AD492" s="23">
        <v>134.29</v>
      </c>
      <c r="AE492" s="24">
        <v>1006.2857142857142</v>
      </c>
      <c r="AF492" s="23"/>
      <c r="AG492" s="23"/>
      <c r="AH492" s="23">
        <v>18.850000000000001</v>
      </c>
      <c r="AI492" s="24">
        <v>0</v>
      </c>
      <c r="AJ492" s="25">
        <v>495.19</v>
      </c>
      <c r="AK492" s="23">
        <v>111.78</v>
      </c>
      <c r="AL492" s="23">
        <v>-2.1</v>
      </c>
      <c r="AM492" s="24">
        <v>12</v>
      </c>
      <c r="AN492" s="23">
        <v>-154</v>
      </c>
      <c r="AO492" s="24">
        <v>2</v>
      </c>
      <c r="AP492" s="23">
        <v>43.81</v>
      </c>
      <c r="AQ492" s="24">
        <v>346.07142857142856</v>
      </c>
      <c r="AR492" s="23">
        <v>57.04</v>
      </c>
      <c r="AS492" s="23">
        <v>-1014</v>
      </c>
      <c r="AT492" s="23">
        <v>-231</v>
      </c>
      <c r="AU492" s="24">
        <v>3</v>
      </c>
      <c r="AV492" s="32"/>
      <c r="AW492" s="27">
        <f t="shared" si="91"/>
        <v>495.19049200000001</v>
      </c>
      <c r="AX492" s="27">
        <f t="shared" si="92"/>
        <v>134.290492</v>
      </c>
      <c r="AY492" s="27">
        <f t="shared" si="93"/>
        <v>91.120491999999999</v>
      </c>
      <c r="AZ492" s="27">
        <f t="shared" si="94"/>
        <v>43.810492000000004</v>
      </c>
    </row>
    <row r="493" spans="1:52" ht="15" customHeight="1" x14ac:dyDescent="0.25">
      <c r="A493" s="13" t="str">
        <f>VLOOKUP(L493,[1]VALIDAÇÃO!$D$13:$E$350,2,0)</f>
        <v>DIRETO</v>
      </c>
      <c r="B493" s="14" t="str">
        <f t="shared" si="96"/>
        <v>108RESERVA DO PAIVA SPE 03 LTDA</v>
      </c>
      <c r="C493" s="15">
        <f t="shared" si="95"/>
        <v>108</v>
      </c>
      <c r="D493" s="16" t="str">
        <f t="shared" si="97"/>
        <v>44RESERVA DO PAIVA SPE 03 LTDA</v>
      </c>
      <c r="E493" s="17">
        <f t="shared" si="88"/>
        <v>44</v>
      </c>
      <c r="F493" s="18" t="str">
        <f t="shared" si="98"/>
        <v>107RESERVA DO PAIVA SPE 03 LTDA</v>
      </c>
      <c r="G493" s="18">
        <f t="shared" si="89"/>
        <v>107</v>
      </c>
      <c r="H493" s="19" t="str">
        <f t="shared" si="99"/>
        <v>40RESERVA DO PAIVA SPE 03 LTDA</v>
      </c>
      <c r="I493" s="19">
        <f t="shared" si="90"/>
        <v>40</v>
      </c>
      <c r="J493" s="13" t="s">
        <v>52</v>
      </c>
      <c r="K493" s="13" t="s">
        <v>609</v>
      </c>
      <c r="L493" s="13" t="s">
        <v>54</v>
      </c>
      <c r="M493" s="13" t="s">
        <v>55</v>
      </c>
      <c r="N493" s="20">
        <v>1041.42</v>
      </c>
      <c r="O493" s="20">
        <v>1622.13</v>
      </c>
      <c r="P493" s="21">
        <v>45938</v>
      </c>
      <c r="Q493" s="22"/>
      <c r="R493" s="23">
        <v>1622.13</v>
      </c>
      <c r="S493" s="24"/>
      <c r="T493" s="23"/>
      <c r="U493" s="24"/>
      <c r="V493" s="23"/>
      <c r="W493" s="23"/>
      <c r="X493" s="24"/>
      <c r="Y493" s="23"/>
      <c r="Z493" s="23"/>
      <c r="AA493" s="23">
        <v>3.04</v>
      </c>
      <c r="AB493" s="23">
        <v>37.33</v>
      </c>
      <c r="AC493" s="24">
        <v>680.71428571428567</v>
      </c>
      <c r="AD493" s="23">
        <v>351.94</v>
      </c>
      <c r="AE493" s="24">
        <v>2359.1428571428569</v>
      </c>
      <c r="AF493" s="23"/>
      <c r="AG493" s="23"/>
      <c r="AH493" s="23">
        <v>11.620000000000001</v>
      </c>
      <c r="AI493" s="24">
        <v>0</v>
      </c>
      <c r="AJ493" s="25">
        <v>103.38</v>
      </c>
      <c r="AK493" s="23">
        <v>24.330000000000002</v>
      </c>
      <c r="AL493" s="23"/>
      <c r="AM493" s="24"/>
      <c r="AN493" s="23"/>
      <c r="AO493" s="24"/>
      <c r="AP493" s="23">
        <v>146.54</v>
      </c>
      <c r="AQ493" s="24">
        <v>2271.4285714285716</v>
      </c>
      <c r="AR493" s="23">
        <v>136.85</v>
      </c>
      <c r="AS493" s="23">
        <v>-695.2</v>
      </c>
      <c r="AT493" s="23"/>
      <c r="AU493" s="24"/>
      <c r="AV493" s="32"/>
      <c r="AW493" s="27">
        <f t="shared" si="91"/>
        <v>103.380493</v>
      </c>
      <c r="AX493" s="27">
        <f t="shared" si="92"/>
        <v>351.940493</v>
      </c>
      <c r="AY493" s="27">
        <f t="shared" si="93"/>
        <v>37.330492999999997</v>
      </c>
      <c r="AZ493" s="27">
        <f t="shared" si="94"/>
        <v>146.540493</v>
      </c>
    </row>
    <row r="494" spans="1:52" ht="15" customHeight="1" x14ac:dyDescent="0.25">
      <c r="A494" s="13" t="str">
        <f>VLOOKUP(L494,[1]VALIDAÇÃO!$D$13:$E$350,2,0)</f>
        <v>DIRETO</v>
      </c>
      <c r="B494" s="14" t="str">
        <f t="shared" si="96"/>
        <v>44RIO AVE 130 SPE LTDA</v>
      </c>
      <c r="C494" s="15">
        <f t="shared" si="95"/>
        <v>44</v>
      </c>
      <c r="D494" s="16" t="str">
        <f t="shared" si="97"/>
        <v>12RIO AVE 130 SPE LTDA</v>
      </c>
      <c r="E494" s="17">
        <f t="shared" si="88"/>
        <v>12</v>
      </c>
      <c r="F494" s="18" t="str">
        <f t="shared" si="98"/>
        <v>33RIO AVE 130 SPE LTDA</v>
      </c>
      <c r="G494" s="18">
        <f t="shared" si="89"/>
        <v>33</v>
      </c>
      <c r="H494" s="19" t="str">
        <f t="shared" si="99"/>
        <v>49RIO AVE 130 SPE LTDA</v>
      </c>
      <c r="I494" s="19">
        <f t="shared" si="90"/>
        <v>49</v>
      </c>
      <c r="J494" s="13" t="s">
        <v>102</v>
      </c>
      <c r="K494" s="13" t="s">
        <v>610</v>
      </c>
      <c r="L494" s="13" t="s">
        <v>54</v>
      </c>
      <c r="M494" s="13" t="s">
        <v>55</v>
      </c>
      <c r="N494" s="20">
        <v>1524.76</v>
      </c>
      <c r="O494" s="20">
        <v>1622.13</v>
      </c>
      <c r="P494" s="21">
        <v>44970</v>
      </c>
      <c r="Q494" s="22"/>
      <c r="R494" s="23">
        <v>1622.13</v>
      </c>
      <c r="S494" s="24"/>
      <c r="T494" s="23"/>
      <c r="U494" s="24"/>
      <c r="V494" s="23"/>
      <c r="W494" s="23"/>
      <c r="X494" s="24"/>
      <c r="Y494" s="23"/>
      <c r="Z494" s="23"/>
      <c r="AA494" s="23">
        <v>7.95</v>
      </c>
      <c r="AB494" s="23">
        <v>150.91</v>
      </c>
      <c r="AC494" s="24">
        <v>727.83714285714291</v>
      </c>
      <c r="AD494" s="23">
        <v>674.07</v>
      </c>
      <c r="AE494" s="24">
        <v>3323.95</v>
      </c>
      <c r="AF494" s="23"/>
      <c r="AG494" s="23"/>
      <c r="AH494" s="23">
        <v>36.120000000000005</v>
      </c>
      <c r="AI494" s="24">
        <v>0</v>
      </c>
      <c r="AJ494" s="25">
        <v>385.66999999999996</v>
      </c>
      <c r="AK494" s="23">
        <v>85.38</v>
      </c>
      <c r="AL494" s="23">
        <v>-10.66</v>
      </c>
      <c r="AM494" s="24">
        <v>81</v>
      </c>
      <c r="AN494" s="23"/>
      <c r="AO494" s="24"/>
      <c r="AP494" s="23"/>
      <c r="AQ494" s="24"/>
      <c r="AR494" s="23">
        <v>174.04999999999998</v>
      </c>
      <c r="AS494" s="23">
        <v>-795.2</v>
      </c>
      <c r="AT494" s="23"/>
      <c r="AU494" s="24"/>
      <c r="AV494" s="32"/>
      <c r="AW494" s="27">
        <f t="shared" si="91"/>
        <v>385.67049399999996</v>
      </c>
      <c r="AX494" s="27">
        <f t="shared" si="92"/>
        <v>674.07049400000005</v>
      </c>
      <c r="AY494" s="27">
        <f t="shared" si="93"/>
        <v>150.910494</v>
      </c>
      <c r="AZ494" s="27">
        <f t="shared" si="94"/>
        <v>4.9399999999999997E-4</v>
      </c>
    </row>
    <row r="495" spans="1:52" ht="15" customHeight="1" x14ac:dyDescent="0.25">
      <c r="A495" s="13" t="str">
        <f>VLOOKUP(L495,[1]VALIDAÇÃO!$D$13:$E$350,2,0)</f>
        <v>DIRETO</v>
      </c>
      <c r="B495" s="14" t="str">
        <f t="shared" si="96"/>
        <v>143RESERVA DO PAIVA SPE 03 LTDA</v>
      </c>
      <c r="C495" s="15">
        <f t="shared" si="95"/>
        <v>143</v>
      </c>
      <c r="D495" s="16" t="str">
        <f t="shared" si="97"/>
        <v>146RESERVA DO PAIVA SPE 03 LTDA</v>
      </c>
      <c r="E495" s="17">
        <f t="shared" si="88"/>
        <v>146</v>
      </c>
      <c r="F495" s="18" t="str">
        <f t="shared" si="98"/>
        <v>62RESERVA DO PAIVA SPE 03 LTDA</v>
      </c>
      <c r="G495" s="18">
        <f t="shared" si="89"/>
        <v>62</v>
      </c>
      <c r="H495" s="19" t="str">
        <f t="shared" si="99"/>
        <v>36RESERVA DO PAIVA SPE 03 LTDA</v>
      </c>
      <c r="I495" s="19">
        <f t="shared" si="90"/>
        <v>36</v>
      </c>
      <c r="J495" s="13" t="s">
        <v>52</v>
      </c>
      <c r="K495" s="13" t="s">
        <v>611</v>
      </c>
      <c r="L495" s="13" t="s">
        <v>54</v>
      </c>
      <c r="M495" s="13" t="s">
        <v>55</v>
      </c>
      <c r="N495" s="20">
        <v>976.26</v>
      </c>
      <c r="O495" s="20">
        <v>1622.13</v>
      </c>
      <c r="P495" s="21">
        <v>45964</v>
      </c>
      <c r="Q495" s="22"/>
      <c r="R495" s="23">
        <v>1622.13</v>
      </c>
      <c r="S495" s="24"/>
      <c r="T495" s="23"/>
      <c r="U495" s="24"/>
      <c r="V495" s="23"/>
      <c r="W495" s="23"/>
      <c r="X495" s="24"/>
      <c r="Y495" s="23"/>
      <c r="Z495" s="23"/>
      <c r="AA495" s="23"/>
      <c r="AB495" s="23">
        <v>136.77000000000001</v>
      </c>
      <c r="AC495" s="24">
        <v>1251</v>
      </c>
      <c r="AD495" s="23">
        <v>6.56</v>
      </c>
      <c r="AE495" s="24">
        <v>176</v>
      </c>
      <c r="AF495" s="23"/>
      <c r="AG495" s="23"/>
      <c r="AH495" s="23"/>
      <c r="AI495" s="24"/>
      <c r="AJ495" s="25"/>
      <c r="AK495" s="23"/>
      <c r="AL495" s="23">
        <v>-27.39</v>
      </c>
      <c r="AM495" s="24">
        <v>208</v>
      </c>
      <c r="AN495" s="23"/>
      <c r="AO495" s="24"/>
      <c r="AP495" s="23">
        <v>175.20999999999998</v>
      </c>
      <c r="AQ495" s="24">
        <v>1292</v>
      </c>
      <c r="AR495" s="23">
        <v>73.03</v>
      </c>
      <c r="AS495" s="23">
        <v>-695.2</v>
      </c>
      <c r="AT495" s="23"/>
      <c r="AU495" s="24"/>
      <c r="AV495" s="32"/>
      <c r="AW495" s="27">
        <f t="shared" si="91"/>
        <v>4.95E-4</v>
      </c>
      <c r="AX495" s="27">
        <f t="shared" si="92"/>
        <v>6.5604949999999995</v>
      </c>
      <c r="AY495" s="27">
        <f t="shared" si="93"/>
        <v>136.77049500000001</v>
      </c>
      <c r="AZ495" s="27">
        <f t="shared" si="94"/>
        <v>175.21049499999998</v>
      </c>
    </row>
    <row r="496" spans="1:52" ht="15" customHeight="1" x14ac:dyDescent="0.25">
      <c r="A496" s="13" t="str">
        <f>VLOOKUP(L496,[1]VALIDAÇÃO!$D$13:$E$350,2,0)</f>
        <v>DIRETO</v>
      </c>
      <c r="B496" s="14" t="str">
        <f t="shared" si="96"/>
        <v>101RESERVA DO PAIVA SPE 03 LTDA</v>
      </c>
      <c r="C496" s="15">
        <f t="shared" si="95"/>
        <v>101</v>
      </c>
      <c r="D496" s="16" t="str">
        <f t="shared" si="97"/>
        <v>28RESERVA DO PAIVA SPE 03 LTDA</v>
      </c>
      <c r="E496" s="17">
        <f t="shared" si="88"/>
        <v>28</v>
      </c>
      <c r="F496" s="18" t="str">
        <f t="shared" si="98"/>
        <v>51RESERVA DO PAIVA SPE 03 LTDA</v>
      </c>
      <c r="G496" s="18">
        <f t="shared" si="89"/>
        <v>51</v>
      </c>
      <c r="H496" s="19" t="str">
        <f t="shared" si="99"/>
        <v>20RESERVA DO PAIVA SPE 03 LTDA</v>
      </c>
      <c r="I496" s="19">
        <f t="shared" si="90"/>
        <v>20</v>
      </c>
      <c r="J496" s="13" t="s">
        <v>52</v>
      </c>
      <c r="K496" s="13" t="s">
        <v>612</v>
      </c>
      <c r="L496" s="13" t="s">
        <v>54</v>
      </c>
      <c r="M496" s="13" t="s">
        <v>55</v>
      </c>
      <c r="N496" s="20">
        <v>1420.72</v>
      </c>
      <c r="O496" s="20">
        <v>1622.13</v>
      </c>
      <c r="P496" s="21">
        <v>45873</v>
      </c>
      <c r="Q496" s="22"/>
      <c r="R496" s="23">
        <v>1622.13</v>
      </c>
      <c r="S496" s="24"/>
      <c r="T496" s="23"/>
      <c r="U496" s="24"/>
      <c r="V496" s="23"/>
      <c r="W496" s="23"/>
      <c r="X496" s="24"/>
      <c r="Y496" s="23"/>
      <c r="Z496" s="23"/>
      <c r="AA496" s="23">
        <v>4.2699999999999996</v>
      </c>
      <c r="AB496" s="23">
        <v>173.07999999999998</v>
      </c>
      <c r="AC496" s="24">
        <v>1501</v>
      </c>
      <c r="AD496" s="23">
        <v>490.98</v>
      </c>
      <c r="AE496" s="24">
        <v>3676.9285714285716</v>
      </c>
      <c r="AF496" s="23"/>
      <c r="AG496" s="23"/>
      <c r="AH496" s="23">
        <v>19.25</v>
      </c>
      <c r="AI496" s="24">
        <v>0</v>
      </c>
      <c r="AJ496" s="25">
        <v>126.51</v>
      </c>
      <c r="AK496" s="23">
        <v>27.810000000000002</v>
      </c>
      <c r="AL496" s="23"/>
      <c r="AM496" s="24"/>
      <c r="AN496" s="23"/>
      <c r="AO496" s="24"/>
      <c r="AP496" s="23">
        <v>270.7</v>
      </c>
      <c r="AQ496" s="24">
        <v>1778</v>
      </c>
      <c r="AR496" s="23">
        <v>208.04</v>
      </c>
      <c r="AS496" s="23">
        <v>-695.2</v>
      </c>
      <c r="AT496" s="23"/>
      <c r="AU496" s="24"/>
      <c r="AV496" s="32"/>
      <c r="AW496" s="27">
        <f t="shared" si="91"/>
        <v>126.510496</v>
      </c>
      <c r="AX496" s="27">
        <f t="shared" si="92"/>
        <v>490.98049600000002</v>
      </c>
      <c r="AY496" s="27">
        <f t="shared" si="93"/>
        <v>173.08049599999998</v>
      </c>
      <c r="AZ496" s="27">
        <f t="shared" si="94"/>
        <v>270.70049599999999</v>
      </c>
    </row>
    <row r="497" spans="1:52" ht="15" customHeight="1" x14ac:dyDescent="0.25">
      <c r="A497" s="13" t="str">
        <f>VLOOKUP(L497,[1]VALIDAÇÃO!$D$13:$E$350,2,0)</f>
        <v>DIRETO</v>
      </c>
      <c r="B497" s="14" t="str">
        <f t="shared" si="96"/>
        <v>77CONDOMINIO DO EDIFICIO EMPRESARIAL MARIE CURIE</v>
      </c>
      <c r="C497" s="15">
        <f t="shared" si="95"/>
        <v>77</v>
      </c>
      <c r="D497" s="16" t="str">
        <f t="shared" si="97"/>
        <v>114CONDOMINIO DO EDIFICIO EMPRESARIAL MARIE CURIE</v>
      </c>
      <c r="E497" s="17">
        <f t="shared" si="88"/>
        <v>114</v>
      </c>
      <c r="F497" s="18" t="str">
        <f t="shared" si="98"/>
        <v>87CONDOMINIO DO EDIFICIO EMPRESARIAL MARIE CURIE</v>
      </c>
      <c r="G497" s="18">
        <f t="shared" si="89"/>
        <v>87</v>
      </c>
      <c r="H497" s="19" t="str">
        <f t="shared" si="99"/>
        <v>68CONDOMINIO DO EDIFICIO EMPRESARIAL MARIE CURIE</v>
      </c>
      <c r="I497" s="19">
        <f t="shared" si="90"/>
        <v>68</v>
      </c>
      <c r="J497" s="13" t="s">
        <v>57</v>
      </c>
      <c r="K497" s="13" t="s">
        <v>613</v>
      </c>
      <c r="L497" s="13" t="s">
        <v>54</v>
      </c>
      <c r="M497" s="13" t="s">
        <v>60</v>
      </c>
      <c r="N497" s="20">
        <v>837.62</v>
      </c>
      <c r="O497" s="20">
        <v>1622.13</v>
      </c>
      <c r="P497" s="21">
        <v>45874</v>
      </c>
      <c r="Q497" s="22"/>
      <c r="R497" s="23">
        <v>1622.13</v>
      </c>
      <c r="S497" s="24"/>
      <c r="T497" s="23"/>
      <c r="U497" s="24"/>
      <c r="V497" s="23"/>
      <c r="W497" s="23"/>
      <c r="X497" s="24"/>
      <c r="Y497" s="23"/>
      <c r="Z497" s="23"/>
      <c r="AA497" s="23">
        <v>0.13</v>
      </c>
      <c r="AB497" s="23">
        <v>8.6999999999999993</v>
      </c>
      <c r="AC497" s="24">
        <v>107.57142857142856</v>
      </c>
      <c r="AD497" s="23">
        <v>5.18</v>
      </c>
      <c r="AE497" s="24">
        <v>44.318571428571431</v>
      </c>
      <c r="AF497" s="23"/>
      <c r="AG497" s="23"/>
      <c r="AH497" s="23">
        <v>0.65</v>
      </c>
      <c r="AI497" s="24">
        <v>0</v>
      </c>
      <c r="AJ497" s="25">
        <v>264.53000000000003</v>
      </c>
      <c r="AK497" s="23">
        <v>58.53</v>
      </c>
      <c r="AL497" s="23"/>
      <c r="AM497" s="24"/>
      <c r="AN497" s="23"/>
      <c r="AO497" s="24"/>
      <c r="AP497" s="23"/>
      <c r="AQ497" s="24"/>
      <c r="AR497" s="23">
        <v>2.73</v>
      </c>
      <c r="AS497" s="23">
        <v>-695.2</v>
      </c>
      <c r="AT497" s="23"/>
      <c r="AU497" s="24"/>
      <c r="AV497" s="32"/>
      <c r="AW497" s="27">
        <f t="shared" si="91"/>
        <v>264.53049700000003</v>
      </c>
      <c r="AX497" s="27">
        <f t="shared" si="92"/>
        <v>5.1804969999999999</v>
      </c>
      <c r="AY497" s="27">
        <f t="shared" si="93"/>
        <v>8.7004969999999986</v>
      </c>
      <c r="AZ497" s="27">
        <f t="shared" si="94"/>
        <v>4.9700000000000005E-4</v>
      </c>
    </row>
    <row r="498" spans="1:52" ht="15" customHeight="1" x14ac:dyDescent="0.25">
      <c r="A498" s="13" t="str">
        <f>VLOOKUP(L498,[1]VALIDAÇÃO!$D$13:$E$350,2,0)</f>
        <v>DIRETO</v>
      </c>
      <c r="B498" s="14" t="str">
        <f t="shared" si="96"/>
        <v>49RESERVA DO PAIVA SPE 03 LTDA</v>
      </c>
      <c r="C498" s="15">
        <f t="shared" si="95"/>
        <v>49</v>
      </c>
      <c r="D498" s="16" t="str">
        <f t="shared" si="97"/>
        <v>35RESERVA DO PAIVA SPE 03 LTDA</v>
      </c>
      <c r="E498" s="17">
        <f t="shared" si="88"/>
        <v>35</v>
      </c>
      <c r="F498" s="18" t="str">
        <f t="shared" si="98"/>
        <v>70RESERVA DO PAIVA SPE 03 LTDA</v>
      </c>
      <c r="G498" s="18">
        <f t="shared" si="89"/>
        <v>70</v>
      </c>
      <c r="H498" s="19" t="str">
        <f t="shared" si="99"/>
        <v>106RESERVA DO PAIVA SPE 03 LTDA</v>
      </c>
      <c r="I498" s="19">
        <f t="shared" si="90"/>
        <v>106</v>
      </c>
      <c r="J498" s="13" t="s">
        <v>52</v>
      </c>
      <c r="K498" s="13" t="s">
        <v>614</v>
      </c>
      <c r="L498" s="13" t="s">
        <v>63</v>
      </c>
      <c r="M498" s="13" t="s">
        <v>55</v>
      </c>
      <c r="N498" s="20">
        <v>1036.99</v>
      </c>
      <c r="O498" s="20">
        <v>2156</v>
      </c>
      <c r="P498" s="21">
        <v>45460</v>
      </c>
      <c r="Q498" s="22"/>
      <c r="R498" s="23">
        <v>2156</v>
      </c>
      <c r="S498" s="24"/>
      <c r="T498" s="23"/>
      <c r="U498" s="24"/>
      <c r="V498" s="23"/>
      <c r="W498" s="23">
        <v>2.44</v>
      </c>
      <c r="X498" s="24">
        <v>65.23</v>
      </c>
      <c r="Y498" s="23"/>
      <c r="Z498" s="23"/>
      <c r="AA498" s="23">
        <v>3.4</v>
      </c>
      <c r="AB498" s="23">
        <v>110.74</v>
      </c>
      <c r="AC498" s="24">
        <v>519.84571428571428</v>
      </c>
      <c r="AD498" s="23">
        <v>411.23</v>
      </c>
      <c r="AE498" s="24">
        <v>1737.8214285714287</v>
      </c>
      <c r="AF498" s="23"/>
      <c r="AG498" s="23"/>
      <c r="AH498" s="23">
        <v>15.659999999999998</v>
      </c>
      <c r="AI498" s="24">
        <v>0</v>
      </c>
      <c r="AJ498" s="25">
        <v>312.14999999999998</v>
      </c>
      <c r="AK498" s="23">
        <v>67.290000000000006</v>
      </c>
      <c r="AL498" s="23"/>
      <c r="AM498" s="24"/>
      <c r="AN498" s="23"/>
      <c r="AO498" s="24"/>
      <c r="AP498" s="23"/>
      <c r="AQ498" s="24"/>
      <c r="AR498" s="23">
        <v>110.44</v>
      </c>
      <c r="AS498" s="23">
        <v>-924</v>
      </c>
      <c r="AT498" s="23"/>
      <c r="AU498" s="24"/>
      <c r="AV498" s="32"/>
      <c r="AW498" s="27">
        <f t="shared" si="91"/>
        <v>312.15049799999997</v>
      </c>
      <c r="AX498" s="27">
        <f t="shared" si="92"/>
        <v>411.23049800000001</v>
      </c>
      <c r="AY498" s="27">
        <f t="shared" si="93"/>
        <v>110.74049799999999</v>
      </c>
      <c r="AZ498" s="27">
        <f t="shared" si="94"/>
        <v>4.9799999999999996E-4</v>
      </c>
    </row>
    <row r="499" spans="1:52" ht="15" customHeight="1" x14ac:dyDescent="0.25">
      <c r="A499" s="13" t="str">
        <f>VLOOKUP(L499,[1]VALIDAÇÃO!$D$13:$E$350,2,0)</f>
        <v>DIRETO</v>
      </c>
      <c r="B499" s="14" t="str">
        <f t="shared" si="96"/>
        <v>40RESERVA DO PAIVA SPE 03 LTDA</v>
      </c>
      <c r="C499" s="15">
        <f t="shared" si="95"/>
        <v>40</v>
      </c>
      <c r="D499" s="16" t="str">
        <f t="shared" si="97"/>
        <v>48RESERVA DO PAIVA SPE 03 LTDA</v>
      </c>
      <c r="E499" s="17">
        <f t="shared" si="88"/>
        <v>48</v>
      </c>
      <c r="F499" s="18" t="str">
        <f t="shared" si="98"/>
        <v>26RESERVA DO PAIVA SPE 03 LTDA</v>
      </c>
      <c r="G499" s="18">
        <f t="shared" si="89"/>
        <v>26</v>
      </c>
      <c r="H499" s="19" t="str">
        <f t="shared" si="99"/>
        <v>105RESERVA DO PAIVA SPE 03 LTDA</v>
      </c>
      <c r="I499" s="19">
        <f t="shared" si="90"/>
        <v>105</v>
      </c>
      <c r="J499" s="13" t="s">
        <v>52</v>
      </c>
      <c r="K499" s="13" t="s">
        <v>615</v>
      </c>
      <c r="L499" s="13" t="s">
        <v>63</v>
      </c>
      <c r="M499" s="13" t="s">
        <v>55</v>
      </c>
      <c r="N499" s="20">
        <v>1304.01</v>
      </c>
      <c r="O499" s="20">
        <v>2156</v>
      </c>
      <c r="P499" s="21">
        <v>45511</v>
      </c>
      <c r="Q499" s="22"/>
      <c r="R499" s="23">
        <v>2156</v>
      </c>
      <c r="S499" s="24"/>
      <c r="T499" s="23"/>
      <c r="U499" s="24"/>
      <c r="V499" s="23"/>
      <c r="W499" s="23">
        <v>0.54</v>
      </c>
      <c r="X499" s="24">
        <v>13.94</v>
      </c>
      <c r="Y499" s="23"/>
      <c r="Z499" s="23"/>
      <c r="AA499" s="23">
        <v>4.2</v>
      </c>
      <c r="AB499" s="23">
        <v>285.38</v>
      </c>
      <c r="AC499" s="24">
        <v>1088.5028571428572</v>
      </c>
      <c r="AD499" s="23">
        <v>330.19</v>
      </c>
      <c r="AE499" s="24">
        <v>1363.1885714285713</v>
      </c>
      <c r="AF499" s="23"/>
      <c r="AG499" s="23"/>
      <c r="AH499" s="23">
        <v>19.48</v>
      </c>
      <c r="AI499" s="24">
        <v>0</v>
      </c>
      <c r="AJ499" s="25">
        <v>355.52</v>
      </c>
      <c r="AK499" s="23">
        <v>76.09</v>
      </c>
      <c r="AL499" s="23"/>
      <c r="AM499" s="24"/>
      <c r="AN499" s="23">
        <v>-77</v>
      </c>
      <c r="AO499" s="24">
        <v>1</v>
      </c>
      <c r="AP499" s="23"/>
      <c r="AQ499" s="24"/>
      <c r="AR499" s="23">
        <v>131.88999999999999</v>
      </c>
      <c r="AS499" s="23">
        <v>-924</v>
      </c>
      <c r="AT499" s="23">
        <v>-77</v>
      </c>
      <c r="AU499" s="24">
        <v>1</v>
      </c>
      <c r="AV499" s="32"/>
      <c r="AW499" s="27">
        <f t="shared" si="91"/>
        <v>355.52049899999997</v>
      </c>
      <c r="AX499" s="27">
        <f t="shared" si="92"/>
        <v>330.19049899999999</v>
      </c>
      <c r="AY499" s="27">
        <f t="shared" si="93"/>
        <v>285.38049899999999</v>
      </c>
      <c r="AZ499" s="27">
        <f t="shared" si="94"/>
        <v>4.9899999999999999E-4</v>
      </c>
    </row>
    <row r="500" spans="1:52" ht="15" customHeight="1" x14ac:dyDescent="0.25">
      <c r="A500" s="13" t="str">
        <f>VLOOKUP(L500,[1]VALIDAÇÃO!$D$13:$E$350,2,0)</f>
        <v>DIRETO</v>
      </c>
      <c r="B500" s="14" t="str">
        <f t="shared" si="96"/>
        <v>20RESERVA DO PAIVA SPE 03 LTDA</v>
      </c>
      <c r="C500" s="15">
        <f t="shared" si="95"/>
        <v>20</v>
      </c>
      <c r="D500" s="16" t="str">
        <f t="shared" si="97"/>
        <v>111RESERVA DO PAIVA SPE 03 LTDA</v>
      </c>
      <c r="E500" s="17">
        <f t="shared" si="88"/>
        <v>111</v>
      </c>
      <c r="F500" s="18" t="str">
        <f t="shared" si="98"/>
        <v>98RESERVA DO PAIVA SPE 03 LTDA</v>
      </c>
      <c r="G500" s="18">
        <f t="shared" si="89"/>
        <v>98</v>
      </c>
      <c r="H500" s="19" t="str">
        <f t="shared" si="99"/>
        <v>104RESERVA DO PAIVA SPE 03 LTDA</v>
      </c>
      <c r="I500" s="19">
        <f t="shared" si="90"/>
        <v>104</v>
      </c>
      <c r="J500" s="13" t="s">
        <v>52</v>
      </c>
      <c r="K500" s="13" t="s">
        <v>616</v>
      </c>
      <c r="L500" s="13" t="s">
        <v>54</v>
      </c>
      <c r="M500" s="13" t="s">
        <v>55</v>
      </c>
      <c r="N500" s="20">
        <v>1299.32</v>
      </c>
      <c r="O500" s="20">
        <v>1622.13</v>
      </c>
      <c r="P500" s="21">
        <v>45756</v>
      </c>
      <c r="Q500" s="22"/>
      <c r="R500" s="23">
        <v>1622.13</v>
      </c>
      <c r="S500" s="24"/>
      <c r="T500" s="23"/>
      <c r="U500" s="24"/>
      <c r="V500" s="23"/>
      <c r="W500" s="23"/>
      <c r="X500" s="24"/>
      <c r="Y500" s="23"/>
      <c r="Z500" s="23"/>
      <c r="AA500" s="23">
        <v>2.25</v>
      </c>
      <c r="AB500" s="23">
        <v>50.680000000000007</v>
      </c>
      <c r="AC500" s="24">
        <v>380.51428571428573</v>
      </c>
      <c r="AD500" s="23">
        <v>97.75</v>
      </c>
      <c r="AE500" s="24">
        <v>716.84142857142865</v>
      </c>
      <c r="AF500" s="23"/>
      <c r="AG500" s="23"/>
      <c r="AH500" s="23">
        <v>9.76</v>
      </c>
      <c r="AI500" s="24">
        <v>0</v>
      </c>
      <c r="AJ500" s="25">
        <v>620.78</v>
      </c>
      <c r="AK500" s="23">
        <v>139.38</v>
      </c>
      <c r="AL500" s="23">
        <v>-26.2</v>
      </c>
      <c r="AM500" s="24">
        <v>199</v>
      </c>
      <c r="AN500" s="23"/>
      <c r="AO500" s="24"/>
      <c r="AP500" s="23"/>
      <c r="AQ500" s="24"/>
      <c r="AR500" s="23">
        <v>33.4</v>
      </c>
      <c r="AS500" s="23">
        <v>-769.2</v>
      </c>
      <c r="AT500" s="23"/>
      <c r="AU500" s="24"/>
      <c r="AV500" s="32"/>
      <c r="AW500" s="27">
        <f t="shared" si="91"/>
        <v>620.78049999999996</v>
      </c>
      <c r="AX500" s="27">
        <f t="shared" si="92"/>
        <v>97.750500000000002</v>
      </c>
      <c r="AY500" s="27">
        <f t="shared" si="93"/>
        <v>50.680500000000009</v>
      </c>
      <c r="AZ500" s="27">
        <f t="shared" si="94"/>
        <v>5.0000000000000001E-4</v>
      </c>
    </row>
    <row r="501" spans="1:52" ht="15" customHeight="1" x14ac:dyDescent="0.25">
      <c r="A501" s="13" t="str">
        <f>VLOOKUP(L501,[1]VALIDAÇÃO!$D$13:$E$350,2,0)</f>
        <v>INDIRETO</v>
      </c>
      <c r="B501" s="14" t="str">
        <f t="shared" si="96"/>
        <v>116CONDOMINIO DO EDIFICIO EMPRESARIAL MARIE CURIE</v>
      </c>
      <c r="C501" s="15">
        <f t="shared" si="95"/>
        <v>116</v>
      </c>
      <c r="D501" s="16" t="str">
        <f t="shared" si="97"/>
        <v>124CONDOMINIO DO EDIFICIO EMPRESARIAL MARIE CURIE</v>
      </c>
      <c r="E501" s="17">
        <f t="shared" si="88"/>
        <v>124</v>
      </c>
      <c r="F501" s="18" t="str">
        <f t="shared" si="98"/>
        <v>105CONDOMINIO DO EDIFICIO EMPRESARIAL MARIE CURIE</v>
      </c>
      <c r="G501" s="18">
        <f t="shared" si="89"/>
        <v>105</v>
      </c>
      <c r="H501" s="19" t="str">
        <f t="shared" si="99"/>
        <v>67CONDOMINIO DO EDIFICIO EMPRESARIAL MARIE CURIE</v>
      </c>
      <c r="I501" s="19">
        <f t="shared" si="90"/>
        <v>67</v>
      </c>
      <c r="J501" s="13" t="s">
        <v>57</v>
      </c>
      <c r="K501" s="13" t="s">
        <v>617</v>
      </c>
      <c r="L501" s="13" t="s">
        <v>618</v>
      </c>
      <c r="M501" s="13" t="s">
        <v>60</v>
      </c>
      <c r="N501" s="20">
        <v>1379.8</v>
      </c>
      <c r="O501" s="20"/>
      <c r="P501" s="21">
        <v>45707</v>
      </c>
      <c r="Q501" s="22"/>
      <c r="R501" s="23"/>
      <c r="S501" s="24"/>
      <c r="T501" s="23"/>
      <c r="U501" s="24"/>
      <c r="V501" s="23"/>
      <c r="W501" s="23"/>
      <c r="X501" s="24"/>
      <c r="Y501" s="23"/>
      <c r="Z501" s="23"/>
      <c r="AA501" s="23"/>
      <c r="AB501" s="23"/>
      <c r="AC501" s="24"/>
      <c r="AD501" s="23"/>
      <c r="AE501" s="24"/>
      <c r="AF501" s="23"/>
      <c r="AG501" s="23"/>
      <c r="AH501" s="23"/>
      <c r="AI501" s="24"/>
      <c r="AJ501" s="25"/>
      <c r="AK501" s="23"/>
      <c r="AL501" s="23"/>
      <c r="AM501" s="24"/>
      <c r="AN501" s="23"/>
      <c r="AO501" s="24"/>
      <c r="AP501" s="23"/>
      <c r="AQ501" s="24"/>
      <c r="AR501" s="23"/>
      <c r="AS501" s="23">
        <v>-520</v>
      </c>
      <c r="AT501" s="23"/>
      <c r="AU501" s="24"/>
      <c r="AV501" s="32"/>
      <c r="AW501" s="27">
        <f t="shared" si="91"/>
        <v>5.0100000000000003E-4</v>
      </c>
      <c r="AX501" s="27">
        <f t="shared" si="92"/>
        <v>5.0100000000000003E-4</v>
      </c>
      <c r="AY501" s="27">
        <f t="shared" si="93"/>
        <v>5.0100000000000003E-4</v>
      </c>
      <c r="AZ501" s="27">
        <f t="shared" si="94"/>
        <v>5.0100000000000003E-4</v>
      </c>
    </row>
    <row r="502" spans="1:52" ht="15" customHeight="1" x14ac:dyDescent="0.25">
      <c r="A502" s="13" t="str">
        <f>VLOOKUP(L502,[1]VALIDAÇÃO!$D$13:$E$350,2,0)</f>
        <v>DIRETO</v>
      </c>
      <c r="B502" s="14" t="str">
        <f t="shared" si="96"/>
        <v>23CONDOMINIO DO EDIFICIO EMPRESARIAL MARIE CURIE</v>
      </c>
      <c r="C502" s="15">
        <f t="shared" si="95"/>
        <v>23</v>
      </c>
      <c r="D502" s="16" t="str">
        <f t="shared" si="97"/>
        <v>33CONDOMINIO DO EDIFICIO EMPRESARIAL MARIE CURIE</v>
      </c>
      <c r="E502" s="17">
        <f t="shared" si="88"/>
        <v>33</v>
      </c>
      <c r="F502" s="18" t="str">
        <f t="shared" si="98"/>
        <v>75CONDOMINIO DO EDIFICIO EMPRESARIAL MARIE CURIE</v>
      </c>
      <c r="G502" s="18">
        <f t="shared" si="89"/>
        <v>75</v>
      </c>
      <c r="H502" s="19" t="str">
        <f t="shared" si="99"/>
        <v>66CONDOMINIO DO EDIFICIO EMPRESARIAL MARIE CURIE</v>
      </c>
      <c r="I502" s="19">
        <f t="shared" si="90"/>
        <v>66</v>
      </c>
      <c r="J502" s="13" t="s">
        <v>57</v>
      </c>
      <c r="K502" s="13" t="s">
        <v>619</v>
      </c>
      <c r="L502" s="13" t="s">
        <v>59</v>
      </c>
      <c r="M502" s="13" t="s">
        <v>60</v>
      </c>
      <c r="N502" s="20">
        <v>1718.9</v>
      </c>
      <c r="O502" s="20">
        <v>2156</v>
      </c>
      <c r="P502" s="21">
        <v>45609</v>
      </c>
      <c r="Q502" s="22"/>
      <c r="R502" s="23">
        <v>2156</v>
      </c>
      <c r="S502" s="24"/>
      <c r="T502" s="23"/>
      <c r="U502" s="24"/>
      <c r="V502" s="23"/>
      <c r="W502" s="23"/>
      <c r="X502" s="24"/>
      <c r="Y502" s="23"/>
      <c r="Z502" s="23"/>
      <c r="AA502" s="23">
        <v>3.49</v>
      </c>
      <c r="AB502" s="23">
        <v>19.59</v>
      </c>
      <c r="AC502" s="24">
        <v>84.001428571428576</v>
      </c>
      <c r="AD502" s="23">
        <v>228.82999999999998</v>
      </c>
      <c r="AE502" s="24">
        <v>933.76714285714274</v>
      </c>
      <c r="AF502" s="23"/>
      <c r="AG502" s="23"/>
      <c r="AH502" s="23">
        <v>17.07</v>
      </c>
      <c r="AI502" s="24">
        <v>0</v>
      </c>
      <c r="AJ502" s="25">
        <v>876.28</v>
      </c>
      <c r="AK502" s="23">
        <v>186.47999999999996</v>
      </c>
      <c r="AL502" s="23"/>
      <c r="AM502" s="24"/>
      <c r="AN502" s="23"/>
      <c r="AO502" s="24"/>
      <c r="AP502" s="23"/>
      <c r="AQ502" s="24"/>
      <c r="AR502" s="23">
        <v>50.13</v>
      </c>
      <c r="AS502" s="23">
        <v>-986</v>
      </c>
      <c r="AT502" s="23"/>
      <c r="AU502" s="24"/>
      <c r="AV502" s="32"/>
      <c r="AW502" s="27">
        <f t="shared" si="91"/>
        <v>876.28050199999996</v>
      </c>
      <c r="AX502" s="27">
        <f t="shared" si="92"/>
        <v>228.830502</v>
      </c>
      <c r="AY502" s="27">
        <f t="shared" si="93"/>
        <v>19.590502000000001</v>
      </c>
      <c r="AZ502" s="27">
        <f t="shared" si="94"/>
        <v>5.0199999999999995E-4</v>
      </c>
    </row>
    <row r="503" spans="1:52" ht="15" customHeight="1" x14ac:dyDescent="0.25">
      <c r="A503" s="13" t="str">
        <f>VLOOKUP(L503,[1]VALIDAÇÃO!$D$13:$E$350,2,0)</f>
        <v>INDIRETO</v>
      </c>
      <c r="B503" s="14" t="str">
        <f t="shared" si="96"/>
        <v>142RESERVA DO PAIVA SPE 03 LTDA</v>
      </c>
      <c r="C503" s="15">
        <f t="shared" si="95"/>
        <v>142</v>
      </c>
      <c r="D503" s="16" t="str">
        <f t="shared" si="97"/>
        <v>158RESERVA DO PAIVA SPE 03 LTDA</v>
      </c>
      <c r="E503" s="17">
        <f t="shared" si="88"/>
        <v>158</v>
      </c>
      <c r="F503" s="18" t="str">
        <f t="shared" si="98"/>
        <v>139RESERVA DO PAIVA SPE 03 LTDA</v>
      </c>
      <c r="G503" s="18">
        <f t="shared" si="89"/>
        <v>139</v>
      </c>
      <c r="H503" s="19" t="str">
        <f t="shared" si="99"/>
        <v>103RESERVA DO PAIVA SPE 03 LTDA</v>
      </c>
      <c r="I503" s="19">
        <f t="shared" si="90"/>
        <v>103</v>
      </c>
      <c r="J503" s="13" t="s">
        <v>52</v>
      </c>
      <c r="K503" s="13" t="s">
        <v>620</v>
      </c>
      <c r="L503" s="13" t="s">
        <v>89</v>
      </c>
      <c r="M503" s="13" t="s">
        <v>85</v>
      </c>
      <c r="N503" s="20">
        <v>1263.97</v>
      </c>
      <c r="O503" s="20"/>
      <c r="P503" s="21">
        <v>45931</v>
      </c>
      <c r="Q503" s="22"/>
      <c r="R503" s="23"/>
      <c r="S503" s="24"/>
      <c r="T503" s="23"/>
      <c r="U503" s="24"/>
      <c r="V503" s="23"/>
      <c r="W503" s="23"/>
      <c r="X503" s="24"/>
      <c r="Y503" s="23"/>
      <c r="Z503" s="23"/>
      <c r="AA503" s="23"/>
      <c r="AB503" s="23"/>
      <c r="AC503" s="24"/>
      <c r="AD503" s="23"/>
      <c r="AE503" s="24"/>
      <c r="AF503" s="23"/>
      <c r="AG503" s="23"/>
      <c r="AH503" s="23"/>
      <c r="AI503" s="24"/>
      <c r="AJ503" s="25"/>
      <c r="AK503" s="23"/>
      <c r="AL503" s="23"/>
      <c r="AM503" s="24"/>
      <c r="AN503" s="23"/>
      <c r="AO503" s="24"/>
      <c r="AP503" s="23"/>
      <c r="AQ503" s="24"/>
      <c r="AR503" s="23"/>
      <c r="AS503" s="23">
        <v>-680</v>
      </c>
      <c r="AT503" s="23"/>
      <c r="AU503" s="24"/>
      <c r="AV503" s="32"/>
      <c r="AW503" s="27">
        <f t="shared" si="91"/>
        <v>5.0299999999999997E-4</v>
      </c>
      <c r="AX503" s="27">
        <f t="shared" si="92"/>
        <v>5.0299999999999997E-4</v>
      </c>
      <c r="AY503" s="27">
        <f t="shared" si="93"/>
        <v>5.0299999999999997E-4</v>
      </c>
      <c r="AZ503" s="27">
        <f t="shared" si="94"/>
        <v>5.0299999999999997E-4</v>
      </c>
    </row>
    <row r="504" spans="1:52" ht="15" customHeight="1" x14ac:dyDescent="0.25">
      <c r="A504" s="13" t="str">
        <f>VLOOKUP(L504,[1]VALIDAÇÃO!$D$13:$E$350,2,0)</f>
        <v>DIRETO</v>
      </c>
      <c r="B504" s="14" t="str">
        <f t="shared" si="96"/>
        <v>57CONDOMINIO DO EDIFICIO EMPRESARIAL MARIE CURIE</v>
      </c>
      <c r="C504" s="15">
        <f t="shared" si="95"/>
        <v>57</v>
      </c>
      <c r="D504" s="16" t="str">
        <f t="shared" si="97"/>
        <v>82CONDOMINIO DO EDIFICIO EMPRESARIAL MARIE CURIE</v>
      </c>
      <c r="E504" s="17">
        <f t="shared" si="88"/>
        <v>82</v>
      </c>
      <c r="F504" s="18" t="str">
        <f t="shared" si="98"/>
        <v>85CONDOMINIO DO EDIFICIO EMPRESARIAL MARIE CURIE</v>
      </c>
      <c r="G504" s="18">
        <f t="shared" si="89"/>
        <v>85</v>
      </c>
      <c r="H504" s="19" t="str">
        <f t="shared" si="99"/>
        <v>65CONDOMINIO DO EDIFICIO EMPRESARIAL MARIE CURIE</v>
      </c>
      <c r="I504" s="19">
        <f t="shared" si="90"/>
        <v>65</v>
      </c>
      <c r="J504" s="13" t="s">
        <v>57</v>
      </c>
      <c r="K504" s="13" t="s">
        <v>621</v>
      </c>
      <c r="L504" s="13" t="s">
        <v>54</v>
      </c>
      <c r="M504" s="13" t="s">
        <v>60</v>
      </c>
      <c r="N504" s="20">
        <v>1007.24</v>
      </c>
      <c r="O504" s="20">
        <v>1622.13</v>
      </c>
      <c r="P504" s="21">
        <v>45839</v>
      </c>
      <c r="Q504" s="22"/>
      <c r="R504" s="23">
        <v>1622.13</v>
      </c>
      <c r="S504" s="24"/>
      <c r="T504" s="23"/>
      <c r="U504" s="24"/>
      <c r="V504" s="23"/>
      <c r="W504" s="23"/>
      <c r="X504" s="24"/>
      <c r="Y504" s="23"/>
      <c r="Z504" s="23"/>
      <c r="AA504" s="23">
        <v>1</v>
      </c>
      <c r="AB504" s="23">
        <v>9.91</v>
      </c>
      <c r="AC504" s="24">
        <v>105.48571428571429</v>
      </c>
      <c r="AD504" s="23">
        <v>60.25</v>
      </c>
      <c r="AE504" s="24">
        <v>298.17571428571426</v>
      </c>
      <c r="AF504" s="23"/>
      <c r="AG504" s="23"/>
      <c r="AH504" s="23">
        <v>4.6500000000000004</v>
      </c>
      <c r="AI504" s="24">
        <v>0</v>
      </c>
      <c r="AJ504" s="25">
        <v>464.52</v>
      </c>
      <c r="AK504" s="23">
        <v>99.27000000000001</v>
      </c>
      <c r="AL504" s="23">
        <v>-18.59</v>
      </c>
      <c r="AM504" s="24">
        <v>141.19</v>
      </c>
      <c r="AN504" s="23"/>
      <c r="AO504" s="24"/>
      <c r="AP504" s="23"/>
      <c r="AQ504" s="24"/>
      <c r="AR504" s="23">
        <v>14.89</v>
      </c>
      <c r="AS504" s="23">
        <v>-695.2</v>
      </c>
      <c r="AT504" s="23"/>
      <c r="AU504" s="24"/>
      <c r="AV504" s="32"/>
      <c r="AW504" s="27">
        <f t="shared" si="91"/>
        <v>464.52050399999996</v>
      </c>
      <c r="AX504" s="27">
        <f t="shared" si="92"/>
        <v>60.250503999999999</v>
      </c>
      <c r="AY504" s="27">
        <f t="shared" si="93"/>
        <v>9.9105039999999995</v>
      </c>
      <c r="AZ504" s="27">
        <f t="shared" si="94"/>
        <v>5.04E-4</v>
      </c>
    </row>
    <row r="505" spans="1:52" ht="15" customHeight="1" x14ac:dyDescent="0.25">
      <c r="A505" s="13" t="str">
        <f>VLOOKUP(L505,[1]VALIDAÇÃO!$D$13:$E$350,2,0)</f>
        <v>DIRETO</v>
      </c>
      <c r="B505" s="14" t="str">
        <f t="shared" si="96"/>
        <v>64RIO AVE CARNEIROS 01 SPE LTDA.</v>
      </c>
      <c r="C505" s="15">
        <f t="shared" si="95"/>
        <v>64</v>
      </c>
      <c r="D505" s="16" t="str">
        <f t="shared" si="97"/>
        <v>43RIO AVE CARNEIROS 01 SPE LTDA.</v>
      </c>
      <c r="E505" s="17">
        <f t="shared" si="88"/>
        <v>43</v>
      </c>
      <c r="F505" s="18" t="str">
        <f t="shared" si="98"/>
        <v>16RIO AVE CARNEIROS 01 SPE LTDA.</v>
      </c>
      <c r="G505" s="18">
        <f t="shared" si="89"/>
        <v>16</v>
      </c>
      <c r="H505" s="19" t="str">
        <f t="shared" si="99"/>
        <v>81RIO AVE CARNEIROS 01 SPE LTDA.</v>
      </c>
      <c r="I505" s="19">
        <f t="shared" si="90"/>
        <v>81</v>
      </c>
      <c r="J505" s="13" t="s">
        <v>61</v>
      </c>
      <c r="K505" s="13" t="s">
        <v>622</v>
      </c>
      <c r="L505" s="13" t="s">
        <v>71</v>
      </c>
      <c r="M505" s="13" t="s">
        <v>55</v>
      </c>
      <c r="N505" s="20">
        <v>1283.21</v>
      </c>
      <c r="O505" s="20">
        <v>1622.13</v>
      </c>
      <c r="P505" s="21">
        <v>45216</v>
      </c>
      <c r="Q505" s="22"/>
      <c r="R505" s="23">
        <v>1622.13</v>
      </c>
      <c r="S505" s="24"/>
      <c r="T505" s="23"/>
      <c r="U505" s="24"/>
      <c r="V505" s="23"/>
      <c r="W505" s="23"/>
      <c r="X505" s="24"/>
      <c r="Y505" s="23"/>
      <c r="Z505" s="23"/>
      <c r="AA505" s="23">
        <v>5.0500000000000007</v>
      </c>
      <c r="AB505" s="23">
        <v>198.11999999999998</v>
      </c>
      <c r="AC505" s="24">
        <v>962.82285714285717</v>
      </c>
      <c r="AD505" s="23">
        <v>226.02</v>
      </c>
      <c r="AE505" s="24">
        <v>1091.7585714285713</v>
      </c>
      <c r="AF505" s="23"/>
      <c r="AG505" s="23"/>
      <c r="AH505" s="23">
        <v>21.88</v>
      </c>
      <c r="AI505" s="24">
        <v>0</v>
      </c>
      <c r="AJ505" s="25">
        <v>392.09000000000003</v>
      </c>
      <c r="AK505" s="23">
        <v>88.45</v>
      </c>
      <c r="AL505" s="23"/>
      <c r="AM505" s="24"/>
      <c r="AN505" s="23"/>
      <c r="AO505" s="24"/>
      <c r="AP505" s="23">
        <v>10.42</v>
      </c>
      <c r="AQ505" s="24">
        <v>39.58</v>
      </c>
      <c r="AR505" s="23">
        <v>96.31</v>
      </c>
      <c r="AS505" s="23">
        <v>-695.2</v>
      </c>
      <c r="AT505" s="23"/>
      <c r="AU505" s="24"/>
      <c r="AV505" s="32"/>
      <c r="AW505" s="27">
        <f t="shared" si="91"/>
        <v>392.09050500000001</v>
      </c>
      <c r="AX505" s="27">
        <f t="shared" si="92"/>
        <v>226.02050500000001</v>
      </c>
      <c r="AY505" s="27">
        <f t="shared" si="93"/>
        <v>198.12050499999998</v>
      </c>
      <c r="AZ505" s="27">
        <f t="shared" si="94"/>
        <v>10.420505</v>
      </c>
    </row>
    <row r="506" spans="1:52" ht="15" customHeight="1" x14ac:dyDescent="0.25">
      <c r="A506" s="13" t="str">
        <f>VLOOKUP(L506,[1]VALIDAÇÃO!$D$13:$E$350,2,0)</f>
        <v>DIRETO</v>
      </c>
      <c r="B506" s="14" t="str">
        <f t="shared" si="96"/>
        <v>112RIO AVE CARNEIROS 01 SPE LTDA.</v>
      </c>
      <c r="C506" s="15">
        <f t="shared" si="95"/>
        <v>112</v>
      </c>
      <c r="D506" s="16" t="str">
        <f t="shared" si="97"/>
        <v>135RIO AVE CARNEIROS 01 SPE LTDA.</v>
      </c>
      <c r="E506" s="17">
        <f t="shared" si="88"/>
        <v>135</v>
      </c>
      <c r="F506" s="18" t="str">
        <f t="shared" si="98"/>
        <v>82RIO AVE CARNEIROS 01 SPE LTDA.</v>
      </c>
      <c r="G506" s="18">
        <f t="shared" si="89"/>
        <v>82</v>
      </c>
      <c r="H506" s="19" t="str">
        <f t="shared" si="99"/>
        <v>36RIO AVE CARNEIROS 01 SPE LTDA.</v>
      </c>
      <c r="I506" s="19">
        <f t="shared" si="90"/>
        <v>36</v>
      </c>
      <c r="J506" s="13" t="s">
        <v>61</v>
      </c>
      <c r="K506" s="13" t="s">
        <v>623</v>
      </c>
      <c r="L506" s="13" t="s">
        <v>54</v>
      </c>
      <c r="M506" s="13" t="s">
        <v>55</v>
      </c>
      <c r="N506" s="20">
        <v>797.42</v>
      </c>
      <c r="O506" s="20">
        <v>1622.13</v>
      </c>
      <c r="P506" s="21">
        <v>45915</v>
      </c>
      <c r="Q506" s="22"/>
      <c r="R506" s="23">
        <v>1622.13</v>
      </c>
      <c r="S506" s="24"/>
      <c r="T506" s="23"/>
      <c r="U506" s="24"/>
      <c r="V506" s="23"/>
      <c r="W506" s="23"/>
      <c r="X506" s="24"/>
      <c r="Y506" s="23"/>
      <c r="Z506" s="23"/>
      <c r="AA506" s="23">
        <v>1.4300000000000002</v>
      </c>
      <c r="AB506" s="23">
        <v>63.88</v>
      </c>
      <c r="AC506" s="24">
        <v>940.9571428571428</v>
      </c>
      <c r="AD506" s="23">
        <v>1.52</v>
      </c>
      <c r="AE506" s="24">
        <v>22.385714285714286</v>
      </c>
      <c r="AF506" s="23"/>
      <c r="AG506" s="23"/>
      <c r="AH506" s="23">
        <v>5.92</v>
      </c>
      <c r="AI506" s="24">
        <v>0</v>
      </c>
      <c r="AJ506" s="25">
        <v>149.91999999999999</v>
      </c>
      <c r="AK506" s="23">
        <v>34.19</v>
      </c>
      <c r="AL506" s="23">
        <v>-1.58</v>
      </c>
      <c r="AM506" s="24">
        <v>12</v>
      </c>
      <c r="AN506" s="23"/>
      <c r="AO506" s="24"/>
      <c r="AP506" s="23">
        <v>37.090000000000003</v>
      </c>
      <c r="AQ506" s="24">
        <v>464.28571428571428</v>
      </c>
      <c r="AR506" s="23">
        <v>25.65</v>
      </c>
      <c r="AS506" s="23">
        <v>-695.2</v>
      </c>
      <c r="AT506" s="23"/>
      <c r="AU506" s="24"/>
      <c r="AV506" s="32"/>
      <c r="AW506" s="27">
        <f t="shared" si="91"/>
        <v>149.92050599999999</v>
      </c>
      <c r="AX506" s="27">
        <f t="shared" si="92"/>
        <v>1.5205059999999999</v>
      </c>
      <c r="AY506" s="27">
        <f t="shared" si="93"/>
        <v>63.880506000000004</v>
      </c>
      <c r="AZ506" s="27">
        <f t="shared" si="94"/>
        <v>37.090506000000005</v>
      </c>
    </row>
    <row r="507" spans="1:52" ht="15" customHeight="1" x14ac:dyDescent="0.25">
      <c r="A507" s="13" t="str">
        <f>VLOOKUP(L507,[1]VALIDAÇÃO!$D$13:$E$350,2,0)</f>
        <v>DIRETO</v>
      </c>
      <c r="B507" s="14" t="str">
        <f t="shared" si="96"/>
        <v>114RESERVA DO PAIVA SPE 03 LTDA</v>
      </c>
      <c r="C507" s="15">
        <f t="shared" si="95"/>
        <v>114</v>
      </c>
      <c r="D507" s="16" t="str">
        <f t="shared" si="97"/>
        <v>110RESERVA DO PAIVA SPE 03 LTDA</v>
      </c>
      <c r="E507" s="17">
        <f t="shared" si="88"/>
        <v>110</v>
      </c>
      <c r="F507" s="18" t="str">
        <f t="shared" si="98"/>
        <v>95RESERVA DO PAIVA SPE 03 LTDA</v>
      </c>
      <c r="G507" s="18">
        <f t="shared" si="89"/>
        <v>95</v>
      </c>
      <c r="H507" s="19" t="str">
        <f t="shared" si="99"/>
        <v>102RESERVA DO PAIVA SPE 03 LTDA</v>
      </c>
      <c r="I507" s="19">
        <f t="shared" si="90"/>
        <v>102</v>
      </c>
      <c r="J507" s="13" t="s">
        <v>52</v>
      </c>
      <c r="K507" s="13" t="s">
        <v>624</v>
      </c>
      <c r="L507" s="13" t="s">
        <v>54</v>
      </c>
      <c r="M507" s="13" t="s">
        <v>55</v>
      </c>
      <c r="N507" s="20">
        <v>780.82</v>
      </c>
      <c r="O507" s="20">
        <v>1622.13</v>
      </c>
      <c r="P507" s="21">
        <v>45931</v>
      </c>
      <c r="Q507" s="22"/>
      <c r="R507" s="23">
        <v>1622.13</v>
      </c>
      <c r="S507" s="24"/>
      <c r="T507" s="23"/>
      <c r="U507" s="24"/>
      <c r="V507" s="23"/>
      <c r="W507" s="23"/>
      <c r="X507" s="24"/>
      <c r="Y507" s="23"/>
      <c r="Z507" s="23"/>
      <c r="AA507" s="23">
        <v>0.53</v>
      </c>
      <c r="AB507" s="23">
        <v>57.430000000000007</v>
      </c>
      <c r="AC507" s="24">
        <v>1047.1428571428571</v>
      </c>
      <c r="AD507" s="23">
        <v>103.83999999999999</v>
      </c>
      <c r="AE507" s="24">
        <v>676.42857142857144</v>
      </c>
      <c r="AF507" s="23"/>
      <c r="AG507" s="23"/>
      <c r="AH507" s="23">
        <v>2.16</v>
      </c>
      <c r="AI507" s="24">
        <v>0</v>
      </c>
      <c r="AJ507" s="25">
        <v>83.44</v>
      </c>
      <c r="AK507" s="23">
        <v>19.060000000000002</v>
      </c>
      <c r="AL507" s="23">
        <v>-20.010000000000002</v>
      </c>
      <c r="AM507" s="24">
        <v>152</v>
      </c>
      <c r="AN507" s="23"/>
      <c r="AO507" s="24"/>
      <c r="AP507" s="23"/>
      <c r="AQ507" s="24"/>
      <c r="AR507" s="23">
        <v>39.56</v>
      </c>
      <c r="AS507" s="23">
        <v>-695.2</v>
      </c>
      <c r="AT507" s="23"/>
      <c r="AU507" s="24"/>
      <c r="AV507" s="32"/>
      <c r="AW507" s="27">
        <f t="shared" si="91"/>
        <v>83.440506999999997</v>
      </c>
      <c r="AX507" s="27">
        <f t="shared" si="92"/>
        <v>103.84050699999999</v>
      </c>
      <c r="AY507" s="27">
        <f t="shared" si="93"/>
        <v>57.430507000000006</v>
      </c>
      <c r="AZ507" s="27">
        <f t="shared" si="94"/>
        <v>5.0699999999999996E-4</v>
      </c>
    </row>
    <row r="508" spans="1:52" ht="15" customHeight="1" x14ac:dyDescent="0.25">
      <c r="A508" s="13" t="str">
        <f>VLOOKUP(L508,[1]VALIDAÇÃO!$D$13:$E$350,2,0)</f>
        <v>INDIRETO</v>
      </c>
      <c r="B508" s="14" t="str">
        <f t="shared" si="96"/>
        <v>76RESERVA DO PAIVA SPE 01 LTDA.</v>
      </c>
      <c r="C508" s="15">
        <f t="shared" si="95"/>
        <v>76</v>
      </c>
      <c r="D508" s="16" t="str">
        <f t="shared" si="97"/>
        <v>42RESERVA DO PAIVA SPE 01 LTDA.</v>
      </c>
      <c r="E508" s="17">
        <f t="shared" si="88"/>
        <v>42</v>
      </c>
      <c r="F508" s="18" t="str">
        <f t="shared" si="98"/>
        <v>10RESERVA DO PAIVA SPE 01 LTDA.</v>
      </c>
      <c r="G508" s="18">
        <f t="shared" si="89"/>
        <v>10</v>
      </c>
      <c r="H508" s="19" t="str">
        <f t="shared" si="99"/>
        <v>18RESERVA DO PAIVA SPE 01 LTDA.</v>
      </c>
      <c r="I508" s="19">
        <f t="shared" si="90"/>
        <v>18</v>
      </c>
      <c r="J508" s="13" t="s">
        <v>68</v>
      </c>
      <c r="K508" s="13" t="s">
        <v>625</v>
      </c>
      <c r="L508" s="13" t="s">
        <v>162</v>
      </c>
      <c r="M508" s="13" t="s">
        <v>85</v>
      </c>
      <c r="N508" s="20">
        <v>2372.42</v>
      </c>
      <c r="O508" s="20">
        <v>2943.68</v>
      </c>
      <c r="P508" s="21">
        <v>45873</v>
      </c>
      <c r="Q508" s="22"/>
      <c r="R508" s="23">
        <v>2943.68</v>
      </c>
      <c r="S508" s="24"/>
      <c r="T508" s="23"/>
      <c r="U508" s="24"/>
      <c r="V508" s="23"/>
      <c r="W508" s="23"/>
      <c r="X508" s="24"/>
      <c r="Y508" s="23"/>
      <c r="Z508" s="23"/>
      <c r="AA508" s="23"/>
      <c r="AB508" s="23">
        <v>497.63</v>
      </c>
      <c r="AC508" s="24">
        <v>1839.5</v>
      </c>
      <c r="AD508" s="23">
        <v>204.57999999999998</v>
      </c>
      <c r="AE508" s="24">
        <v>875.5</v>
      </c>
      <c r="AF508" s="23"/>
      <c r="AG508" s="23"/>
      <c r="AH508" s="23"/>
      <c r="AI508" s="24"/>
      <c r="AJ508" s="25"/>
      <c r="AK508" s="23"/>
      <c r="AL508" s="23">
        <v>-120.66</v>
      </c>
      <c r="AM508" s="24">
        <v>505</v>
      </c>
      <c r="AN508" s="23"/>
      <c r="AO508" s="24"/>
      <c r="AP508" s="23">
        <v>560.29</v>
      </c>
      <c r="AQ508" s="24">
        <v>1806.9285714285713</v>
      </c>
      <c r="AR508" s="23">
        <v>278.67</v>
      </c>
      <c r="AS508" s="23">
        <v>-1261.58</v>
      </c>
      <c r="AT508" s="23"/>
      <c r="AU508" s="24"/>
      <c r="AV508" s="32"/>
      <c r="AW508" s="27">
        <f t="shared" si="91"/>
        <v>5.0799999999999999E-4</v>
      </c>
      <c r="AX508" s="27">
        <f t="shared" si="92"/>
        <v>204.58050799999998</v>
      </c>
      <c r="AY508" s="27">
        <f t="shared" si="93"/>
        <v>497.63050800000002</v>
      </c>
      <c r="AZ508" s="27">
        <f t="shared" si="94"/>
        <v>560.29050799999993</v>
      </c>
    </row>
    <row r="509" spans="1:52" ht="15" customHeight="1" x14ac:dyDescent="0.25">
      <c r="A509" s="13" t="str">
        <f>VLOOKUP(L509,[1]VALIDAÇÃO!$D$13:$E$350,2,0)</f>
        <v>INDIRETO</v>
      </c>
      <c r="B509" s="14" t="str">
        <f t="shared" si="96"/>
        <v>8RIO AVE SUBHOLDING INCORPORACAO LTDA</v>
      </c>
      <c r="C509" s="15">
        <f t="shared" si="95"/>
        <v>8</v>
      </c>
      <c r="D509" s="16" t="str">
        <f t="shared" si="97"/>
        <v>1RIO AVE SUBHOLDING INCORPORACAO LTDA</v>
      </c>
      <c r="E509" s="17">
        <f t="shared" si="88"/>
        <v>1</v>
      </c>
      <c r="F509" s="18" t="str">
        <f t="shared" si="98"/>
        <v>1RIO AVE SUBHOLDING INCORPORACAO LTDA</v>
      </c>
      <c r="G509" s="18">
        <f t="shared" si="89"/>
        <v>1</v>
      </c>
      <c r="H509" s="19" t="str">
        <f t="shared" si="99"/>
        <v>1RIO AVE SUBHOLDING INCORPORACAO LTDA</v>
      </c>
      <c r="I509" s="19">
        <f t="shared" si="90"/>
        <v>1</v>
      </c>
      <c r="J509" s="13" t="s">
        <v>124</v>
      </c>
      <c r="K509" s="13" t="s">
        <v>626</v>
      </c>
      <c r="L509" s="13" t="s">
        <v>494</v>
      </c>
      <c r="M509" s="13" t="s">
        <v>181</v>
      </c>
      <c r="N509" s="20">
        <v>339.82</v>
      </c>
      <c r="O509" s="20">
        <v>3311.65</v>
      </c>
      <c r="P509" s="21">
        <v>45505</v>
      </c>
      <c r="Q509" s="22"/>
      <c r="R509" s="23">
        <v>3311.65</v>
      </c>
      <c r="S509" s="24"/>
      <c r="T509" s="23"/>
      <c r="U509" s="24"/>
      <c r="V509" s="23"/>
      <c r="W509" s="23"/>
      <c r="X509" s="24"/>
      <c r="Y509" s="23"/>
      <c r="Z509" s="23"/>
      <c r="AA509" s="23"/>
      <c r="AB509" s="23">
        <v>22.619999999999997</v>
      </c>
      <c r="AC509" s="24">
        <v>60.907142857142851</v>
      </c>
      <c r="AD509" s="23">
        <v>550.37</v>
      </c>
      <c r="AE509" s="24">
        <v>1371.25</v>
      </c>
      <c r="AF509" s="23"/>
      <c r="AG509" s="23"/>
      <c r="AH509" s="23"/>
      <c r="AI509" s="24"/>
      <c r="AJ509" s="25"/>
      <c r="AK509" s="23"/>
      <c r="AL509" s="23">
        <v>-18.399999999999999</v>
      </c>
      <c r="AM509" s="24">
        <v>66</v>
      </c>
      <c r="AN509" s="23"/>
      <c r="AO509" s="24"/>
      <c r="AP509" s="23">
        <v>28.14</v>
      </c>
      <c r="AQ509" s="24">
        <v>63.752857142857138</v>
      </c>
      <c r="AR509" s="23">
        <v>125.1</v>
      </c>
      <c r="AS509" s="23">
        <v>-1471.84</v>
      </c>
      <c r="AT509" s="23"/>
      <c r="AU509" s="24"/>
      <c r="AV509" s="32"/>
      <c r="AW509" s="27">
        <f t="shared" si="91"/>
        <v>5.0900000000000001E-4</v>
      </c>
      <c r="AX509" s="27">
        <f t="shared" si="92"/>
        <v>550.37050899999997</v>
      </c>
      <c r="AY509" s="27">
        <f t="shared" si="93"/>
        <v>22.620508999999998</v>
      </c>
      <c r="AZ509" s="27">
        <f t="shared" si="94"/>
        <v>28.140509000000002</v>
      </c>
    </row>
    <row r="510" spans="1:52" ht="15" customHeight="1" x14ac:dyDescent="0.25">
      <c r="A510" s="13" t="str">
        <f>VLOOKUP(L510,[1]VALIDAÇÃO!$D$13:$E$350,2,0)</f>
        <v>DIRETO</v>
      </c>
      <c r="B510" s="14" t="str">
        <f t="shared" si="96"/>
        <v>58RESERVA DO PAIVA SPE 03 LTDA</v>
      </c>
      <c r="C510" s="15">
        <f t="shared" si="95"/>
        <v>58</v>
      </c>
      <c r="D510" s="16" t="str">
        <f t="shared" si="97"/>
        <v>27RESERVA DO PAIVA SPE 03 LTDA</v>
      </c>
      <c r="E510" s="17">
        <f t="shared" si="88"/>
        <v>27</v>
      </c>
      <c r="F510" s="18" t="str">
        <f t="shared" si="98"/>
        <v>11RESERVA DO PAIVA SPE 03 LTDA</v>
      </c>
      <c r="G510" s="18">
        <f t="shared" si="89"/>
        <v>11</v>
      </c>
      <c r="H510" s="19" t="str">
        <f t="shared" si="99"/>
        <v>70RESERVA DO PAIVA SPE 03 LTDA</v>
      </c>
      <c r="I510" s="19">
        <f t="shared" si="90"/>
        <v>70</v>
      </c>
      <c r="J510" s="13" t="s">
        <v>52</v>
      </c>
      <c r="K510" s="13" t="s">
        <v>627</v>
      </c>
      <c r="L510" s="13" t="s">
        <v>189</v>
      </c>
      <c r="M510" s="13" t="s">
        <v>55</v>
      </c>
      <c r="N510" s="20">
        <v>1652.34</v>
      </c>
      <c r="O510" s="20">
        <v>2156</v>
      </c>
      <c r="P510" s="21">
        <v>45817</v>
      </c>
      <c r="Q510" s="22"/>
      <c r="R510" s="23">
        <v>2156</v>
      </c>
      <c r="S510" s="24"/>
      <c r="T510" s="23"/>
      <c r="U510" s="24"/>
      <c r="V510" s="23"/>
      <c r="W510" s="23">
        <v>0.33999999999999997</v>
      </c>
      <c r="X510" s="24">
        <v>14.2</v>
      </c>
      <c r="Y510" s="23"/>
      <c r="Z510" s="23"/>
      <c r="AA510" s="23">
        <v>5.29</v>
      </c>
      <c r="AB510" s="23">
        <v>388.44</v>
      </c>
      <c r="AC510" s="24">
        <v>1671.5271428571427</v>
      </c>
      <c r="AD510" s="23">
        <v>527.48</v>
      </c>
      <c r="AE510" s="24">
        <v>3012.8414285714289</v>
      </c>
      <c r="AF510" s="23"/>
      <c r="AG510" s="23"/>
      <c r="AH510" s="23">
        <v>24.64</v>
      </c>
      <c r="AI510" s="24">
        <v>0</v>
      </c>
      <c r="AJ510" s="25">
        <v>241.3</v>
      </c>
      <c r="AK510" s="23">
        <v>52.59</v>
      </c>
      <c r="AL510" s="23"/>
      <c r="AM510" s="24"/>
      <c r="AN510" s="23"/>
      <c r="AO510" s="24"/>
      <c r="AP510" s="23">
        <v>19.419999999999998</v>
      </c>
      <c r="AQ510" s="24">
        <v>116.00000000000003</v>
      </c>
      <c r="AR510" s="23">
        <v>199.60000000000002</v>
      </c>
      <c r="AS510" s="23">
        <v>-924</v>
      </c>
      <c r="AT510" s="23"/>
      <c r="AU510" s="24"/>
      <c r="AV510" s="32"/>
      <c r="AW510" s="27">
        <f t="shared" si="91"/>
        <v>241.30051</v>
      </c>
      <c r="AX510" s="27">
        <f t="shared" si="92"/>
        <v>527.48050999999998</v>
      </c>
      <c r="AY510" s="27">
        <f t="shared" si="93"/>
        <v>388.44051000000002</v>
      </c>
      <c r="AZ510" s="27">
        <f t="shared" si="94"/>
        <v>19.420509999999997</v>
      </c>
    </row>
    <row r="511" spans="1:52" ht="15" customHeight="1" x14ac:dyDescent="0.25">
      <c r="A511" s="13" t="str">
        <f>VLOOKUP(L511,[1]VALIDAÇÃO!$D$13:$E$350,2,0)</f>
        <v>DIRETO</v>
      </c>
      <c r="B511" s="14" t="str">
        <f t="shared" si="96"/>
        <v>36RESERVA DO PAIVA SPE 01 LTDA.</v>
      </c>
      <c r="C511" s="15">
        <f t="shared" si="95"/>
        <v>36</v>
      </c>
      <c r="D511" s="16" t="str">
        <f t="shared" si="97"/>
        <v>58RESERVA DO PAIVA SPE 01 LTDA.</v>
      </c>
      <c r="E511" s="17">
        <f t="shared" si="88"/>
        <v>58</v>
      </c>
      <c r="F511" s="18" t="str">
        <f t="shared" si="98"/>
        <v>51RESERVA DO PAIVA SPE 01 LTDA.</v>
      </c>
      <c r="G511" s="18">
        <f t="shared" si="89"/>
        <v>51</v>
      </c>
      <c r="H511" s="19" t="str">
        <f t="shared" si="99"/>
        <v>45RESERVA DO PAIVA SPE 01 LTDA.</v>
      </c>
      <c r="I511" s="19">
        <f t="shared" si="90"/>
        <v>45</v>
      </c>
      <c r="J511" s="13" t="s">
        <v>68</v>
      </c>
      <c r="K511" s="13" t="s">
        <v>628</v>
      </c>
      <c r="L511" s="13" t="s">
        <v>54</v>
      </c>
      <c r="M511" s="13" t="s">
        <v>55</v>
      </c>
      <c r="N511" s="20">
        <v>1299.03</v>
      </c>
      <c r="O511" s="20">
        <v>1622.13</v>
      </c>
      <c r="P511" s="21">
        <v>45663</v>
      </c>
      <c r="Q511" s="22"/>
      <c r="R511" s="23">
        <v>1622.13</v>
      </c>
      <c r="S511" s="24"/>
      <c r="T511" s="23"/>
      <c r="U511" s="24"/>
      <c r="V511" s="23"/>
      <c r="W511" s="23"/>
      <c r="X511" s="24"/>
      <c r="Y511" s="23"/>
      <c r="Z511" s="23"/>
      <c r="AA511" s="23">
        <v>9.0500000000000007</v>
      </c>
      <c r="AB511" s="23">
        <v>173.91</v>
      </c>
      <c r="AC511" s="24">
        <v>1009.0142857142856</v>
      </c>
      <c r="AD511" s="23">
        <v>88.27</v>
      </c>
      <c r="AE511" s="24">
        <v>491.81142857142856</v>
      </c>
      <c r="AF511" s="23"/>
      <c r="AG511" s="23"/>
      <c r="AH511" s="23">
        <v>39.01</v>
      </c>
      <c r="AI511" s="24">
        <v>0</v>
      </c>
      <c r="AJ511" s="25">
        <v>725.17</v>
      </c>
      <c r="AK511" s="23">
        <v>160.86999999999998</v>
      </c>
      <c r="AL511" s="23">
        <v>-3.05</v>
      </c>
      <c r="AM511" s="24">
        <v>23.14</v>
      </c>
      <c r="AN511" s="23"/>
      <c r="AO511" s="24"/>
      <c r="AP511" s="23">
        <v>284.39999999999998</v>
      </c>
      <c r="AQ511" s="24">
        <v>1237.3828571428573</v>
      </c>
      <c r="AR511" s="23">
        <v>123.69</v>
      </c>
      <c r="AS511" s="23">
        <v>-695.2</v>
      </c>
      <c r="AT511" s="23"/>
      <c r="AU511" s="24"/>
      <c r="AV511" s="32"/>
      <c r="AW511" s="27">
        <f t="shared" si="91"/>
        <v>725.17051099999992</v>
      </c>
      <c r="AX511" s="27">
        <f t="shared" si="92"/>
        <v>88.270510999999999</v>
      </c>
      <c r="AY511" s="27">
        <f t="shared" si="93"/>
        <v>173.91051099999999</v>
      </c>
      <c r="AZ511" s="27">
        <f t="shared" si="94"/>
        <v>284.40051099999999</v>
      </c>
    </row>
    <row r="512" spans="1:52" ht="15" customHeight="1" x14ac:dyDescent="0.25">
      <c r="A512" s="13" t="str">
        <f>VLOOKUP(L512,[1]VALIDAÇÃO!$D$13:$E$350,2,0)</f>
        <v>DIRETO</v>
      </c>
      <c r="B512" s="14" t="str">
        <f t="shared" si="96"/>
        <v>66RIO AVE CARNEIROS 01 SPE LTDA.</v>
      </c>
      <c r="C512" s="15">
        <f t="shared" si="95"/>
        <v>66</v>
      </c>
      <c r="D512" s="16" t="str">
        <f t="shared" si="97"/>
        <v>127RIO AVE CARNEIROS 01 SPE LTDA.</v>
      </c>
      <c r="E512" s="17">
        <f t="shared" si="88"/>
        <v>127</v>
      </c>
      <c r="F512" s="18" t="str">
        <f t="shared" si="98"/>
        <v>38RIO AVE CARNEIROS 01 SPE LTDA.</v>
      </c>
      <c r="G512" s="18">
        <f t="shared" si="89"/>
        <v>38</v>
      </c>
      <c r="H512" s="19" t="str">
        <f t="shared" si="99"/>
        <v>106RIO AVE CARNEIROS 01 SPE LTDA.</v>
      </c>
      <c r="I512" s="19">
        <f t="shared" si="90"/>
        <v>106</v>
      </c>
      <c r="J512" s="13" t="s">
        <v>61</v>
      </c>
      <c r="K512" s="13" t="s">
        <v>629</v>
      </c>
      <c r="L512" s="13" t="s">
        <v>87</v>
      </c>
      <c r="M512" s="13" t="s">
        <v>55</v>
      </c>
      <c r="N512" s="20">
        <v>1550.85</v>
      </c>
      <c r="O512" s="20">
        <v>2156</v>
      </c>
      <c r="P512" s="21">
        <v>45978</v>
      </c>
      <c r="Q512" s="22"/>
      <c r="R512" s="23">
        <v>2156</v>
      </c>
      <c r="S512" s="24"/>
      <c r="T512" s="23"/>
      <c r="U512" s="24"/>
      <c r="V512" s="23"/>
      <c r="W512" s="23"/>
      <c r="X512" s="24"/>
      <c r="Y512" s="23"/>
      <c r="Z512" s="23"/>
      <c r="AA512" s="23">
        <v>1.98</v>
      </c>
      <c r="AB512" s="23">
        <v>142.80000000000001</v>
      </c>
      <c r="AC512" s="24">
        <v>480</v>
      </c>
      <c r="AD512" s="23">
        <v>3.57</v>
      </c>
      <c r="AE512" s="24">
        <v>12</v>
      </c>
      <c r="AF512" s="23"/>
      <c r="AG512" s="23"/>
      <c r="AH512" s="23">
        <v>9.1300000000000008</v>
      </c>
      <c r="AI512" s="24">
        <v>0</v>
      </c>
      <c r="AJ512" s="25">
        <v>386.67</v>
      </c>
      <c r="AK512" s="23">
        <v>86.1</v>
      </c>
      <c r="AL512" s="23"/>
      <c r="AM512" s="24"/>
      <c r="AN512" s="23"/>
      <c r="AO512" s="24"/>
      <c r="AP512" s="23"/>
      <c r="AQ512" s="24"/>
      <c r="AR512" s="23">
        <v>31.82</v>
      </c>
      <c r="AS512" s="23">
        <v>-924</v>
      </c>
      <c r="AT512" s="23"/>
      <c r="AU512" s="24"/>
      <c r="AV512" s="32"/>
      <c r="AW512" s="27">
        <f t="shared" si="91"/>
        <v>386.67051200000003</v>
      </c>
      <c r="AX512" s="27">
        <f t="shared" si="92"/>
        <v>3.5705119999999999</v>
      </c>
      <c r="AY512" s="27">
        <f t="shared" si="93"/>
        <v>142.800512</v>
      </c>
      <c r="AZ512" s="27">
        <f t="shared" si="94"/>
        <v>5.1199999999999998E-4</v>
      </c>
    </row>
    <row r="513" spans="1:52" ht="15" customHeight="1" x14ac:dyDescent="0.25">
      <c r="A513" s="13" t="str">
        <f>VLOOKUP(L513,[1]VALIDAÇÃO!$D$13:$E$350,2,0)</f>
        <v>DIRETO</v>
      </c>
      <c r="B513" s="14" t="str">
        <f t="shared" si="96"/>
        <v>41RESERVA DO PAIVA SPE 03 LTDA</v>
      </c>
      <c r="C513" s="15">
        <f t="shared" si="95"/>
        <v>41</v>
      </c>
      <c r="D513" s="16" t="str">
        <f t="shared" si="97"/>
        <v>131RESERVA DO PAIVA SPE 03 LTDA</v>
      </c>
      <c r="E513" s="17">
        <f t="shared" si="88"/>
        <v>131</v>
      </c>
      <c r="F513" s="18" t="str">
        <f t="shared" si="98"/>
        <v>138RESERVA DO PAIVA SPE 03 LTDA</v>
      </c>
      <c r="G513" s="18">
        <f t="shared" si="89"/>
        <v>138</v>
      </c>
      <c r="H513" s="19" t="str">
        <f t="shared" si="99"/>
        <v>101RESERVA DO PAIVA SPE 03 LTDA</v>
      </c>
      <c r="I513" s="19">
        <f t="shared" si="90"/>
        <v>101</v>
      </c>
      <c r="J513" s="13" t="s">
        <v>52</v>
      </c>
      <c r="K513" s="13" t="s">
        <v>630</v>
      </c>
      <c r="L513" s="13" t="s">
        <v>63</v>
      </c>
      <c r="M513" s="13" t="s">
        <v>55</v>
      </c>
      <c r="N513" s="20">
        <v>1388.78</v>
      </c>
      <c r="O513" s="20">
        <v>2156</v>
      </c>
      <c r="P513" s="21">
        <v>45964</v>
      </c>
      <c r="Q513" s="22"/>
      <c r="R513" s="23">
        <v>2156</v>
      </c>
      <c r="S513" s="24"/>
      <c r="T513" s="23"/>
      <c r="U513" s="24"/>
      <c r="V513" s="23"/>
      <c r="W513" s="23"/>
      <c r="X513" s="24"/>
      <c r="Y513" s="23"/>
      <c r="Z513" s="23"/>
      <c r="AA513" s="23">
        <v>0.32</v>
      </c>
      <c r="AB513" s="23"/>
      <c r="AC513" s="24"/>
      <c r="AD513" s="23">
        <v>25.88</v>
      </c>
      <c r="AE513" s="24">
        <v>127</v>
      </c>
      <c r="AF513" s="23"/>
      <c r="AG513" s="23"/>
      <c r="AH513" s="23">
        <v>1.41</v>
      </c>
      <c r="AI513" s="24">
        <v>0</v>
      </c>
      <c r="AJ513" s="25">
        <v>349.02</v>
      </c>
      <c r="AK513" s="23">
        <v>77.010000000000005</v>
      </c>
      <c r="AL513" s="23"/>
      <c r="AM513" s="24"/>
      <c r="AN513" s="23"/>
      <c r="AO513" s="24"/>
      <c r="AP513" s="23"/>
      <c r="AQ513" s="24"/>
      <c r="AR513" s="23">
        <v>5.7700000000000005</v>
      </c>
      <c r="AS513" s="23">
        <v>-924</v>
      </c>
      <c r="AT513" s="23"/>
      <c r="AU513" s="24"/>
      <c r="AV513" s="32"/>
      <c r="AW513" s="27">
        <f t="shared" si="91"/>
        <v>349.02051299999999</v>
      </c>
      <c r="AX513" s="27">
        <f t="shared" si="92"/>
        <v>25.880513000000001</v>
      </c>
      <c r="AY513" s="27">
        <f t="shared" si="93"/>
        <v>5.13E-4</v>
      </c>
      <c r="AZ513" s="27">
        <f t="shared" si="94"/>
        <v>5.13E-4</v>
      </c>
    </row>
    <row r="514" spans="1:52" ht="15" customHeight="1" x14ac:dyDescent="0.25">
      <c r="A514" s="13" t="str">
        <f>VLOOKUP(L514,[1]VALIDAÇÃO!$D$13:$E$350,2,0)</f>
        <v>DIRETO</v>
      </c>
      <c r="B514" s="14" t="str">
        <f t="shared" si="96"/>
        <v>35RESERVA DO PAIVA SPE 03 LTDA</v>
      </c>
      <c r="C514" s="15">
        <f t="shared" si="95"/>
        <v>35</v>
      </c>
      <c r="D514" s="16" t="str">
        <f t="shared" si="97"/>
        <v>5RESERVA DO PAIVA SPE 03 LTDA</v>
      </c>
      <c r="E514" s="17">
        <f t="shared" ref="E514:E577" si="100">1+SUMPRODUCT(($J$2:$J$1437=$J514)*(AX$2:AX$1437&gt;AX514))</f>
        <v>5</v>
      </c>
      <c r="F514" s="18" t="str">
        <f t="shared" si="98"/>
        <v>23RESERVA DO PAIVA SPE 03 LTDA</v>
      </c>
      <c r="G514" s="18">
        <f t="shared" ref="G514:G577" si="101">1+SUMPRODUCT(($J$2:$J$1437=$J514)*(AY$2:AY$1437&gt;AY514))</f>
        <v>23</v>
      </c>
      <c r="H514" s="19" t="str">
        <f t="shared" si="99"/>
        <v>76RESERVA DO PAIVA SPE 03 LTDA</v>
      </c>
      <c r="I514" s="19">
        <f t="shared" ref="I514:I577" si="102">1+SUMPRODUCT(($J$2:$J$1437=$J514)*(AZ$2:AZ$1437&gt;AZ514))</f>
        <v>76</v>
      </c>
      <c r="J514" s="13" t="s">
        <v>52</v>
      </c>
      <c r="K514" s="13" t="s">
        <v>631</v>
      </c>
      <c r="L514" s="13" t="s">
        <v>54</v>
      </c>
      <c r="M514" s="13" t="s">
        <v>55</v>
      </c>
      <c r="N514" s="20">
        <v>1952.9</v>
      </c>
      <c r="O514" s="20">
        <v>1622.13</v>
      </c>
      <c r="P514" s="21">
        <v>45663</v>
      </c>
      <c r="Q514" s="22"/>
      <c r="R514" s="23">
        <v>1622.13</v>
      </c>
      <c r="S514" s="24"/>
      <c r="T514" s="23"/>
      <c r="U514" s="24"/>
      <c r="V514" s="23"/>
      <c r="W514" s="23">
        <v>2.48</v>
      </c>
      <c r="X514" s="24">
        <v>85.35</v>
      </c>
      <c r="Y514" s="23"/>
      <c r="Z514" s="23"/>
      <c r="AA514" s="23">
        <v>15.98</v>
      </c>
      <c r="AB514" s="23">
        <v>300.44</v>
      </c>
      <c r="AC514" s="24">
        <v>1595.5842857142857</v>
      </c>
      <c r="AD514" s="23">
        <v>1244.6399999999999</v>
      </c>
      <c r="AE514" s="24">
        <v>6403.9128571428573</v>
      </c>
      <c r="AF514" s="23"/>
      <c r="AG514" s="23"/>
      <c r="AH514" s="23">
        <v>71.680000000000007</v>
      </c>
      <c r="AI514" s="24">
        <v>0</v>
      </c>
      <c r="AJ514" s="25">
        <v>391.93</v>
      </c>
      <c r="AK514" s="23">
        <v>86.75</v>
      </c>
      <c r="AL514" s="23"/>
      <c r="AM514" s="24"/>
      <c r="AN514" s="23"/>
      <c r="AO514" s="24"/>
      <c r="AP514" s="23">
        <v>14.62</v>
      </c>
      <c r="AQ514" s="24">
        <v>72.099999999999994</v>
      </c>
      <c r="AR514" s="23">
        <v>342.29999999999995</v>
      </c>
      <c r="AS514" s="23">
        <v>-780.15</v>
      </c>
      <c r="AT514" s="23"/>
      <c r="AU514" s="24"/>
      <c r="AV514" s="32"/>
      <c r="AW514" s="27">
        <f t="shared" ref="AW514:AW577" si="103">AJ514+ROW(C514)/1000000</f>
        <v>391.93051400000002</v>
      </c>
      <c r="AX514" s="27">
        <f t="shared" ref="AX514:AX577" si="104">AD514+ROW(C514)/1000000</f>
        <v>1244.6405139999999</v>
      </c>
      <c r="AY514" s="27">
        <f t="shared" ref="AY514:AY577" si="105">AB514+ROW(A514)/1000000</f>
        <v>300.44051400000001</v>
      </c>
      <c r="AZ514" s="27">
        <f t="shared" ref="AZ514:AZ577" si="106">AP514+ROW(A514)/1000000</f>
        <v>14.620514</v>
      </c>
    </row>
    <row r="515" spans="1:52" ht="15" customHeight="1" x14ac:dyDescent="0.25">
      <c r="A515" s="13" t="str">
        <f>VLOOKUP(L515,[1]VALIDAÇÃO!$D$13:$E$350,2,0)</f>
        <v>DIRETO</v>
      </c>
      <c r="B515" s="14" t="str">
        <f t="shared" si="96"/>
        <v>26RIO AVE 130 SPE LTDA</v>
      </c>
      <c r="C515" s="15">
        <f t="shared" ref="C515:C578" si="107">1+SUMPRODUCT(($J$2:$J$1437=J515)*($AW$2:$AW$1437&gt;AW515))</f>
        <v>26</v>
      </c>
      <c r="D515" s="16" t="str">
        <f t="shared" si="97"/>
        <v>18RIO AVE 130 SPE LTDA</v>
      </c>
      <c r="E515" s="17">
        <f t="shared" si="100"/>
        <v>18</v>
      </c>
      <c r="F515" s="18" t="str">
        <f t="shared" si="98"/>
        <v>61RIO AVE 130 SPE LTDA</v>
      </c>
      <c r="G515" s="18">
        <f t="shared" si="101"/>
        <v>61</v>
      </c>
      <c r="H515" s="19" t="str">
        <f t="shared" si="99"/>
        <v>48RIO AVE 130 SPE LTDA</v>
      </c>
      <c r="I515" s="19">
        <f t="shared" si="102"/>
        <v>48</v>
      </c>
      <c r="J515" s="13" t="s">
        <v>102</v>
      </c>
      <c r="K515" s="13" t="s">
        <v>632</v>
      </c>
      <c r="L515" s="13" t="s">
        <v>54</v>
      </c>
      <c r="M515" s="13" t="s">
        <v>55</v>
      </c>
      <c r="N515" s="20">
        <v>1608.6</v>
      </c>
      <c r="O515" s="20">
        <v>1622.13</v>
      </c>
      <c r="P515" s="21">
        <v>44959</v>
      </c>
      <c r="Q515" s="22"/>
      <c r="R515" s="23">
        <v>1622.13</v>
      </c>
      <c r="S515" s="24"/>
      <c r="T515" s="23"/>
      <c r="U515" s="24"/>
      <c r="V515" s="23"/>
      <c r="W515" s="23"/>
      <c r="X515" s="24"/>
      <c r="Y515" s="23"/>
      <c r="Z515" s="23"/>
      <c r="AA515" s="23">
        <v>8.5599999999999987</v>
      </c>
      <c r="AB515" s="23"/>
      <c r="AC515" s="24"/>
      <c r="AD515" s="23">
        <v>514</v>
      </c>
      <c r="AE515" s="24">
        <v>2636.6257142857139</v>
      </c>
      <c r="AF515" s="23"/>
      <c r="AG515" s="23"/>
      <c r="AH515" s="23">
        <v>38.800000000000004</v>
      </c>
      <c r="AI515" s="24">
        <v>0</v>
      </c>
      <c r="AJ515" s="25">
        <v>676.86</v>
      </c>
      <c r="AK515" s="23">
        <v>149.22</v>
      </c>
      <c r="AL515" s="23">
        <v>-26.73</v>
      </c>
      <c r="AM515" s="24">
        <v>203</v>
      </c>
      <c r="AN515" s="23"/>
      <c r="AO515" s="24"/>
      <c r="AP515" s="23"/>
      <c r="AQ515" s="24"/>
      <c r="AR515" s="23">
        <v>105.79</v>
      </c>
      <c r="AS515" s="23">
        <v>-791.2</v>
      </c>
      <c r="AT515" s="23"/>
      <c r="AU515" s="24"/>
      <c r="AV515" s="32"/>
      <c r="AW515" s="27">
        <f t="shared" si="103"/>
        <v>676.86051499999996</v>
      </c>
      <c r="AX515" s="27">
        <f t="shared" si="104"/>
        <v>514.00051499999995</v>
      </c>
      <c r="AY515" s="27">
        <f t="shared" si="105"/>
        <v>5.1500000000000005E-4</v>
      </c>
      <c r="AZ515" s="27">
        <f t="shared" si="106"/>
        <v>5.1500000000000005E-4</v>
      </c>
    </row>
    <row r="516" spans="1:52" ht="15" customHeight="1" x14ac:dyDescent="0.25">
      <c r="A516" s="13" t="str">
        <f>VLOOKUP(L516,[1]VALIDAÇÃO!$D$13:$E$350,2,0)</f>
        <v>DIRETO</v>
      </c>
      <c r="B516" s="14" t="str">
        <f t="shared" si="96"/>
        <v>83RESERVA DO PAIVA SPE 03 LTDA</v>
      </c>
      <c r="C516" s="15">
        <f t="shared" si="107"/>
        <v>83</v>
      </c>
      <c r="D516" s="16" t="str">
        <f t="shared" si="97"/>
        <v>138RESERVA DO PAIVA SPE 03 LTDA</v>
      </c>
      <c r="E516" s="17">
        <f t="shared" si="100"/>
        <v>138</v>
      </c>
      <c r="F516" s="18" t="str">
        <f t="shared" si="98"/>
        <v>137RESERVA DO PAIVA SPE 03 LTDA</v>
      </c>
      <c r="G516" s="18">
        <f t="shared" si="101"/>
        <v>137</v>
      </c>
      <c r="H516" s="19" t="str">
        <f t="shared" si="99"/>
        <v>100RESERVA DO PAIVA SPE 03 LTDA</v>
      </c>
      <c r="I516" s="19">
        <f t="shared" si="102"/>
        <v>100</v>
      </c>
      <c r="J516" s="13" t="s">
        <v>52</v>
      </c>
      <c r="K516" s="13" t="s">
        <v>633</v>
      </c>
      <c r="L516" s="13" t="s">
        <v>63</v>
      </c>
      <c r="M516" s="13" t="s">
        <v>55</v>
      </c>
      <c r="N516" s="20">
        <v>1174.3800000000001</v>
      </c>
      <c r="O516" s="20">
        <v>2156</v>
      </c>
      <c r="P516" s="21">
        <v>45951</v>
      </c>
      <c r="Q516" s="22"/>
      <c r="R516" s="23">
        <v>2156</v>
      </c>
      <c r="S516" s="24"/>
      <c r="T516" s="23"/>
      <c r="U516" s="24"/>
      <c r="V516" s="23"/>
      <c r="W516" s="23"/>
      <c r="X516" s="24"/>
      <c r="Y516" s="23"/>
      <c r="Z516" s="23"/>
      <c r="AA516" s="23">
        <v>0.06</v>
      </c>
      <c r="AB516" s="23"/>
      <c r="AC516" s="24"/>
      <c r="AD516" s="23">
        <v>15.259999999999998</v>
      </c>
      <c r="AE516" s="24">
        <v>308</v>
      </c>
      <c r="AF516" s="23"/>
      <c r="AG516" s="23"/>
      <c r="AH516" s="23">
        <v>0.21000000000000002</v>
      </c>
      <c r="AI516" s="24">
        <v>0</v>
      </c>
      <c r="AJ516" s="25">
        <v>167.09</v>
      </c>
      <c r="AK516" s="23">
        <v>37.220000000000006</v>
      </c>
      <c r="AL516" s="23"/>
      <c r="AM516" s="24"/>
      <c r="AN516" s="23"/>
      <c r="AO516" s="24"/>
      <c r="AP516" s="23"/>
      <c r="AQ516" s="24"/>
      <c r="AR516" s="23">
        <v>4.6599999999999993</v>
      </c>
      <c r="AS516" s="23">
        <v>-924</v>
      </c>
      <c r="AT516" s="23"/>
      <c r="AU516" s="24"/>
      <c r="AV516" s="32"/>
      <c r="AW516" s="27">
        <f t="shared" si="103"/>
        <v>167.09051600000001</v>
      </c>
      <c r="AX516" s="27">
        <f t="shared" si="104"/>
        <v>15.260515999999997</v>
      </c>
      <c r="AY516" s="27">
        <f t="shared" si="105"/>
        <v>5.1599999999999997E-4</v>
      </c>
      <c r="AZ516" s="27">
        <f t="shared" si="106"/>
        <v>5.1599999999999997E-4</v>
      </c>
    </row>
    <row r="517" spans="1:52" ht="15" customHeight="1" x14ac:dyDescent="0.25">
      <c r="A517" s="13" t="str">
        <f>VLOOKUP(L517,[1]VALIDAÇÃO!$D$13:$E$350,2,0)</f>
        <v>DIRETO</v>
      </c>
      <c r="B517" s="14" t="str">
        <f t="shared" si="96"/>
        <v>35RIO AVE 130 SPE LTDA</v>
      </c>
      <c r="C517" s="15">
        <f t="shared" si="107"/>
        <v>35</v>
      </c>
      <c r="D517" s="16" t="str">
        <f t="shared" si="97"/>
        <v>22RIO AVE 130 SPE LTDA</v>
      </c>
      <c r="E517" s="17">
        <f t="shared" si="100"/>
        <v>22</v>
      </c>
      <c r="F517" s="18" t="str">
        <f t="shared" si="98"/>
        <v>38RIO AVE 130 SPE LTDA</v>
      </c>
      <c r="G517" s="18">
        <f t="shared" si="101"/>
        <v>38</v>
      </c>
      <c r="H517" s="19" t="str">
        <f t="shared" si="99"/>
        <v>4RIO AVE 130 SPE LTDA</v>
      </c>
      <c r="I517" s="19">
        <f t="shared" si="102"/>
        <v>4</v>
      </c>
      <c r="J517" s="13" t="s">
        <v>102</v>
      </c>
      <c r="K517" s="13" t="s">
        <v>634</v>
      </c>
      <c r="L517" s="13" t="s">
        <v>54</v>
      </c>
      <c r="M517" s="13" t="s">
        <v>55</v>
      </c>
      <c r="N517" s="20">
        <v>117</v>
      </c>
      <c r="O517" s="20">
        <v>1622.13</v>
      </c>
      <c r="P517" s="21">
        <v>45390</v>
      </c>
      <c r="Q517" s="22"/>
      <c r="R517" s="23">
        <v>1622.13</v>
      </c>
      <c r="S517" s="24"/>
      <c r="T517" s="23"/>
      <c r="U517" s="24"/>
      <c r="V517" s="23"/>
      <c r="W517" s="23"/>
      <c r="X517" s="24"/>
      <c r="Y517" s="23"/>
      <c r="Z517" s="23"/>
      <c r="AA517" s="23">
        <v>11.2</v>
      </c>
      <c r="AB517" s="23">
        <v>119.92</v>
      </c>
      <c r="AC517" s="24">
        <v>670.38714285714286</v>
      </c>
      <c r="AD517" s="23">
        <v>442.71000000000004</v>
      </c>
      <c r="AE517" s="24">
        <v>2232.9757142857143</v>
      </c>
      <c r="AF517" s="23"/>
      <c r="AG517" s="23"/>
      <c r="AH517" s="23">
        <v>51.26</v>
      </c>
      <c r="AI517" s="24">
        <v>0</v>
      </c>
      <c r="AJ517" s="25">
        <v>531.37</v>
      </c>
      <c r="AK517" s="23">
        <v>116.04999999999998</v>
      </c>
      <c r="AL517" s="23">
        <v>-79</v>
      </c>
      <c r="AM517" s="24">
        <v>600</v>
      </c>
      <c r="AN517" s="23"/>
      <c r="AO517" s="24"/>
      <c r="AP517" s="23">
        <v>260.57</v>
      </c>
      <c r="AQ517" s="24">
        <v>989.5</v>
      </c>
      <c r="AR517" s="23">
        <v>173.76000000000002</v>
      </c>
      <c r="AS517" s="23">
        <v>-800.2</v>
      </c>
      <c r="AT517" s="23"/>
      <c r="AU517" s="24"/>
      <c r="AV517" s="32"/>
      <c r="AW517" s="27">
        <f t="shared" si="103"/>
        <v>531.37051699999995</v>
      </c>
      <c r="AX517" s="27">
        <f t="shared" si="104"/>
        <v>442.71051700000004</v>
      </c>
      <c r="AY517" s="27">
        <f t="shared" si="105"/>
        <v>119.920517</v>
      </c>
      <c r="AZ517" s="27">
        <f t="shared" si="106"/>
        <v>260.570517</v>
      </c>
    </row>
    <row r="518" spans="1:52" ht="15" customHeight="1" x14ac:dyDescent="0.25">
      <c r="A518" s="13" t="str">
        <f>VLOOKUP(L518,[1]VALIDAÇÃO!$D$13:$E$350,2,0)</f>
        <v>DIRETO</v>
      </c>
      <c r="B518" s="14" t="str">
        <f t="shared" si="96"/>
        <v>141RESERVA DO PAIVA SPE 03 LTDA</v>
      </c>
      <c r="C518" s="15">
        <f t="shared" si="107"/>
        <v>141</v>
      </c>
      <c r="D518" s="16" t="str">
        <f t="shared" si="97"/>
        <v>135RESERVA DO PAIVA SPE 03 LTDA</v>
      </c>
      <c r="E518" s="17">
        <f t="shared" si="100"/>
        <v>135</v>
      </c>
      <c r="F518" s="18" t="str">
        <f t="shared" si="98"/>
        <v>136RESERVA DO PAIVA SPE 03 LTDA</v>
      </c>
      <c r="G518" s="18">
        <f t="shared" si="101"/>
        <v>136</v>
      </c>
      <c r="H518" s="19" t="str">
        <f t="shared" si="99"/>
        <v>99RESERVA DO PAIVA SPE 03 LTDA</v>
      </c>
      <c r="I518" s="19">
        <f t="shared" si="102"/>
        <v>99</v>
      </c>
      <c r="J518" s="13" t="s">
        <v>52</v>
      </c>
      <c r="K518" s="13" t="s">
        <v>635</v>
      </c>
      <c r="L518" s="13" t="s">
        <v>63</v>
      </c>
      <c r="M518" s="13" t="s">
        <v>55</v>
      </c>
      <c r="N518" s="20">
        <v>893.91</v>
      </c>
      <c r="O518" s="20">
        <v>2156</v>
      </c>
      <c r="P518" s="21">
        <v>45992</v>
      </c>
      <c r="Q518" s="22"/>
      <c r="R518" s="23">
        <v>2156</v>
      </c>
      <c r="S518" s="24"/>
      <c r="T518" s="23"/>
      <c r="U518" s="24"/>
      <c r="V518" s="23"/>
      <c r="W518" s="23"/>
      <c r="X518" s="24"/>
      <c r="Y518" s="23"/>
      <c r="Z518" s="23"/>
      <c r="AA518" s="23"/>
      <c r="AB518" s="23"/>
      <c r="AC518" s="24"/>
      <c r="AD518" s="23">
        <v>20.23</v>
      </c>
      <c r="AE518" s="24">
        <v>68</v>
      </c>
      <c r="AF518" s="23"/>
      <c r="AG518" s="23"/>
      <c r="AH518" s="23"/>
      <c r="AI518" s="24"/>
      <c r="AJ518" s="25"/>
      <c r="AK518" s="23"/>
      <c r="AL518" s="23"/>
      <c r="AM518" s="24"/>
      <c r="AN518" s="23"/>
      <c r="AO518" s="24"/>
      <c r="AP518" s="23"/>
      <c r="AQ518" s="24"/>
      <c r="AR518" s="23">
        <v>4.4000000000000004</v>
      </c>
      <c r="AS518" s="23">
        <v>-924</v>
      </c>
      <c r="AT518" s="23"/>
      <c r="AU518" s="24"/>
      <c r="AV518" s="32"/>
      <c r="AW518" s="27">
        <f t="shared" si="103"/>
        <v>5.1800000000000001E-4</v>
      </c>
      <c r="AX518" s="27">
        <f t="shared" si="104"/>
        <v>20.230518</v>
      </c>
      <c r="AY518" s="27">
        <f t="shared" si="105"/>
        <v>5.1800000000000001E-4</v>
      </c>
      <c r="AZ518" s="27">
        <f t="shared" si="106"/>
        <v>5.1800000000000001E-4</v>
      </c>
    </row>
    <row r="519" spans="1:52" ht="15" customHeight="1" x14ac:dyDescent="0.25">
      <c r="A519" s="13" t="str">
        <f>VLOOKUP(L519,[1]VALIDAÇÃO!$D$13:$E$350,2,0)</f>
        <v>DIRETO</v>
      </c>
      <c r="B519" s="14" t="str">
        <f t="shared" si="96"/>
        <v>5RESERVA DO PAIVA SPE 03 LTDA</v>
      </c>
      <c r="C519" s="15">
        <f t="shared" si="107"/>
        <v>5</v>
      </c>
      <c r="D519" s="16" t="str">
        <f t="shared" si="97"/>
        <v>69RESERVA DO PAIVA SPE 03 LTDA</v>
      </c>
      <c r="E519" s="17">
        <f t="shared" si="100"/>
        <v>69</v>
      </c>
      <c r="F519" s="18" t="str">
        <f t="shared" si="98"/>
        <v>113RESERVA DO PAIVA SPE 03 LTDA</v>
      </c>
      <c r="G519" s="18">
        <f t="shared" si="101"/>
        <v>113</v>
      </c>
      <c r="H519" s="19" t="str">
        <f t="shared" si="99"/>
        <v>59RESERVA DO PAIVA SPE 03 LTDA</v>
      </c>
      <c r="I519" s="19">
        <f t="shared" si="102"/>
        <v>59</v>
      </c>
      <c r="J519" s="13" t="s">
        <v>52</v>
      </c>
      <c r="K519" s="13" t="s">
        <v>636</v>
      </c>
      <c r="L519" s="13" t="s">
        <v>66</v>
      </c>
      <c r="M519" s="13" t="s">
        <v>55</v>
      </c>
      <c r="N519" s="20">
        <v>1913.52</v>
      </c>
      <c r="O519" s="20">
        <v>2156</v>
      </c>
      <c r="P519" s="21">
        <v>45483</v>
      </c>
      <c r="Q519" s="22"/>
      <c r="R519" s="23">
        <v>2156</v>
      </c>
      <c r="S519" s="24"/>
      <c r="T519" s="23"/>
      <c r="U519" s="24"/>
      <c r="V519" s="23"/>
      <c r="W519" s="23">
        <v>0.64999999999999991</v>
      </c>
      <c r="X519" s="24">
        <v>16.47</v>
      </c>
      <c r="Y519" s="23"/>
      <c r="Z519" s="23"/>
      <c r="AA519" s="23">
        <v>6</v>
      </c>
      <c r="AB519" s="23">
        <v>19.869999999999997</v>
      </c>
      <c r="AC519" s="24">
        <v>150.53</v>
      </c>
      <c r="AD519" s="23">
        <v>217.37</v>
      </c>
      <c r="AE519" s="24">
        <v>860.16285714285709</v>
      </c>
      <c r="AF519" s="23"/>
      <c r="AG519" s="23"/>
      <c r="AH519" s="23">
        <v>27</v>
      </c>
      <c r="AI519" s="24">
        <v>0</v>
      </c>
      <c r="AJ519" s="25">
        <v>1439.42</v>
      </c>
      <c r="AK519" s="23">
        <v>318.42</v>
      </c>
      <c r="AL519" s="23"/>
      <c r="AM519" s="24"/>
      <c r="AN519" s="23"/>
      <c r="AO519" s="24"/>
      <c r="AP519" s="23">
        <v>46.18</v>
      </c>
      <c r="AQ519" s="24">
        <v>158.22999999999999</v>
      </c>
      <c r="AR519" s="23">
        <v>58.23</v>
      </c>
      <c r="AS519" s="23">
        <v>-984</v>
      </c>
      <c r="AT519" s="23"/>
      <c r="AU519" s="24"/>
      <c r="AV519" s="32"/>
      <c r="AW519" s="27">
        <f t="shared" si="103"/>
        <v>1439.420519</v>
      </c>
      <c r="AX519" s="27">
        <f t="shared" si="104"/>
        <v>217.370519</v>
      </c>
      <c r="AY519" s="27">
        <f t="shared" si="105"/>
        <v>19.870518999999998</v>
      </c>
      <c r="AZ519" s="27">
        <f t="shared" si="106"/>
        <v>46.180518999999997</v>
      </c>
    </row>
    <row r="520" spans="1:52" ht="15" customHeight="1" x14ac:dyDescent="0.25">
      <c r="A520" s="13" t="str">
        <f>VLOOKUP(L520,[1]VALIDAÇÃO!$D$13:$E$350,2,0)</f>
        <v>DIRETO</v>
      </c>
      <c r="B520" s="14" t="str">
        <f t="shared" si="96"/>
        <v>45RESERVA DO PAIVA SPE 01 LTDA.</v>
      </c>
      <c r="C520" s="15">
        <f t="shared" si="107"/>
        <v>45</v>
      </c>
      <c r="D520" s="16" t="str">
        <f t="shared" si="97"/>
        <v>63RESERVA DO PAIVA SPE 01 LTDA.</v>
      </c>
      <c r="E520" s="17">
        <f t="shared" si="100"/>
        <v>63</v>
      </c>
      <c r="F520" s="18" t="str">
        <f t="shared" si="98"/>
        <v>35RESERVA DO PAIVA SPE 01 LTDA.</v>
      </c>
      <c r="G520" s="18">
        <f t="shared" si="101"/>
        <v>35</v>
      </c>
      <c r="H520" s="19" t="str">
        <f t="shared" si="99"/>
        <v>23RESERVA DO PAIVA SPE 01 LTDA.</v>
      </c>
      <c r="I520" s="19">
        <f t="shared" si="102"/>
        <v>23</v>
      </c>
      <c r="J520" s="13" t="s">
        <v>68</v>
      </c>
      <c r="K520" s="13" t="s">
        <v>637</v>
      </c>
      <c r="L520" s="13" t="s">
        <v>54</v>
      </c>
      <c r="M520" s="13" t="s">
        <v>55</v>
      </c>
      <c r="N520" s="20">
        <v>1465.64</v>
      </c>
      <c r="O520" s="20">
        <v>1622.13</v>
      </c>
      <c r="P520" s="21">
        <v>45677</v>
      </c>
      <c r="Q520" s="22"/>
      <c r="R520" s="23">
        <v>1622.13</v>
      </c>
      <c r="S520" s="24"/>
      <c r="T520" s="23"/>
      <c r="U520" s="24"/>
      <c r="V520" s="23"/>
      <c r="W520" s="23"/>
      <c r="X520" s="24"/>
      <c r="Y520" s="23"/>
      <c r="Z520" s="23"/>
      <c r="AA520" s="23">
        <v>13.700000000000001</v>
      </c>
      <c r="AB520" s="23">
        <v>311.32</v>
      </c>
      <c r="AC520" s="24">
        <v>1755.7828571428572</v>
      </c>
      <c r="AD520" s="23">
        <v>75.400000000000006</v>
      </c>
      <c r="AE520" s="24">
        <v>391.38285714285712</v>
      </c>
      <c r="AF520" s="23"/>
      <c r="AG520" s="23"/>
      <c r="AH520" s="23">
        <v>59.95</v>
      </c>
      <c r="AI520" s="24">
        <v>0</v>
      </c>
      <c r="AJ520" s="25">
        <v>624.22</v>
      </c>
      <c r="AK520" s="23">
        <v>137.61000000000001</v>
      </c>
      <c r="AL520" s="23">
        <v>-54.53</v>
      </c>
      <c r="AM520" s="24">
        <v>414.14</v>
      </c>
      <c r="AN520" s="23"/>
      <c r="AO520" s="24"/>
      <c r="AP520" s="23">
        <v>465.78</v>
      </c>
      <c r="AQ520" s="24">
        <v>2090.7542857142857</v>
      </c>
      <c r="AR520" s="23">
        <v>192.8</v>
      </c>
      <c r="AS520" s="23">
        <v>-695.2</v>
      </c>
      <c r="AT520" s="23"/>
      <c r="AU520" s="24"/>
      <c r="AV520" s="32"/>
      <c r="AW520" s="27">
        <f t="shared" si="103"/>
        <v>624.22052000000008</v>
      </c>
      <c r="AX520" s="27">
        <f t="shared" si="104"/>
        <v>75.40052</v>
      </c>
      <c r="AY520" s="27">
        <f t="shared" si="105"/>
        <v>311.32051999999999</v>
      </c>
      <c r="AZ520" s="27">
        <f t="shared" si="106"/>
        <v>465.78051999999997</v>
      </c>
    </row>
    <row r="521" spans="1:52" ht="15" customHeight="1" x14ac:dyDescent="0.25">
      <c r="A521" s="13" t="str">
        <f>VLOOKUP(L521,[1]VALIDAÇÃO!$D$13:$E$350,2,0)</f>
        <v>DIRETO</v>
      </c>
      <c r="B521" s="14" t="str">
        <f t="shared" si="96"/>
        <v>1RIO AVE PRAIA HOTEL SPE LTDA.</v>
      </c>
      <c r="C521" s="15">
        <f t="shared" si="107"/>
        <v>1</v>
      </c>
      <c r="D521" s="16" t="str">
        <f t="shared" si="97"/>
        <v>20RIO AVE PRAIA HOTEL SPE LTDA.</v>
      </c>
      <c r="E521" s="17">
        <f t="shared" si="100"/>
        <v>20</v>
      </c>
      <c r="F521" s="18" t="str">
        <f t="shared" si="98"/>
        <v>8RIO AVE PRAIA HOTEL SPE LTDA.</v>
      </c>
      <c r="G521" s="18">
        <f t="shared" si="101"/>
        <v>8</v>
      </c>
      <c r="H521" s="19" t="str">
        <f t="shared" si="99"/>
        <v>20RIO AVE PRAIA HOTEL SPE LTDA.</v>
      </c>
      <c r="I521" s="19">
        <f t="shared" si="102"/>
        <v>20</v>
      </c>
      <c r="J521" s="13" t="s">
        <v>80</v>
      </c>
      <c r="K521" s="13" t="s">
        <v>638</v>
      </c>
      <c r="L521" s="13" t="s">
        <v>63</v>
      </c>
      <c r="M521" s="13" t="s">
        <v>82</v>
      </c>
      <c r="N521" s="20">
        <v>2106.56</v>
      </c>
      <c r="O521" s="20">
        <v>2079</v>
      </c>
      <c r="P521" s="21">
        <v>45572</v>
      </c>
      <c r="Q521" s="22"/>
      <c r="R521" s="23">
        <v>2079</v>
      </c>
      <c r="S521" s="24"/>
      <c r="T521" s="23"/>
      <c r="U521" s="24"/>
      <c r="V521" s="23"/>
      <c r="W521" s="23"/>
      <c r="X521" s="24"/>
      <c r="Y521" s="23"/>
      <c r="Z521" s="23"/>
      <c r="AA521" s="23">
        <v>15.12</v>
      </c>
      <c r="AB521" s="23">
        <v>418.48</v>
      </c>
      <c r="AC521" s="24">
        <v>1530.1985714285715</v>
      </c>
      <c r="AD521" s="23">
        <v>4.66</v>
      </c>
      <c r="AE521" s="24">
        <v>16.95</v>
      </c>
      <c r="AF521" s="23"/>
      <c r="AG521" s="23"/>
      <c r="AH521" s="23">
        <v>71.5</v>
      </c>
      <c r="AI521" s="24">
        <v>0</v>
      </c>
      <c r="AJ521" s="25">
        <v>1720.1200000000001</v>
      </c>
      <c r="AK521" s="23">
        <v>358.18</v>
      </c>
      <c r="AL521" s="23"/>
      <c r="AM521" s="24"/>
      <c r="AN521" s="23"/>
      <c r="AO521" s="24"/>
      <c r="AP521" s="23">
        <v>178.86999999999998</v>
      </c>
      <c r="AQ521" s="24">
        <v>519.10571428571427</v>
      </c>
      <c r="AR521" s="23">
        <v>128.22999999999999</v>
      </c>
      <c r="AS521" s="23">
        <v>-924</v>
      </c>
      <c r="AT521" s="23"/>
      <c r="AU521" s="24"/>
      <c r="AV521" s="32"/>
      <c r="AW521" s="27">
        <f t="shared" si="103"/>
        <v>1720.1205210000001</v>
      </c>
      <c r="AX521" s="27">
        <f t="shared" si="104"/>
        <v>4.6605210000000001</v>
      </c>
      <c r="AY521" s="27">
        <f t="shared" si="105"/>
        <v>418.48052100000001</v>
      </c>
      <c r="AZ521" s="27">
        <f t="shared" si="106"/>
        <v>178.87052099999997</v>
      </c>
    </row>
    <row r="522" spans="1:52" ht="15" customHeight="1" x14ac:dyDescent="0.25">
      <c r="A522" s="13" t="str">
        <f>VLOOKUP(L522,[1]VALIDAÇÃO!$D$13:$E$350,2,0)</f>
        <v>DIRETO</v>
      </c>
      <c r="B522" s="14" t="str">
        <f t="shared" si="96"/>
        <v>37RIO AVE 130 SPE LTDA</v>
      </c>
      <c r="C522" s="15">
        <f t="shared" si="107"/>
        <v>37</v>
      </c>
      <c r="D522" s="16" t="str">
        <f t="shared" si="97"/>
        <v>16RIO AVE 130 SPE LTDA</v>
      </c>
      <c r="E522" s="17">
        <f t="shared" si="100"/>
        <v>16</v>
      </c>
      <c r="F522" s="18" t="str">
        <f t="shared" si="98"/>
        <v>29RIO AVE 130 SPE LTDA</v>
      </c>
      <c r="G522" s="18">
        <f t="shared" si="101"/>
        <v>29</v>
      </c>
      <c r="H522" s="19" t="str">
        <f t="shared" si="99"/>
        <v>21RIO AVE 130 SPE LTDA</v>
      </c>
      <c r="I522" s="19">
        <f t="shared" si="102"/>
        <v>21</v>
      </c>
      <c r="J522" s="13" t="s">
        <v>102</v>
      </c>
      <c r="K522" s="13" t="s">
        <v>639</v>
      </c>
      <c r="L522" s="13" t="s">
        <v>54</v>
      </c>
      <c r="M522" s="13" t="s">
        <v>55</v>
      </c>
      <c r="N522" s="20">
        <v>1607.68</v>
      </c>
      <c r="O522" s="20">
        <v>1622.13</v>
      </c>
      <c r="P522" s="21">
        <v>45068</v>
      </c>
      <c r="Q522" s="22"/>
      <c r="R522" s="23">
        <v>1622.13</v>
      </c>
      <c r="S522" s="24"/>
      <c r="T522" s="23"/>
      <c r="U522" s="24"/>
      <c r="V522" s="23"/>
      <c r="W522" s="23"/>
      <c r="X522" s="24"/>
      <c r="Y522" s="23"/>
      <c r="Z522" s="23"/>
      <c r="AA522" s="23">
        <v>10.39</v>
      </c>
      <c r="AB522" s="23">
        <v>195.86</v>
      </c>
      <c r="AC522" s="24">
        <v>931.51</v>
      </c>
      <c r="AD522" s="23">
        <v>576.96</v>
      </c>
      <c r="AE522" s="24">
        <v>2848.8371428571427</v>
      </c>
      <c r="AF522" s="23"/>
      <c r="AG522" s="23"/>
      <c r="AH522" s="23">
        <v>47.809999999999995</v>
      </c>
      <c r="AI522" s="24">
        <v>0</v>
      </c>
      <c r="AJ522" s="25">
        <v>466.76</v>
      </c>
      <c r="AK522" s="23">
        <v>103.91</v>
      </c>
      <c r="AL522" s="23">
        <v>-14.88</v>
      </c>
      <c r="AM522" s="24">
        <v>113</v>
      </c>
      <c r="AN522" s="23"/>
      <c r="AO522" s="24"/>
      <c r="AP522" s="23">
        <v>123.28999999999999</v>
      </c>
      <c r="AQ522" s="24">
        <v>468.17</v>
      </c>
      <c r="AR522" s="23">
        <v>192</v>
      </c>
      <c r="AS522" s="23">
        <v>-695.2</v>
      </c>
      <c r="AT522" s="23"/>
      <c r="AU522" s="24"/>
      <c r="AW522" s="27">
        <f t="shared" si="103"/>
        <v>466.76052199999998</v>
      </c>
      <c r="AX522" s="27">
        <f t="shared" si="104"/>
        <v>576.96052200000008</v>
      </c>
      <c r="AY522" s="27">
        <f t="shared" si="105"/>
        <v>195.860522</v>
      </c>
      <c r="AZ522" s="27">
        <f t="shared" si="106"/>
        <v>123.290522</v>
      </c>
    </row>
    <row r="523" spans="1:52" ht="15" customHeight="1" x14ac:dyDescent="0.25">
      <c r="A523" s="13" t="str">
        <f>VLOOKUP(L523,[1]VALIDAÇÃO!$D$13:$E$350,2,0)</f>
        <v>DIRETO</v>
      </c>
      <c r="B523" s="14" t="str">
        <f t="shared" si="96"/>
        <v>54RIO AVE CARNEIROS 01 SPE LTDA.</v>
      </c>
      <c r="C523" s="15">
        <f t="shared" si="107"/>
        <v>54</v>
      </c>
      <c r="D523" s="16" t="str">
        <f t="shared" si="97"/>
        <v>24RIO AVE CARNEIROS 01 SPE LTDA.</v>
      </c>
      <c r="E523" s="17">
        <f t="shared" si="100"/>
        <v>24</v>
      </c>
      <c r="F523" s="18" t="str">
        <f t="shared" si="98"/>
        <v>67RIO AVE CARNEIROS 01 SPE LTDA.</v>
      </c>
      <c r="G523" s="18">
        <f t="shared" si="101"/>
        <v>67</v>
      </c>
      <c r="H523" s="19" t="str">
        <f t="shared" si="99"/>
        <v>34RIO AVE CARNEIROS 01 SPE LTDA.</v>
      </c>
      <c r="I523" s="19">
        <f t="shared" si="102"/>
        <v>34</v>
      </c>
      <c r="J523" s="13" t="s">
        <v>61</v>
      </c>
      <c r="K523" s="13" t="s">
        <v>640</v>
      </c>
      <c r="L523" s="13" t="s">
        <v>54</v>
      </c>
      <c r="M523" s="13" t="s">
        <v>55</v>
      </c>
      <c r="N523" s="20">
        <v>1225.73</v>
      </c>
      <c r="O523" s="20">
        <v>1622.13</v>
      </c>
      <c r="P523" s="21">
        <v>45705</v>
      </c>
      <c r="Q523" s="22"/>
      <c r="R523" s="23">
        <v>1622.13</v>
      </c>
      <c r="S523" s="24"/>
      <c r="T523" s="23"/>
      <c r="U523" s="24"/>
      <c r="V523" s="23"/>
      <c r="W523" s="23"/>
      <c r="X523" s="24"/>
      <c r="Y523" s="23"/>
      <c r="Z523" s="23"/>
      <c r="AA523" s="23">
        <v>5.6899999999999995</v>
      </c>
      <c r="AB523" s="23">
        <v>87.89</v>
      </c>
      <c r="AC523" s="24">
        <v>601</v>
      </c>
      <c r="AD523" s="23">
        <v>343.82</v>
      </c>
      <c r="AE523" s="24">
        <v>2015.1428571428571</v>
      </c>
      <c r="AF523" s="23"/>
      <c r="AG523" s="23"/>
      <c r="AH523" s="23">
        <v>25.869999999999997</v>
      </c>
      <c r="AI523" s="24">
        <v>0</v>
      </c>
      <c r="AJ523" s="25">
        <v>426.4</v>
      </c>
      <c r="AK523" s="23">
        <v>93.86</v>
      </c>
      <c r="AL523" s="23"/>
      <c r="AM523" s="24"/>
      <c r="AN523" s="23"/>
      <c r="AO523" s="24"/>
      <c r="AP523" s="23">
        <v>37.260000000000005</v>
      </c>
      <c r="AQ523" s="24">
        <v>216.57142857142856</v>
      </c>
      <c r="AR523" s="23">
        <v>103.44</v>
      </c>
      <c r="AS523" s="23">
        <v>-785.2</v>
      </c>
      <c r="AT523" s="23"/>
      <c r="AU523" s="24"/>
      <c r="AW523" s="27">
        <f t="shared" si="103"/>
        <v>426.40052299999996</v>
      </c>
      <c r="AX523" s="27">
        <f t="shared" si="104"/>
        <v>343.82052299999998</v>
      </c>
      <c r="AY523" s="27">
        <f t="shared" si="105"/>
        <v>87.890523000000002</v>
      </c>
      <c r="AZ523" s="27">
        <f t="shared" si="106"/>
        <v>37.260523000000006</v>
      </c>
    </row>
    <row r="524" spans="1:52" ht="15" customHeight="1" x14ac:dyDescent="0.25">
      <c r="A524" s="13" t="str">
        <f>VLOOKUP(L524,[1]VALIDAÇÃO!$D$13:$E$350,2,0)</f>
        <v>DIRETO</v>
      </c>
      <c r="B524" s="14" t="str">
        <f t="shared" si="96"/>
        <v>80RESERVA DO PAIVA SPE 03 LTDA</v>
      </c>
      <c r="C524" s="15">
        <f t="shared" si="107"/>
        <v>80</v>
      </c>
      <c r="D524" s="16" t="str">
        <f t="shared" si="97"/>
        <v>49RESERVA DO PAIVA SPE 03 LTDA</v>
      </c>
      <c r="E524" s="17">
        <f t="shared" si="100"/>
        <v>49</v>
      </c>
      <c r="F524" s="18" t="str">
        <f t="shared" si="98"/>
        <v>21RESERVA DO PAIVA SPE 03 LTDA</v>
      </c>
      <c r="G524" s="18">
        <f t="shared" si="101"/>
        <v>21</v>
      </c>
      <c r="H524" s="19" t="str">
        <f t="shared" si="99"/>
        <v>68RESERVA DO PAIVA SPE 03 LTDA</v>
      </c>
      <c r="I524" s="19">
        <f t="shared" si="102"/>
        <v>68</v>
      </c>
      <c r="J524" s="13" t="s">
        <v>52</v>
      </c>
      <c r="K524" s="13" t="s">
        <v>641</v>
      </c>
      <c r="L524" s="13" t="s">
        <v>54</v>
      </c>
      <c r="M524" s="13" t="s">
        <v>55</v>
      </c>
      <c r="N524" s="20">
        <v>807.11</v>
      </c>
      <c r="O524" s="20">
        <v>1622.13</v>
      </c>
      <c r="P524" s="21">
        <v>45607</v>
      </c>
      <c r="Q524" s="22"/>
      <c r="R524" s="23">
        <v>1622.13</v>
      </c>
      <c r="S524" s="24"/>
      <c r="T524" s="23"/>
      <c r="U524" s="24"/>
      <c r="V524" s="23"/>
      <c r="W524" s="23"/>
      <c r="X524" s="24"/>
      <c r="Y524" s="23"/>
      <c r="Z524" s="23"/>
      <c r="AA524" s="23">
        <v>2.91</v>
      </c>
      <c r="AB524" s="23">
        <v>309.14</v>
      </c>
      <c r="AC524" s="24">
        <v>1656.2342857142858</v>
      </c>
      <c r="AD524" s="23">
        <v>328.07</v>
      </c>
      <c r="AE524" s="24">
        <v>1800.017142857143</v>
      </c>
      <c r="AF524" s="23"/>
      <c r="AG524" s="23"/>
      <c r="AH524" s="23">
        <v>13.389999999999999</v>
      </c>
      <c r="AI524" s="24">
        <v>0</v>
      </c>
      <c r="AJ524" s="25">
        <v>172.26</v>
      </c>
      <c r="AK524" s="23">
        <v>37.79</v>
      </c>
      <c r="AL524" s="23">
        <v>-123.26</v>
      </c>
      <c r="AM524" s="24">
        <v>936.17</v>
      </c>
      <c r="AN524" s="23"/>
      <c r="AO524" s="24"/>
      <c r="AP524" s="23">
        <v>25.38</v>
      </c>
      <c r="AQ524" s="24">
        <v>122.99285714285715</v>
      </c>
      <c r="AR524" s="23">
        <v>141.06</v>
      </c>
      <c r="AS524" s="23">
        <v>-695.2</v>
      </c>
      <c r="AT524" s="23"/>
      <c r="AU524" s="24"/>
      <c r="AW524" s="27">
        <f t="shared" si="103"/>
        <v>172.260524</v>
      </c>
      <c r="AX524" s="27">
        <f t="shared" si="104"/>
        <v>328.07052399999998</v>
      </c>
      <c r="AY524" s="27">
        <f t="shared" si="105"/>
        <v>309.14052399999997</v>
      </c>
      <c r="AZ524" s="27">
        <f t="shared" si="106"/>
        <v>25.380523999999998</v>
      </c>
    </row>
    <row r="525" spans="1:52" ht="15" customHeight="1" x14ac:dyDescent="0.25">
      <c r="A525" s="13" t="str">
        <f>VLOOKUP(L525,[1]VALIDAÇÃO!$D$13:$E$350,2,0)</f>
        <v>INDIRETO</v>
      </c>
      <c r="B525" s="14" t="str">
        <f t="shared" si="96"/>
        <v>140RESERVA DO PAIVA SPE 03 LTDA</v>
      </c>
      <c r="C525" s="15">
        <f t="shared" si="107"/>
        <v>140</v>
      </c>
      <c r="D525" s="16" t="str">
        <f t="shared" si="97"/>
        <v>2RESERVA DO PAIVA SPE 03 LTDA</v>
      </c>
      <c r="E525" s="17">
        <f t="shared" si="100"/>
        <v>2</v>
      </c>
      <c r="F525" s="18" t="str">
        <f t="shared" si="98"/>
        <v>2RESERVA DO PAIVA SPE 03 LTDA</v>
      </c>
      <c r="G525" s="18">
        <f t="shared" si="101"/>
        <v>2</v>
      </c>
      <c r="H525" s="19" t="str">
        <f t="shared" si="99"/>
        <v>1RESERVA DO PAIVA SPE 03 LTDA</v>
      </c>
      <c r="I525" s="19">
        <f t="shared" si="102"/>
        <v>1</v>
      </c>
      <c r="J525" s="13" t="s">
        <v>52</v>
      </c>
      <c r="K525" s="13" t="s">
        <v>642</v>
      </c>
      <c r="L525" s="13" t="s">
        <v>643</v>
      </c>
      <c r="M525" s="13" t="s">
        <v>85</v>
      </c>
      <c r="N525" s="20">
        <v>2590.39</v>
      </c>
      <c r="O525" s="20">
        <v>3777.73</v>
      </c>
      <c r="P525" s="21">
        <v>45840</v>
      </c>
      <c r="Q525" s="22"/>
      <c r="R525" s="23">
        <v>3777.73</v>
      </c>
      <c r="S525" s="24"/>
      <c r="T525" s="23"/>
      <c r="U525" s="24"/>
      <c r="V525" s="23"/>
      <c r="W525" s="23"/>
      <c r="X525" s="24"/>
      <c r="Y525" s="23"/>
      <c r="Z525" s="23"/>
      <c r="AA525" s="23"/>
      <c r="AB525" s="23">
        <v>768.51</v>
      </c>
      <c r="AC525" s="24">
        <v>1903.9414285714286</v>
      </c>
      <c r="AD525" s="23">
        <v>1717.01</v>
      </c>
      <c r="AE525" s="24">
        <v>5052.698571428572</v>
      </c>
      <c r="AF525" s="23"/>
      <c r="AG525" s="23"/>
      <c r="AH525" s="23"/>
      <c r="AI525" s="24"/>
      <c r="AJ525" s="25"/>
      <c r="AK525" s="23"/>
      <c r="AL525" s="23">
        <v>-28.57</v>
      </c>
      <c r="AM525" s="24">
        <v>93.17</v>
      </c>
      <c r="AN525" s="23"/>
      <c r="AO525" s="24"/>
      <c r="AP525" s="23">
        <v>1428.0100000000002</v>
      </c>
      <c r="AQ525" s="24">
        <v>3001.5557142857142</v>
      </c>
      <c r="AR525" s="23">
        <v>870.12000000000012</v>
      </c>
      <c r="AS525" s="23">
        <v>-1619.03</v>
      </c>
      <c r="AT525" s="23"/>
      <c r="AU525" s="24"/>
      <c r="AW525" s="27">
        <f t="shared" si="103"/>
        <v>5.2499999999999997E-4</v>
      </c>
      <c r="AX525" s="27">
        <f t="shared" si="104"/>
        <v>1717.0105249999999</v>
      </c>
      <c r="AY525" s="27">
        <f t="shared" si="105"/>
        <v>768.51052500000003</v>
      </c>
      <c r="AZ525" s="27">
        <f t="shared" si="106"/>
        <v>1428.0105250000001</v>
      </c>
    </row>
    <row r="526" spans="1:52" ht="15" customHeight="1" x14ac:dyDescent="0.25">
      <c r="A526" s="13" t="str">
        <f>VLOOKUP(L526,[1]VALIDAÇÃO!$D$13:$E$350,2,0)</f>
        <v>DIRETO</v>
      </c>
      <c r="B526" s="14" t="str">
        <f t="shared" si="96"/>
        <v>4RESERVA DO PAIVA SPE 03 LTDA</v>
      </c>
      <c r="C526" s="15">
        <f t="shared" si="107"/>
        <v>4</v>
      </c>
      <c r="D526" s="16" t="str">
        <f t="shared" si="97"/>
        <v>50RESERVA DO PAIVA SPE 03 LTDA</v>
      </c>
      <c r="E526" s="17">
        <f t="shared" si="100"/>
        <v>50</v>
      </c>
      <c r="F526" s="18" t="str">
        <f t="shared" si="98"/>
        <v>89RESERVA DO PAIVA SPE 03 LTDA</v>
      </c>
      <c r="G526" s="18">
        <f t="shared" si="101"/>
        <v>89</v>
      </c>
      <c r="H526" s="19" t="str">
        <f t="shared" si="99"/>
        <v>98RESERVA DO PAIVA SPE 03 LTDA</v>
      </c>
      <c r="I526" s="19">
        <f t="shared" si="102"/>
        <v>98</v>
      </c>
      <c r="J526" s="13" t="s">
        <v>52</v>
      </c>
      <c r="K526" s="13" t="s">
        <v>644</v>
      </c>
      <c r="L526" s="13" t="s">
        <v>66</v>
      </c>
      <c r="M526" s="13" t="s">
        <v>55</v>
      </c>
      <c r="N526" s="20">
        <v>1899.18</v>
      </c>
      <c r="O526" s="20">
        <v>2156</v>
      </c>
      <c r="P526" s="21">
        <v>45691</v>
      </c>
      <c r="Q526" s="22"/>
      <c r="R526" s="23">
        <v>2156</v>
      </c>
      <c r="S526" s="24"/>
      <c r="T526" s="23"/>
      <c r="U526" s="24"/>
      <c r="V526" s="23"/>
      <c r="W526" s="23"/>
      <c r="X526" s="24"/>
      <c r="Y526" s="23"/>
      <c r="Z526" s="23"/>
      <c r="AA526" s="23">
        <v>7.81</v>
      </c>
      <c r="AB526" s="23">
        <v>82.09</v>
      </c>
      <c r="AC526" s="24">
        <v>387.74285714285713</v>
      </c>
      <c r="AD526" s="23">
        <v>312.49</v>
      </c>
      <c r="AE526" s="24">
        <v>1469.8414285714287</v>
      </c>
      <c r="AF526" s="23"/>
      <c r="AG526" s="23"/>
      <c r="AH526" s="23">
        <v>34.950000000000003</v>
      </c>
      <c r="AI526" s="24">
        <v>0</v>
      </c>
      <c r="AJ526" s="25">
        <v>1541.44</v>
      </c>
      <c r="AK526" s="23">
        <v>338.18</v>
      </c>
      <c r="AL526" s="23"/>
      <c r="AM526" s="24"/>
      <c r="AN526" s="23"/>
      <c r="AO526" s="24"/>
      <c r="AP526" s="23"/>
      <c r="AQ526" s="24"/>
      <c r="AR526" s="23">
        <v>86.74</v>
      </c>
      <c r="AS526" s="23">
        <v>-924</v>
      </c>
      <c r="AT526" s="23"/>
      <c r="AU526" s="24"/>
      <c r="AW526" s="27">
        <f t="shared" si="103"/>
        <v>1541.4405260000001</v>
      </c>
      <c r="AX526" s="27">
        <f t="shared" si="104"/>
        <v>312.49052599999999</v>
      </c>
      <c r="AY526" s="27">
        <f t="shared" si="105"/>
        <v>82.090525999999997</v>
      </c>
      <c r="AZ526" s="27">
        <f t="shared" si="106"/>
        <v>5.2599999999999999E-4</v>
      </c>
    </row>
    <row r="527" spans="1:52" ht="15" customHeight="1" x14ac:dyDescent="0.25">
      <c r="A527" s="13" t="str">
        <f>VLOOKUP(L527,[1]VALIDAÇÃO!$D$13:$E$350,2,0)</f>
        <v>DIRETO</v>
      </c>
      <c r="B527" s="14" t="str">
        <f t="shared" si="96"/>
        <v>41RESERVA DO PAIVA SPE 01 LTDA.</v>
      </c>
      <c r="C527" s="15">
        <f t="shared" si="107"/>
        <v>41</v>
      </c>
      <c r="D527" s="16" t="str">
        <f t="shared" si="97"/>
        <v>36RESERVA DO PAIVA SPE 01 LTDA.</v>
      </c>
      <c r="E527" s="17">
        <f t="shared" si="100"/>
        <v>36</v>
      </c>
      <c r="F527" s="18" t="str">
        <f t="shared" si="98"/>
        <v>49RESERVA DO PAIVA SPE 01 LTDA.</v>
      </c>
      <c r="G527" s="18">
        <f t="shared" si="101"/>
        <v>49</v>
      </c>
      <c r="H527" s="19" t="str">
        <f t="shared" si="99"/>
        <v>43RESERVA DO PAIVA SPE 01 LTDA.</v>
      </c>
      <c r="I527" s="19">
        <f t="shared" si="102"/>
        <v>43</v>
      </c>
      <c r="J527" s="13" t="s">
        <v>68</v>
      </c>
      <c r="K527" s="13" t="s">
        <v>645</v>
      </c>
      <c r="L527" s="13" t="s">
        <v>54</v>
      </c>
      <c r="M527" s="13" t="s">
        <v>55</v>
      </c>
      <c r="N527" s="20">
        <v>2017.75</v>
      </c>
      <c r="O527" s="20">
        <v>1622.13</v>
      </c>
      <c r="P527" s="21">
        <v>45890</v>
      </c>
      <c r="Q527" s="22"/>
      <c r="R527" s="23">
        <v>1622.13</v>
      </c>
      <c r="S527" s="24"/>
      <c r="T527" s="23"/>
      <c r="U527" s="24"/>
      <c r="V527" s="23"/>
      <c r="W527" s="23"/>
      <c r="X527" s="24"/>
      <c r="Y527" s="23"/>
      <c r="Z527" s="23"/>
      <c r="AA527" s="23">
        <v>18.979999999999997</v>
      </c>
      <c r="AB527" s="23">
        <v>193.46</v>
      </c>
      <c r="AC527" s="24">
        <v>1464.4285714285713</v>
      </c>
      <c r="AD527" s="23">
        <v>274.41000000000003</v>
      </c>
      <c r="AE527" s="24">
        <v>2096.2857142857142</v>
      </c>
      <c r="AF527" s="23"/>
      <c r="AG527" s="23"/>
      <c r="AH527" s="23">
        <v>87.649999999999991</v>
      </c>
      <c r="AI527" s="24">
        <v>0</v>
      </c>
      <c r="AJ527" s="25">
        <v>674.42</v>
      </c>
      <c r="AK527" s="23">
        <v>146.22</v>
      </c>
      <c r="AL527" s="23"/>
      <c r="AM527" s="24"/>
      <c r="AN527" s="23"/>
      <c r="AO527" s="24"/>
      <c r="AP527" s="23">
        <v>287.7</v>
      </c>
      <c r="AQ527" s="24">
        <v>1452.0714285714284</v>
      </c>
      <c r="AR527" s="23">
        <v>162</v>
      </c>
      <c r="AS527" s="23">
        <v>-695.2</v>
      </c>
      <c r="AT527" s="23"/>
      <c r="AU527" s="24"/>
      <c r="AW527" s="27">
        <f t="shared" si="103"/>
        <v>674.42052699999999</v>
      </c>
      <c r="AX527" s="27">
        <f t="shared" si="104"/>
        <v>274.410527</v>
      </c>
      <c r="AY527" s="27">
        <f t="shared" si="105"/>
        <v>193.46052700000001</v>
      </c>
      <c r="AZ527" s="27">
        <f t="shared" si="106"/>
        <v>287.70052699999997</v>
      </c>
    </row>
    <row r="528" spans="1:52" ht="15" customHeight="1" x14ac:dyDescent="0.25">
      <c r="A528" s="13" t="str">
        <f>VLOOKUP(L528,[1]VALIDAÇÃO!$D$13:$E$350,2,0)</f>
        <v>DIRETO</v>
      </c>
      <c r="B528" s="14" t="str">
        <f t="shared" si="96"/>
        <v>2RIO AVE INVESTIMENTOS LTDA</v>
      </c>
      <c r="C528" s="15">
        <f t="shared" si="107"/>
        <v>2</v>
      </c>
      <c r="D528" s="16" t="str">
        <f t="shared" si="97"/>
        <v>5RIO AVE INVESTIMENTOS LTDA</v>
      </c>
      <c r="E528" s="17">
        <f t="shared" si="100"/>
        <v>5</v>
      </c>
      <c r="F528" s="18" t="str">
        <f t="shared" si="98"/>
        <v>4RIO AVE INVESTIMENTOS LTDA</v>
      </c>
      <c r="G528" s="18">
        <f t="shared" si="101"/>
        <v>4</v>
      </c>
      <c r="H528" s="19" t="str">
        <f t="shared" si="99"/>
        <v>2RIO AVE INVESTIMENTOS LTDA</v>
      </c>
      <c r="I528" s="19">
        <f t="shared" si="102"/>
        <v>2</v>
      </c>
      <c r="J528" s="13" t="s">
        <v>304</v>
      </c>
      <c r="K528" s="13" t="s">
        <v>646</v>
      </c>
      <c r="L528" s="13" t="s">
        <v>137</v>
      </c>
      <c r="M528" s="13" t="s">
        <v>306</v>
      </c>
      <c r="N528" s="20">
        <v>2214.31</v>
      </c>
      <c r="O528" s="20">
        <v>2310</v>
      </c>
      <c r="P528" s="21">
        <v>43542</v>
      </c>
      <c r="Q528" s="22"/>
      <c r="R528" s="23">
        <v>2310</v>
      </c>
      <c r="S528" s="24"/>
      <c r="T528" s="23"/>
      <c r="U528" s="24"/>
      <c r="V528" s="23"/>
      <c r="W528" s="23">
        <v>0.45</v>
      </c>
      <c r="X528" s="24">
        <v>12.82</v>
      </c>
      <c r="Y528" s="23"/>
      <c r="Z528" s="23"/>
      <c r="AA528" s="23">
        <v>12.76</v>
      </c>
      <c r="AB528" s="23">
        <v>205.07</v>
      </c>
      <c r="AC528" s="24">
        <v>689.32</v>
      </c>
      <c r="AD528" s="23">
        <v>457.75</v>
      </c>
      <c r="AE528" s="24">
        <v>1538.67</v>
      </c>
      <c r="AF528" s="23"/>
      <c r="AG528" s="23"/>
      <c r="AH528" s="23">
        <v>64.08</v>
      </c>
      <c r="AI528" s="24">
        <v>0</v>
      </c>
      <c r="AJ528" s="25">
        <v>880.72</v>
      </c>
      <c r="AK528" s="23">
        <v>172.56</v>
      </c>
      <c r="AL528" s="23">
        <v>-4.7299999999999995</v>
      </c>
      <c r="AM528" s="24">
        <v>27</v>
      </c>
      <c r="AN528" s="23"/>
      <c r="AO528" s="24"/>
      <c r="AP528" s="23">
        <v>254.25</v>
      </c>
      <c r="AQ528" s="24">
        <v>726.44</v>
      </c>
      <c r="AR528" s="23">
        <v>182.85</v>
      </c>
      <c r="AS528" s="23">
        <v>-924</v>
      </c>
      <c r="AT528" s="23"/>
      <c r="AU528" s="24"/>
      <c r="AW528" s="27">
        <f t="shared" si="103"/>
        <v>880.72052800000006</v>
      </c>
      <c r="AX528" s="27">
        <f t="shared" si="104"/>
        <v>457.75052799999997</v>
      </c>
      <c r="AY528" s="27">
        <f t="shared" si="105"/>
        <v>205.070528</v>
      </c>
      <c r="AZ528" s="27">
        <f t="shared" si="106"/>
        <v>254.250528</v>
      </c>
    </row>
    <row r="529" spans="1:52" ht="15" customHeight="1" x14ac:dyDescent="0.25">
      <c r="A529" s="13" t="str">
        <f>VLOOKUP(L529,[1]VALIDAÇÃO!$D$13:$E$350,2,0)</f>
        <v>DIRETO</v>
      </c>
      <c r="B529" s="14" t="str">
        <f t="shared" si="96"/>
        <v>36RIO AVE 130 SPE LTDA</v>
      </c>
      <c r="C529" s="15">
        <f t="shared" si="107"/>
        <v>36</v>
      </c>
      <c r="D529" s="16" t="str">
        <f t="shared" si="97"/>
        <v>4RIO AVE 130 SPE LTDA</v>
      </c>
      <c r="E529" s="17">
        <f t="shared" si="100"/>
        <v>4</v>
      </c>
      <c r="F529" s="18" t="str">
        <f t="shared" si="98"/>
        <v>50RIO AVE 130 SPE LTDA</v>
      </c>
      <c r="G529" s="18">
        <f t="shared" si="101"/>
        <v>50</v>
      </c>
      <c r="H529" s="19" t="str">
        <f t="shared" si="99"/>
        <v>47RIO AVE 130 SPE LTDA</v>
      </c>
      <c r="I529" s="19">
        <f t="shared" si="102"/>
        <v>47</v>
      </c>
      <c r="J529" s="13" t="s">
        <v>102</v>
      </c>
      <c r="K529" s="13" t="s">
        <v>647</v>
      </c>
      <c r="L529" s="13" t="s">
        <v>54</v>
      </c>
      <c r="M529" s="13" t="s">
        <v>55</v>
      </c>
      <c r="N529" s="20">
        <v>1505.44</v>
      </c>
      <c r="O529" s="20">
        <v>1622.13</v>
      </c>
      <c r="P529" s="21">
        <v>45085</v>
      </c>
      <c r="Q529" s="22"/>
      <c r="R529" s="23">
        <v>1622.13</v>
      </c>
      <c r="S529" s="24"/>
      <c r="T529" s="23"/>
      <c r="U529" s="24"/>
      <c r="V529" s="23"/>
      <c r="W529" s="23"/>
      <c r="X529" s="24"/>
      <c r="Y529" s="23"/>
      <c r="Z529" s="23"/>
      <c r="AA529" s="23">
        <v>8.5499999999999989</v>
      </c>
      <c r="AB529" s="23">
        <v>4.57</v>
      </c>
      <c r="AC529" s="24">
        <v>68.067142857142855</v>
      </c>
      <c r="AD529" s="23">
        <v>779.56999999999994</v>
      </c>
      <c r="AE529" s="24">
        <v>3856.1942857142858</v>
      </c>
      <c r="AF529" s="23"/>
      <c r="AG529" s="23"/>
      <c r="AH529" s="23">
        <v>38.21</v>
      </c>
      <c r="AI529" s="24">
        <v>0</v>
      </c>
      <c r="AJ529" s="25">
        <v>467.6</v>
      </c>
      <c r="AK529" s="23">
        <v>102.92</v>
      </c>
      <c r="AL529" s="23">
        <v>-9.08</v>
      </c>
      <c r="AM529" s="24">
        <v>69</v>
      </c>
      <c r="AN529" s="23"/>
      <c r="AO529" s="24"/>
      <c r="AP529" s="23"/>
      <c r="AQ529" s="24"/>
      <c r="AR529" s="23">
        <v>160.24</v>
      </c>
      <c r="AS529" s="23">
        <v>-863.2</v>
      </c>
      <c r="AT529" s="23"/>
      <c r="AU529" s="24"/>
      <c r="AW529" s="27">
        <f t="shared" si="103"/>
        <v>467.60052899999999</v>
      </c>
      <c r="AX529" s="27">
        <f t="shared" si="104"/>
        <v>779.57052899999996</v>
      </c>
      <c r="AY529" s="27">
        <f t="shared" si="105"/>
        <v>4.5705290000000005</v>
      </c>
      <c r="AZ529" s="27">
        <f t="shared" si="106"/>
        <v>5.2899999999999996E-4</v>
      </c>
    </row>
    <row r="530" spans="1:52" ht="15" customHeight="1" x14ac:dyDescent="0.25">
      <c r="A530" s="13" t="str">
        <f>VLOOKUP(L530,[1]VALIDAÇÃO!$D$13:$E$350,2,0)</f>
        <v>DIRETO</v>
      </c>
      <c r="B530" s="14" t="str">
        <f t="shared" si="96"/>
        <v>56CONDOMINIO DO EDIFICIO EMPRESARIAL MARIE CURIE</v>
      </c>
      <c r="C530" s="15">
        <f t="shared" si="107"/>
        <v>56</v>
      </c>
      <c r="D530" s="16" t="str">
        <f t="shared" si="97"/>
        <v>118CONDOMINIO DO EDIFICIO EMPRESARIAL MARIE CURIE</v>
      </c>
      <c r="E530" s="17">
        <f t="shared" si="100"/>
        <v>118</v>
      </c>
      <c r="F530" s="18" t="str">
        <f t="shared" si="98"/>
        <v>104CONDOMINIO DO EDIFICIO EMPRESARIAL MARIE CURIE</v>
      </c>
      <c r="G530" s="18">
        <f t="shared" si="101"/>
        <v>104</v>
      </c>
      <c r="H530" s="19" t="str">
        <f t="shared" si="99"/>
        <v>64CONDOMINIO DO EDIFICIO EMPRESARIAL MARIE CURIE</v>
      </c>
      <c r="I530" s="19">
        <f t="shared" si="102"/>
        <v>64</v>
      </c>
      <c r="J530" s="13" t="s">
        <v>57</v>
      </c>
      <c r="K530" s="13" t="s">
        <v>648</v>
      </c>
      <c r="L530" s="13" t="s">
        <v>63</v>
      </c>
      <c r="M530" s="13" t="s">
        <v>60</v>
      </c>
      <c r="N530" s="20">
        <v>1420.56</v>
      </c>
      <c r="O530" s="20">
        <v>2156</v>
      </c>
      <c r="P530" s="21">
        <v>45901</v>
      </c>
      <c r="Q530" s="22"/>
      <c r="R530" s="23">
        <v>2156</v>
      </c>
      <c r="S530" s="24"/>
      <c r="T530" s="23"/>
      <c r="U530" s="24"/>
      <c r="V530" s="23"/>
      <c r="W530" s="23"/>
      <c r="X530" s="24"/>
      <c r="Y530" s="23"/>
      <c r="Z530" s="23"/>
      <c r="AA530" s="23">
        <v>0.03</v>
      </c>
      <c r="AB530" s="23"/>
      <c r="AC530" s="24"/>
      <c r="AD530" s="23">
        <v>1.5099999999999998</v>
      </c>
      <c r="AE530" s="24">
        <v>16.757142857142856</v>
      </c>
      <c r="AF530" s="23"/>
      <c r="AG530" s="23"/>
      <c r="AH530" s="23">
        <v>0.1</v>
      </c>
      <c r="AI530" s="24">
        <v>0</v>
      </c>
      <c r="AJ530" s="25">
        <v>473.25</v>
      </c>
      <c r="AK530" s="23">
        <v>106.37</v>
      </c>
      <c r="AL530" s="23"/>
      <c r="AM530" s="24"/>
      <c r="AN530" s="23"/>
      <c r="AO530" s="24"/>
      <c r="AP530" s="23"/>
      <c r="AQ530" s="24"/>
      <c r="AR530" s="23">
        <v>0.45999999999999996</v>
      </c>
      <c r="AS530" s="23">
        <v>-966</v>
      </c>
      <c r="AT530" s="23"/>
      <c r="AU530" s="24"/>
      <c r="AW530" s="27">
        <f t="shared" si="103"/>
        <v>473.25053000000003</v>
      </c>
      <c r="AX530" s="27">
        <f t="shared" si="104"/>
        <v>1.5105299999999997</v>
      </c>
      <c r="AY530" s="27">
        <f t="shared" si="105"/>
        <v>5.2999999999999998E-4</v>
      </c>
      <c r="AZ530" s="27">
        <f t="shared" si="106"/>
        <v>5.2999999999999998E-4</v>
      </c>
    </row>
    <row r="531" spans="1:52" ht="15" customHeight="1" x14ac:dyDescent="0.25">
      <c r="A531" s="13" t="str">
        <f>VLOOKUP(L531,[1]VALIDAÇÃO!$D$13:$E$350,2,0)</f>
        <v>DIRETO</v>
      </c>
      <c r="B531" s="14" t="str">
        <f t="shared" si="96"/>
        <v>54RIO AVE 200 SPE LTDA.</v>
      </c>
      <c r="C531" s="15">
        <f t="shared" si="107"/>
        <v>54</v>
      </c>
      <c r="D531" s="16" t="str">
        <f t="shared" si="97"/>
        <v>63RIO AVE 200 SPE LTDA.</v>
      </c>
      <c r="E531" s="17">
        <f t="shared" si="100"/>
        <v>63</v>
      </c>
      <c r="F531" s="18" t="str">
        <f t="shared" si="98"/>
        <v>61RIO AVE 200 SPE LTDA.</v>
      </c>
      <c r="G531" s="18">
        <f t="shared" si="101"/>
        <v>61</v>
      </c>
      <c r="H531" s="19" t="str">
        <f t="shared" si="99"/>
        <v>40RIO AVE 200 SPE LTDA.</v>
      </c>
      <c r="I531" s="19">
        <f t="shared" si="102"/>
        <v>40</v>
      </c>
      <c r="J531" s="13" t="s">
        <v>48</v>
      </c>
      <c r="K531" s="13" t="s">
        <v>649</v>
      </c>
      <c r="L531" s="13" t="s">
        <v>54</v>
      </c>
      <c r="M531" s="13" t="s">
        <v>55</v>
      </c>
      <c r="N531" s="20">
        <v>723.4</v>
      </c>
      <c r="O531" s="20">
        <v>1622.13</v>
      </c>
      <c r="P531" s="21">
        <v>45978</v>
      </c>
      <c r="Q531" s="22"/>
      <c r="R531" s="23">
        <v>1622.13</v>
      </c>
      <c r="S531" s="24"/>
      <c r="T531" s="23"/>
      <c r="U531" s="24"/>
      <c r="V531" s="23"/>
      <c r="W531" s="23"/>
      <c r="X531" s="24"/>
      <c r="Y531" s="23"/>
      <c r="Z531" s="23"/>
      <c r="AA531" s="23">
        <v>0.04</v>
      </c>
      <c r="AB531" s="23"/>
      <c r="AC531" s="24"/>
      <c r="AD531" s="23">
        <v>9.6199999999999992</v>
      </c>
      <c r="AE531" s="24">
        <v>43</v>
      </c>
      <c r="AF531" s="23"/>
      <c r="AG531" s="23"/>
      <c r="AH531" s="23">
        <v>0.19</v>
      </c>
      <c r="AI531" s="24">
        <v>0</v>
      </c>
      <c r="AJ531" s="25">
        <v>84</v>
      </c>
      <c r="AK531" s="23">
        <v>18.260000000000002</v>
      </c>
      <c r="AL531" s="23"/>
      <c r="AM531" s="24"/>
      <c r="AN531" s="23"/>
      <c r="AO531" s="24"/>
      <c r="AP531" s="23"/>
      <c r="AQ531" s="24"/>
      <c r="AR531" s="23">
        <v>2.09</v>
      </c>
      <c r="AS531" s="23">
        <v>-695.2</v>
      </c>
      <c r="AT531" s="23"/>
      <c r="AU531" s="24"/>
      <c r="AW531" s="27">
        <f t="shared" si="103"/>
        <v>84.000530999999995</v>
      </c>
      <c r="AX531" s="27">
        <f t="shared" si="104"/>
        <v>9.6205309999999997</v>
      </c>
      <c r="AY531" s="27">
        <f t="shared" si="105"/>
        <v>5.31E-4</v>
      </c>
      <c r="AZ531" s="27">
        <f t="shared" si="106"/>
        <v>5.31E-4</v>
      </c>
    </row>
    <row r="532" spans="1:52" ht="15" customHeight="1" x14ac:dyDescent="0.25">
      <c r="A532" s="13" t="str">
        <f>VLOOKUP(L532,[1]VALIDAÇÃO!$D$13:$E$350,2,0)</f>
        <v>INDIRETO</v>
      </c>
      <c r="B532" s="14" t="str">
        <f t="shared" ref="B532:B595" si="108">C532&amp;J532</f>
        <v>60RIO AVE 130 SPE LTDA</v>
      </c>
      <c r="C532" s="15">
        <f t="shared" si="107"/>
        <v>60</v>
      </c>
      <c r="D532" s="16" t="str">
        <f t="shared" ref="D532:D595" si="109">E532&amp;J532</f>
        <v>62RIO AVE 130 SPE LTDA</v>
      </c>
      <c r="E532" s="17">
        <f t="shared" si="100"/>
        <v>62</v>
      </c>
      <c r="F532" s="18" t="str">
        <f t="shared" ref="F532:F595" si="110">G532&amp;J532</f>
        <v>60RIO AVE 130 SPE LTDA</v>
      </c>
      <c r="G532" s="18">
        <f t="shared" si="101"/>
        <v>60</v>
      </c>
      <c r="H532" s="19" t="str">
        <f t="shared" ref="H532:H595" si="111">I532&amp;J532</f>
        <v>46RIO AVE 130 SPE LTDA</v>
      </c>
      <c r="I532" s="19">
        <f t="shared" si="102"/>
        <v>46</v>
      </c>
      <c r="J532" s="13" t="s">
        <v>102</v>
      </c>
      <c r="K532" s="13" t="s">
        <v>650</v>
      </c>
      <c r="L532" s="13" t="s">
        <v>349</v>
      </c>
      <c r="M532" s="13" t="s">
        <v>85</v>
      </c>
      <c r="N532" s="20">
        <v>1237.1300000000001</v>
      </c>
      <c r="O532" s="20"/>
      <c r="P532" s="21">
        <v>45383</v>
      </c>
      <c r="Q532" s="22"/>
      <c r="R532" s="23"/>
      <c r="S532" s="24"/>
      <c r="T532" s="23"/>
      <c r="U532" s="24"/>
      <c r="V532" s="23"/>
      <c r="W532" s="23"/>
      <c r="X532" s="24"/>
      <c r="Y532" s="23"/>
      <c r="Z532" s="23"/>
      <c r="AA532" s="23"/>
      <c r="AB532" s="23"/>
      <c r="AC532" s="24"/>
      <c r="AD532" s="23"/>
      <c r="AE532" s="24"/>
      <c r="AF532" s="23"/>
      <c r="AG532" s="23"/>
      <c r="AH532" s="23"/>
      <c r="AI532" s="24"/>
      <c r="AJ532" s="25"/>
      <c r="AK532" s="23"/>
      <c r="AL532" s="23"/>
      <c r="AM532" s="24"/>
      <c r="AN532" s="23"/>
      <c r="AO532" s="24"/>
      <c r="AP532" s="23"/>
      <c r="AQ532" s="24"/>
      <c r="AR532" s="23"/>
      <c r="AS532" s="23"/>
      <c r="AT532" s="23"/>
      <c r="AU532" s="24"/>
      <c r="AW532" s="27">
        <f t="shared" si="103"/>
        <v>5.3200000000000003E-4</v>
      </c>
      <c r="AX532" s="27">
        <f t="shared" si="104"/>
        <v>5.3200000000000003E-4</v>
      </c>
      <c r="AY532" s="27">
        <f t="shared" si="105"/>
        <v>5.3200000000000003E-4</v>
      </c>
      <c r="AZ532" s="27">
        <f t="shared" si="106"/>
        <v>5.3200000000000003E-4</v>
      </c>
    </row>
    <row r="533" spans="1:52" ht="15" customHeight="1" x14ac:dyDescent="0.25">
      <c r="A533" s="13" t="str">
        <f>VLOOKUP(L533,[1]VALIDAÇÃO!$D$13:$E$350,2,0)</f>
        <v>INDIRETO</v>
      </c>
      <c r="B533" s="14" t="str">
        <f t="shared" si="108"/>
        <v>137RIO AVE CARNEIROS 01 SPE LTDA.</v>
      </c>
      <c r="C533" s="15">
        <f t="shared" si="107"/>
        <v>137</v>
      </c>
      <c r="D533" s="16" t="str">
        <f t="shared" si="109"/>
        <v>21RIO AVE CARNEIROS 01 SPE LTDA.</v>
      </c>
      <c r="E533" s="17">
        <f t="shared" si="100"/>
        <v>21</v>
      </c>
      <c r="F533" s="18" t="str">
        <f t="shared" si="110"/>
        <v>114RIO AVE CARNEIROS 01 SPE LTDA.</v>
      </c>
      <c r="G533" s="18">
        <f t="shared" si="101"/>
        <v>114</v>
      </c>
      <c r="H533" s="19" t="str">
        <f t="shared" si="111"/>
        <v>105RIO AVE CARNEIROS 01 SPE LTDA.</v>
      </c>
      <c r="I533" s="19">
        <f t="shared" si="102"/>
        <v>105</v>
      </c>
      <c r="J533" s="13" t="s">
        <v>61</v>
      </c>
      <c r="K533" s="13" t="s">
        <v>651</v>
      </c>
      <c r="L533" s="13" t="s">
        <v>652</v>
      </c>
      <c r="M533" s="13" t="s">
        <v>85</v>
      </c>
      <c r="N533" s="20">
        <v>1766.1</v>
      </c>
      <c r="O533" s="20">
        <v>3794.93</v>
      </c>
      <c r="P533" s="21">
        <v>45544</v>
      </c>
      <c r="Q533" s="22"/>
      <c r="R533" s="23">
        <v>3794.93</v>
      </c>
      <c r="S533" s="24"/>
      <c r="T533" s="23"/>
      <c r="U533" s="24"/>
      <c r="V533" s="23"/>
      <c r="W533" s="23"/>
      <c r="X533" s="24"/>
      <c r="Y533" s="23"/>
      <c r="Z533" s="23"/>
      <c r="AA533" s="23"/>
      <c r="AB533" s="23">
        <v>19.900000000000002</v>
      </c>
      <c r="AC533" s="24">
        <v>38</v>
      </c>
      <c r="AD533" s="23">
        <v>403.33</v>
      </c>
      <c r="AE533" s="24">
        <v>865.39428571428573</v>
      </c>
      <c r="AF533" s="23"/>
      <c r="AG533" s="23"/>
      <c r="AH533" s="23"/>
      <c r="AI533" s="24"/>
      <c r="AJ533" s="25"/>
      <c r="AK533" s="23"/>
      <c r="AL533" s="23">
        <v>-4</v>
      </c>
      <c r="AM533" s="24">
        <v>13</v>
      </c>
      <c r="AN533" s="23"/>
      <c r="AO533" s="24"/>
      <c r="AP533" s="23"/>
      <c r="AQ533" s="24"/>
      <c r="AR533" s="23">
        <v>91.289999999999992</v>
      </c>
      <c r="AS533" s="23">
        <v>-1626.4</v>
      </c>
      <c r="AT533" s="23"/>
      <c r="AU533" s="24"/>
      <c r="AW533" s="27">
        <f t="shared" si="103"/>
        <v>5.3300000000000005E-4</v>
      </c>
      <c r="AX533" s="27">
        <f t="shared" si="104"/>
        <v>403.330533</v>
      </c>
      <c r="AY533" s="27">
        <f t="shared" si="105"/>
        <v>19.900533000000003</v>
      </c>
      <c r="AZ533" s="27">
        <f t="shared" si="106"/>
        <v>5.3300000000000005E-4</v>
      </c>
    </row>
    <row r="534" spans="1:52" ht="15" customHeight="1" x14ac:dyDescent="0.25">
      <c r="A534" s="13" t="str">
        <f>VLOOKUP(L534,[1]VALIDAÇÃO!$D$13:$E$350,2,0)</f>
        <v>DIRETO</v>
      </c>
      <c r="B534" s="14" t="str">
        <f t="shared" si="108"/>
        <v>92RIO AVE CARNEIROS 01 SPE LTDA.</v>
      </c>
      <c r="C534" s="15">
        <f t="shared" si="107"/>
        <v>92</v>
      </c>
      <c r="D534" s="16" t="str">
        <f t="shared" si="109"/>
        <v>67RIO AVE CARNEIROS 01 SPE LTDA.</v>
      </c>
      <c r="E534" s="17">
        <f t="shared" si="100"/>
        <v>67</v>
      </c>
      <c r="F534" s="18" t="str">
        <f t="shared" si="110"/>
        <v>59RIO AVE CARNEIROS 01 SPE LTDA.</v>
      </c>
      <c r="G534" s="18">
        <f t="shared" si="101"/>
        <v>59</v>
      </c>
      <c r="H534" s="19" t="str">
        <f t="shared" si="111"/>
        <v>104RIO AVE CARNEIROS 01 SPE LTDA.</v>
      </c>
      <c r="I534" s="19">
        <f t="shared" si="102"/>
        <v>104</v>
      </c>
      <c r="J534" s="13" t="s">
        <v>61</v>
      </c>
      <c r="K534" s="13" t="s">
        <v>653</v>
      </c>
      <c r="L534" s="13" t="s">
        <v>54</v>
      </c>
      <c r="M534" s="13" t="s">
        <v>55</v>
      </c>
      <c r="N534" s="20">
        <v>1039.1300000000001</v>
      </c>
      <c r="O534" s="20">
        <v>1622.13</v>
      </c>
      <c r="P534" s="21">
        <v>45967</v>
      </c>
      <c r="Q534" s="22"/>
      <c r="R534" s="23">
        <v>1622.13</v>
      </c>
      <c r="S534" s="24"/>
      <c r="T534" s="23"/>
      <c r="U534" s="24"/>
      <c r="V534" s="23"/>
      <c r="W534" s="23"/>
      <c r="X534" s="24"/>
      <c r="Y534" s="23"/>
      <c r="Z534" s="23"/>
      <c r="AA534" s="23">
        <v>2.02</v>
      </c>
      <c r="AB534" s="23">
        <v>100.72</v>
      </c>
      <c r="AC534" s="24">
        <v>450</v>
      </c>
      <c r="AD534" s="23">
        <v>78.11</v>
      </c>
      <c r="AE534" s="24">
        <v>883.6</v>
      </c>
      <c r="AF534" s="23"/>
      <c r="AG534" s="23"/>
      <c r="AH534" s="23">
        <v>8.65</v>
      </c>
      <c r="AI534" s="24">
        <v>0</v>
      </c>
      <c r="AJ534" s="25">
        <v>261.33</v>
      </c>
      <c r="AK534" s="23">
        <v>62.86</v>
      </c>
      <c r="AL534" s="23"/>
      <c r="AM534" s="24"/>
      <c r="AN534" s="23">
        <v>-57.93</v>
      </c>
      <c r="AO534" s="24">
        <v>1</v>
      </c>
      <c r="AP534" s="23"/>
      <c r="AQ534" s="24"/>
      <c r="AR534" s="23">
        <v>41.23</v>
      </c>
      <c r="AS534" s="23">
        <v>-775.2</v>
      </c>
      <c r="AT534" s="23">
        <v>-115.87</v>
      </c>
      <c r="AU534" s="24">
        <v>2</v>
      </c>
      <c r="AW534" s="27">
        <f t="shared" si="103"/>
        <v>261.330534</v>
      </c>
      <c r="AX534" s="27">
        <f t="shared" si="104"/>
        <v>78.110534000000001</v>
      </c>
      <c r="AY534" s="27">
        <f t="shared" si="105"/>
        <v>100.720534</v>
      </c>
      <c r="AZ534" s="27">
        <f t="shared" si="106"/>
        <v>5.3399999999999997E-4</v>
      </c>
    </row>
    <row r="535" spans="1:52" ht="15" customHeight="1" x14ac:dyDescent="0.25">
      <c r="A535" s="13" t="str">
        <f>VLOOKUP(L535,[1]VALIDAÇÃO!$D$13:$E$350,2,0)</f>
        <v>DIRETO</v>
      </c>
      <c r="B535" s="14" t="str">
        <f t="shared" si="108"/>
        <v>5CONDOMINIO DO EDIFICIO EMPRESARIAL MARIE CURIE</v>
      </c>
      <c r="C535" s="15">
        <f t="shared" si="107"/>
        <v>5</v>
      </c>
      <c r="D535" s="16" t="str">
        <f t="shared" si="109"/>
        <v>90CONDOMINIO DO EDIFICIO EMPRESARIAL MARIE CURIE</v>
      </c>
      <c r="E535" s="17">
        <f t="shared" si="100"/>
        <v>90</v>
      </c>
      <c r="F535" s="18" t="str">
        <f t="shared" si="110"/>
        <v>56CONDOMINIO DO EDIFICIO EMPRESARIAL MARIE CURIE</v>
      </c>
      <c r="G535" s="18">
        <f t="shared" si="101"/>
        <v>56</v>
      </c>
      <c r="H535" s="19" t="str">
        <f t="shared" si="111"/>
        <v>63CONDOMINIO DO EDIFICIO EMPRESARIAL MARIE CURIE</v>
      </c>
      <c r="I535" s="19">
        <f t="shared" si="102"/>
        <v>63</v>
      </c>
      <c r="J535" s="13" t="s">
        <v>57</v>
      </c>
      <c r="K535" s="13" t="s">
        <v>654</v>
      </c>
      <c r="L535" s="13" t="s">
        <v>66</v>
      </c>
      <c r="M535" s="13" t="s">
        <v>60</v>
      </c>
      <c r="N535" s="20">
        <v>1774.86</v>
      </c>
      <c r="O535" s="20">
        <v>2156</v>
      </c>
      <c r="P535" s="21">
        <v>45355</v>
      </c>
      <c r="Q535" s="22"/>
      <c r="R535" s="23">
        <v>2156</v>
      </c>
      <c r="S535" s="24"/>
      <c r="T535" s="23"/>
      <c r="U535" s="24"/>
      <c r="V535" s="23"/>
      <c r="W535" s="23"/>
      <c r="X535" s="24"/>
      <c r="Y535" s="23"/>
      <c r="Z535" s="23"/>
      <c r="AA535" s="23">
        <v>2.98</v>
      </c>
      <c r="AB535" s="23">
        <v>56.730000000000004</v>
      </c>
      <c r="AC535" s="24">
        <v>253.80142857142857</v>
      </c>
      <c r="AD535" s="23">
        <v>45.459999999999994</v>
      </c>
      <c r="AE535" s="24">
        <v>184.44285714285712</v>
      </c>
      <c r="AF535" s="23"/>
      <c r="AG535" s="23"/>
      <c r="AH535" s="23">
        <v>13.940000000000001</v>
      </c>
      <c r="AI535" s="24">
        <v>0</v>
      </c>
      <c r="AJ535" s="25">
        <v>1697.02</v>
      </c>
      <c r="AK535" s="23">
        <v>362.94</v>
      </c>
      <c r="AL535" s="23"/>
      <c r="AM535" s="24"/>
      <c r="AN535" s="23"/>
      <c r="AO535" s="24"/>
      <c r="AP535" s="23"/>
      <c r="AQ535" s="24"/>
      <c r="AR535" s="23">
        <v>20.399999999999999</v>
      </c>
      <c r="AS535" s="23">
        <v>-924</v>
      </c>
      <c r="AT535" s="23"/>
      <c r="AU535" s="24"/>
      <c r="AW535" s="27">
        <f t="shared" si="103"/>
        <v>1697.0205349999999</v>
      </c>
      <c r="AX535" s="27">
        <f t="shared" si="104"/>
        <v>45.460534999999993</v>
      </c>
      <c r="AY535" s="27">
        <f t="shared" si="105"/>
        <v>56.730535000000003</v>
      </c>
      <c r="AZ535" s="27">
        <f t="shared" si="106"/>
        <v>5.3499999999999999E-4</v>
      </c>
    </row>
    <row r="536" spans="1:52" ht="15" customHeight="1" x14ac:dyDescent="0.25">
      <c r="A536" s="13" t="str">
        <f>VLOOKUP(L536,[1]VALIDAÇÃO!$D$13:$E$350,2,0)</f>
        <v>DIRETO</v>
      </c>
      <c r="B536" s="14" t="str">
        <f t="shared" si="108"/>
        <v>139RESERVA DO PAIVA SPE 03 LTDA</v>
      </c>
      <c r="C536" s="15">
        <f t="shared" si="107"/>
        <v>139</v>
      </c>
      <c r="D536" s="16" t="str">
        <f t="shared" si="109"/>
        <v>148RESERVA DO PAIVA SPE 03 LTDA</v>
      </c>
      <c r="E536" s="17">
        <f t="shared" si="100"/>
        <v>148</v>
      </c>
      <c r="F536" s="18" t="str">
        <f t="shared" si="110"/>
        <v>135RESERVA DO PAIVA SPE 03 LTDA</v>
      </c>
      <c r="G536" s="18">
        <f t="shared" si="101"/>
        <v>135</v>
      </c>
      <c r="H536" s="19" t="str">
        <f t="shared" si="111"/>
        <v>97RESERVA DO PAIVA SPE 03 LTDA</v>
      </c>
      <c r="I536" s="19">
        <f t="shared" si="102"/>
        <v>97</v>
      </c>
      <c r="J536" s="13" t="s">
        <v>52</v>
      </c>
      <c r="K536" s="13" t="s">
        <v>655</v>
      </c>
      <c r="L536" s="13" t="s">
        <v>63</v>
      </c>
      <c r="M536" s="13" t="s">
        <v>55</v>
      </c>
      <c r="N536" s="20">
        <v>875.12</v>
      </c>
      <c r="O536" s="20">
        <v>2156</v>
      </c>
      <c r="P536" s="21">
        <v>45992</v>
      </c>
      <c r="Q536" s="22"/>
      <c r="R536" s="23">
        <v>2156</v>
      </c>
      <c r="S536" s="24"/>
      <c r="T536" s="23"/>
      <c r="U536" s="24"/>
      <c r="V536" s="23"/>
      <c r="W536" s="23"/>
      <c r="X536" s="24"/>
      <c r="Y536" s="23"/>
      <c r="Z536" s="23"/>
      <c r="AA536" s="23"/>
      <c r="AB536" s="23"/>
      <c r="AC536" s="24"/>
      <c r="AD536" s="23">
        <v>3.27</v>
      </c>
      <c r="AE536" s="24">
        <v>11</v>
      </c>
      <c r="AF536" s="23"/>
      <c r="AG536" s="23"/>
      <c r="AH536" s="23"/>
      <c r="AI536" s="24"/>
      <c r="AJ536" s="25"/>
      <c r="AK536" s="23"/>
      <c r="AL536" s="23"/>
      <c r="AM536" s="24"/>
      <c r="AN536" s="23"/>
      <c r="AO536" s="24"/>
      <c r="AP536" s="23"/>
      <c r="AQ536" s="24"/>
      <c r="AR536" s="23">
        <v>0.71</v>
      </c>
      <c r="AS536" s="23">
        <v>-924</v>
      </c>
      <c r="AT536" s="23"/>
      <c r="AU536" s="24"/>
      <c r="AW536" s="27">
        <f t="shared" si="103"/>
        <v>5.3600000000000002E-4</v>
      </c>
      <c r="AX536" s="27">
        <f t="shared" si="104"/>
        <v>3.2705359999999999</v>
      </c>
      <c r="AY536" s="27">
        <f t="shared" si="105"/>
        <v>5.3600000000000002E-4</v>
      </c>
      <c r="AZ536" s="27">
        <f t="shared" si="106"/>
        <v>5.3600000000000002E-4</v>
      </c>
    </row>
    <row r="537" spans="1:52" ht="15" customHeight="1" x14ac:dyDescent="0.25">
      <c r="A537" s="13" t="str">
        <f>VLOOKUP(L537,[1]VALIDAÇÃO!$D$13:$E$350,2,0)</f>
        <v>DIRETO</v>
      </c>
      <c r="B537" s="14" t="str">
        <f t="shared" si="108"/>
        <v>71RIO AVE CARNEIROS 01 SPE LTDA.</v>
      </c>
      <c r="C537" s="15">
        <f t="shared" si="107"/>
        <v>71</v>
      </c>
      <c r="D537" s="16" t="str">
        <f t="shared" si="109"/>
        <v>17RIO AVE CARNEIROS 01 SPE LTDA.</v>
      </c>
      <c r="E537" s="17">
        <f t="shared" si="100"/>
        <v>17</v>
      </c>
      <c r="F537" s="18" t="str">
        <f t="shared" si="110"/>
        <v>65RIO AVE CARNEIROS 01 SPE LTDA.</v>
      </c>
      <c r="G537" s="18">
        <f t="shared" si="101"/>
        <v>65</v>
      </c>
      <c r="H537" s="19" t="str">
        <f t="shared" si="111"/>
        <v>79RIO AVE CARNEIROS 01 SPE LTDA.</v>
      </c>
      <c r="I537" s="19">
        <f t="shared" si="102"/>
        <v>79</v>
      </c>
      <c r="J537" s="13" t="s">
        <v>61</v>
      </c>
      <c r="K537" s="13" t="s">
        <v>656</v>
      </c>
      <c r="L537" s="13" t="s">
        <v>54</v>
      </c>
      <c r="M537" s="13" t="s">
        <v>55</v>
      </c>
      <c r="N537" s="20">
        <v>1266.95</v>
      </c>
      <c r="O537" s="20">
        <v>1622.13</v>
      </c>
      <c r="P537" s="21">
        <v>45797</v>
      </c>
      <c r="Q537" s="22"/>
      <c r="R537" s="23">
        <v>1622.13</v>
      </c>
      <c r="S537" s="24"/>
      <c r="T537" s="23"/>
      <c r="U537" s="24"/>
      <c r="V537" s="23"/>
      <c r="W537" s="23"/>
      <c r="X537" s="24"/>
      <c r="Y537" s="23"/>
      <c r="Z537" s="23"/>
      <c r="AA537" s="23">
        <v>6.33</v>
      </c>
      <c r="AB537" s="23">
        <v>92.72999999999999</v>
      </c>
      <c r="AC537" s="24">
        <v>866.12857142857138</v>
      </c>
      <c r="AD537" s="23">
        <v>435.73</v>
      </c>
      <c r="AE537" s="24">
        <v>3007.4714285714285</v>
      </c>
      <c r="AF537" s="23"/>
      <c r="AG537" s="23"/>
      <c r="AH537" s="23">
        <v>28.96</v>
      </c>
      <c r="AI537" s="24">
        <v>0</v>
      </c>
      <c r="AJ537" s="25">
        <v>360.65999999999997</v>
      </c>
      <c r="AK537" s="23">
        <v>78.86</v>
      </c>
      <c r="AL537" s="23"/>
      <c r="AM537" s="24"/>
      <c r="AN537" s="23"/>
      <c r="AO537" s="24"/>
      <c r="AP537" s="23">
        <v>12.39</v>
      </c>
      <c r="AQ537" s="24">
        <v>98.371428571428567</v>
      </c>
      <c r="AR537" s="23">
        <v>118.66</v>
      </c>
      <c r="AS537" s="23">
        <v>-735.2</v>
      </c>
      <c r="AT537" s="23"/>
      <c r="AU537" s="24"/>
      <c r="AW537" s="27">
        <f t="shared" si="103"/>
        <v>360.66053699999998</v>
      </c>
      <c r="AX537" s="27">
        <f t="shared" si="104"/>
        <v>435.73053700000003</v>
      </c>
      <c r="AY537" s="27">
        <f t="shared" si="105"/>
        <v>92.730536999999984</v>
      </c>
      <c r="AZ537" s="27">
        <f t="shared" si="106"/>
        <v>12.390537</v>
      </c>
    </row>
    <row r="538" spans="1:52" ht="15" customHeight="1" x14ac:dyDescent="0.25">
      <c r="A538" s="13" t="str">
        <f>VLOOKUP(L538,[1]VALIDAÇÃO!$D$13:$E$350,2,0)</f>
        <v>DIRETO</v>
      </c>
      <c r="B538" s="14" t="str">
        <f t="shared" si="108"/>
        <v>47RESERVA DO PAIVA SPE 01 LTDA.</v>
      </c>
      <c r="C538" s="15">
        <f t="shared" si="107"/>
        <v>47</v>
      </c>
      <c r="D538" s="16" t="str">
        <f t="shared" si="109"/>
        <v>51RESERVA DO PAIVA SPE 01 LTDA.</v>
      </c>
      <c r="E538" s="17">
        <f t="shared" si="100"/>
        <v>51</v>
      </c>
      <c r="F538" s="18" t="str">
        <f t="shared" si="110"/>
        <v>68RESERVA DO PAIVA SPE 01 LTDA.</v>
      </c>
      <c r="G538" s="18">
        <f t="shared" si="101"/>
        <v>68</v>
      </c>
      <c r="H538" s="19" t="str">
        <f t="shared" si="111"/>
        <v>50RESERVA DO PAIVA SPE 01 LTDA.</v>
      </c>
      <c r="I538" s="19">
        <f t="shared" si="102"/>
        <v>50</v>
      </c>
      <c r="J538" s="13" t="s">
        <v>68</v>
      </c>
      <c r="K538" s="13" t="s">
        <v>657</v>
      </c>
      <c r="L538" s="13" t="s">
        <v>63</v>
      </c>
      <c r="M538" s="13" t="s">
        <v>55</v>
      </c>
      <c r="N538" s="20">
        <v>1634.76</v>
      </c>
      <c r="O538" s="20">
        <v>2156</v>
      </c>
      <c r="P538" s="21">
        <v>45336</v>
      </c>
      <c r="Q538" s="22"/>
      <c r="R538" s="23">
        <v>2156</v>
      </c>
      <c r="S538" s="24"/>
      <c r="T538" s="23"/>
      <c r="U538" s="24"/>
      <c r="V538" s="23"/>
      <c r="W538" s="23"/>
      <c r="X538" s="24"/>
      <c r="Y538" s="23"/>
      <c r="Z538" s="23"/>
      <c r="AA538" s="23">
        <v>6.59</v>
      </c>
      <c r="AB538" s="23">
        <v>70.559999999999988</v>
      </c>
      <c r="AC538" s="24">
        <v>248.83500000000001</v>
      </c>
      <c r="AD538" s="23">
        <v>137.11000000000001</v>
      </c>
      <c r="AE538" s="24">
        <v>461.45875000000001</v>
      </c>
      <c r="AF538" s="23"/>
      <c r="AG538" s="23"/>
      <c r="AH538" s="23">
        <v>27.36</v>
      </c>
      <c r="AI538" s="24">
        <v>0</v>
      </c>
      <c r="AJ538" s="25">
        <v>604.66999999999996</v>
      </c>
      <c r="AK538" s="23">
        <v>133.44</v>
      </c>
      <c r="AL538" s="23"/>
      <c r="AM538" s="24"/>
      <c r="AN538" s="23"/>
      <c r="AO538" s="24"/>
      <c r="AP538" s="23">
        <v>251.23</v>
      </c>
      <c r="AQ538" s="24">
        <v>717.8</v>
      </c>
      <c r="AR538" s="23">
        <v>108.00999999999999</v>
      </c>
      <c r="AS538" s="23">
        <v>-924</v>
      </c>
      <c r="AT538" s="23"/>
      <c r="AU538" s="24"/>
      <c r="AW538" s="27">
        <f t="shared" si="103"/>
        <v>604.67053799999996</v>
      </c>
      <c r="AX538" s="27">
        <f t="shared" si="104"/>
        <v>137.11053800000002</v>
      </c>
      <c r="AY538" s="27">
        <f t="shared" si="105"/>
        <v>70.560537999999994</v>
      </c>
      <c r="AZ538" s="27">
        <f t="shared" si="106"/>
        <v>251.230538</v>
      </c>
    </row>
    <row r="539" spans="1:52" ht="15" customHeight="1" x14ac:dyDescent="0.25">
      <c r="A539" s="13" t="str">
        <f>VLOOKUP(L539,[1]VALIDAÇÃO!$D$13:$E$350,2,0)</f>
        <v>DIRETO</v>
      </c>
      <c r="B539" s="14" t="str">
        <f t="shared" si="108"/>
        <v>19RESERVA DO PAIVA SPE 03 LTDA</v>
      </c>
      <c r="C539" s="15">
        <f t="shared" si="107"/>
        <v>19</v>
      </c>
      <c r="D539" s="16" t="str">
        <f t="shared" si="109"/>
        <v>120RESERVA DO PAIVA SPE 03 LTDA</v>
      </c>
      <c r="E539" s="17">
        <f t="shared" si="100"/>
        <v>120</v>
      </c>
      <c r="F539" s="18" t="str">
        <f t="shared" si="110"/>
        <v>36RESERVA DO PAIVA SPE 03 LTDA</v>
      </c>
      <c r="G539" s="18">
        <f t="shared" si="101"/>
        <v>36</v>
      </c>
      <c r="H539" s="19" t="str">
        <f t="shared" si="111"/>
        <v>66RESERVA DO PAIVA SPE 03 LTDA</v>
      </c>
      <c r="I539" s="19">
        <f t="shared" si="102"/>
        <v>66</v>
      </c>
      <c r="J539" s="13" t="s">
        <v>52</v>
      </c>
      <c r="K539" s="13" t="s">
        <v>658</v>
      </c>
      <c r="L539" s="13" t="s">
        <v>66</v>
      </c>
      <c r="M539" s="13" t="s">
        <v>55</v>
      </c>
      <c r="N539" s="20">
        <v>1461.48</v>
      </c>
      <c r="O539" s="20">
        <v>2156</v>
      </c>
      <c r="P539" s="21">
        <v>45600</v>
      </c>
      <c r="Q539" s="22"/>
      <c r="R539" s="23">
        <v>2156</v>
      </c>
      <c r="S539" s="24"/>
      <c r="T539" s="23"/>
      <c r="U539" s="24"/>
      <c r="V539" s="23"/>
      <c r="W539" s="23"/>
      <c r="X539" s="24"/>
      <c r="Y539" s="23"/>
      <c r="Z539" s="23"/>
      <c r="AA539" s="23">
        <v>4.17</v>
      </c>
      <c r="AB539" s="23">
        <v>248.35999999999999</v>
      </c>
      <c r="AC539" s="24">
        <v>959.35142857142864</v>
      </c>
      <c r="AD539" s="23">
        <v>64.650000000000006</v>
      </c>
      <c r="AE539" s="24">
        <v>240.21285714285713</v>
      </c>
      <c r="AF539" s="23"/>
      <c r="AG539" s="23"/>
      <c r="AH539" s="23">
        <v>19.2</v>
      </c>
      <c r="AI539" s="24">
        <v>0</v>
      </c>
      <c r="AJ539" s="25">
        <v>729.27</v>
      </c>
      <c r="AK539" s="23">
        <v>157.59</v>
      </c>
      <c r="AL539" s="23">
        <v>-78.08</v>
      </c>
      <c r="AM539" s="24">
        <v>446.17</v>
      </c>
      <c r="AN539" s="23"/>
      <c r="AO539" s="24"/>
      <c r="AP539" s="23">
        <v>33.92</v>
      </c>
      <c r="AQ539" s="24">
        <v>123.62857142857143</v>
      </c>
      <c r="AR539" s="23">
        <v>73.2</v>
      </c>
      <c r="AS539" s="23">
        <v>-924</v>
      </c>
      <c r="AT539" s="23"/>
      <c r="AU539" s="24"/>
      <c r="AW539" s="27">
        <f t="shared" si="103"/>
        <v>729.27053899999999</v>
      </c>
      <c r="AX539" s="27">
        <f t="shared" si="104"/>
        <v>64.650539000000009</v>
      </c>
      <c r="AY539" s="27">
        <f t="shared" si="105"/>
        <v>248.36053899999999</v>
      </c>
      <c r="AZ539" s="27">
        <f t="shared" si="106"/>
        <v>33.920539000000005</v>
      </c>
    </row>
    <row r="540" spans="1:52" ht="15" customHeight="1" x14ac:dyDescent="0.25">
      <c r="A540" s="13" t="str">
        <f>VLOOKUP(L540,[1]VALIDAÇÃO!$D$13:$E$350,2,0)</f>
        <v>DIRETO</v>
      </c>
      <c r="B540" s="14" t="str">
        <f t="shared" si="108"/>
        <v>15RIO AVE CARNEIROS 01 SPE LTDA.</v>
      </c>
      <c r="C540" s="15">
        <f t="shared" si="107"/>
        <v>15</v>
      </c>
      <c r="D540" s="16" t="str">
        <f t="shared" si="109"/>
        <v>27RIO AVE CARNEIROS 01 SPE LTDA.</v>
      </c>
      <c r="E540" s="17">
        <f t="shared" si="100"/>
        <v>27</v>
      </c>
      <c r="F540" s="18" t="str">
        <f t="shared" si="110"/>
        <v>19RIO AVE CARNEIROS 01 SPE LTDA.</v>
      </c>
      <c r="G540" s="18">
        <f t="shared" si="101"/>
        <v>19</v>
      </c>
      <c r="H540" s="19" t="str">
        <f t="shared" si="111"/>
        <v>8RIO AVE CARNEIROS 01 SPE LTDA.</v>
      </c>
      <c r="I540" s="19">
        <f t="shared" si="102"/>
        <v>8</v>
      </c>
      <c r="J540" s="13" t="s">
        <v>61</v>
      </c>
      <c r="K540" s="13" t="s">
        <v>659</v>
      </c>
      <c r="L540" s="13" t="s">
        <v>63</v>
      </c>
      <c r="M540" s="13" t="s">
        <v>55</v>
      </c>
      <c r="N540" s="20">
        <v>1844.02</v>
      </c>
      <c r="O540" s="20">
        <v>2156</v>
      </c>
      <c r="P540" s="21">
        <v>45782</v>
      </c>
      <c r="Q540" s="22"/>
      <c r="R540" s="23">
        <v>2156</v>
      </c>
      <c r="S540" s="24"/>
      <c r="T540" s="23"/>
      <c r="U540" s="24"/>
      <c r="V540" s="23"/>
      <c r="W540" s="23"/>
      <c r="X540" s="24"/>
      <c r="Y540" s="23"/>
      <c r="Z540" s="23"/>
      <c r="AA540" s="23">
        <v>10.68</v>
      </c>
      <c r="AB540" s="23">
        <v>190.15</v>
      </c>
      <c r="AC540" s="24">
        <v>1191.0142857142857</v>
      </c>
      <c r="AD540" s="23">
        <v>315.37</v>
      </c>
      <c r="AE540" s="24">
        <v>1313.1285714285714</v>
      </c>
      <c r="AF540" s="23"/>
      <c r="AG540" s="23"/>
      <c r="AH540" s="23">
        <v>48.12</v>
      </c>
      <c r="AI540" s="24">
        <v>0</v>
      </c>
      <c r="AJ540" s="25">
        <v>779.2299999999999</v>
      </c>
      <c r="AK540" s="23">
        <v>170.17000000000002</v>
      </c>
      <c r="AL540" s="23"/>
      <c r="AM540" s="24"/>
      <c r="AN540" s="23"/>
      <c r="AO540" s="24"/>
      <c r="AP540" s="23">
        <v>93.15</v>
      </c>
      <c r="AQ540" s="24">
        <v>495.91428571428571</v>
      </c>
      <c r="AR540" s="23">
        <v>133.56</v>
      </c>
      <c r="AS540" s="23">
        <v>-964</v>
      </c>
      <c r="AT540" s="23"/>
      <c r="AU540" s="24"/>
      <c r="AW540" s="27">
        <f t="shared" si="103"/>
        <v>779.23053999999991</v>
      </c>
      <c r="AX540" s="27">
        <f t="shared" si="104"/>
        <v>315.37054000000001</v>
      </c>
      <c r="AY540" s="27">
        <f t="shared" si="105"/>
        <v>190.15054000000001</v>
      </c>
      <c r="AZ540" s="27">
        <f t="shared" si="106"/>
        <v>93.150540000000007</v>
      </c>
    </row>
    <row r="541" spans="1:52" ht="15" customHeight="1" x14ac:dyDescent="0.25">
      <c r="A541" s="13" t="str">
        <f>VLOOKUP(L541,[1]VALIDAÇÃO!$D$13:$E$350,2,0)</f>
        <v>DIRETO</v>
      </c>
      <c r="B541" s="14" t="str">
        <f t="shared" si="108"/>
        <v>61RESERVA DO PAIVA SPE 01 LTDA.</v>
      </c>
      <c r="C541" s="15">
        <f t="shared" si="107"/>
        <v>61</v>
      </c>
      <c r="D541" s="16" t="str">
        <f t="shared" si="109"/>
        <v>65RESERVA DO PAIVA SPE 01 LTDA.</v>
      </c>
      <c r="E541" s="17">
        <f t="shared" si="100"/>
        <v>65</v>
      </c>
      <c r="F541" s="18" t="str">
        <f t="shared" si="110"/>
        <v>69RESERVA DO PAIVA SPE 01 LTDA.</v>
      </c>
      <c r="G541" s="18">
        <f t="shared" si="101"/>
        <v>69</v>
      </c>
      <c r="H541" s="19" t="str">
        <f t="shared" si="111"/>
        <v>69RESERVA DO PAIVA SPE 01 LTDA.</v>
      </c>
      <c r="I541" s="19">
        <f t="shared" si="102"/>
        <v>69</v>
      </c>
      <c r="J541" s="13" t="s">
        <v>68</v>
      </c>
      <c r="K541" s="13" t="s">
        <v>660</v>
      </c>
      <c r="L541" s="13" t="s">
        <v>54</v>
      </c>
      <c r="M541" s="13" t="s">
        <v>55</v>
      </c>
      <c r="N541" s="20">
        <v>1099.69</v>
      </c>
      <c r="O541" s="20">
        <v>1622.13</v>
      </c>
      <c r="P541" s="21">
        <v>45729</v>
      </c>
      <c r="Q541" s="22"/>
      <c r="R541" s="23">
        <v>1622.13</v>
      </c>
      <c r="S541" s="24"/>
      <c r="T541" s="23"/>
      <c r="U541" s="24"/>
      <c r="V541" s="23"/>
      <c r="W541" s="23"/>
      <c r="X541" s="24"/>
      <c r="Y541" s="23"/>
      <c r="Z541" s="23"/>
      <c r="AA541" s="23">
        <v>3.24</v>
      </c>
      <c r="AB541" s="23">
        <v>55.88</v>
      </c>
      <c r="AC541" s="24">
        <v>382.12857142857143</v>
      </c>
      <c r="AD541" s="23">
        <v>67.819999999999993</v>
      </c>
      <c r="AE541" s="24">
        <v>364.45428571428567</v>
      </c>
      <c r="AF541" s="23"/>
      <c r="AG541" s="23"/>
      <c r="AH541" s="23">
        <v>14.66</v>
      </c>
      <c r="AI541" s="24">
        <v>0</v>
      </c>
      <c r="AJ541" s="25">
        <v>429.92</v>
      </c>
      <c r="AK541" s="23">
        <v>95.36</v>
      </c>
      <c r="AL541" s="23">
        <v>-32.799999999999997</v>
      </c>
      <c r="AM541" s="24">
        <v>249.14</v>
      </c>
      <c r="AN541" s="23"/>
      <c r="AO541" s="24"/>
      <c r="AP541" s="23">
        <v>158.86000000000001</v>
      </c>
      <c r="AQ541" s="24">
        <v>633.04</v>
      </c>
      <c r="AR541" s="23">
        <v>62.28</v>
      </c>
      <c r="AS541" s="23">
        <v>-695.2</v>
      </c>
      <c r="AT541" s="23"/>
      <c r="AU541" s="24"/>
      <c r="AW541" s="27">
        <f t="shared" si="103"/>
        <v>429.92054100000001</v>
      </c>
      <c r="AX541" s="27">
        <f t="shared" si="104"/>
        <v>67.820540999999992</v>
      </c>
      <c r="AY541" s="27">
        <f t="shared" si="105"/>
        <v>55.880541000000001</v>
      </c>
      <c r="AZ541" s="27">
        <f t="shared" si="106"/>
        <v>158.86054100000001</v>
      </c>
    </row>
    <row r="542" spans="1:52" ht="15" customHeight="1" x14ac:dyDescent="0.25">
      <c r="A542" s="13" t="str">
        <f>VLOOKUP(L542,[1]VALIDAÇÃO!$D$13:$E$350,2,0)</f>
        <v>DIRETO</v>
      </c>
      <c r="B542" s="14" t="str">
        <f t="shared" si="108"/>
        <v>98RESERVA DO PAIVA SPE 03 LTDA</v>
      </c>
      <c r="C542" s="15">
        <f t="shared" si="107"/>
        <v>98</v>
      </c>
      <c r="D542" s="16" t="str">
        <f t="shared" si="109"/>
        <v>20RESERVA DO PAIVA SPE 03 LTDA</v>
      </c>
      <c r="E542" s="17">
        <f t="shared" si="100"/>
        <v>20</v>
      </c>
      <c r="F542" s="18" t="str">
        <f t="shared" si="110"/>
        <v>67RESERVA DO PAIVA SPE 03 LTDA</v>
      </c>
      <c r="G542" s="18">
        <f t="shared" si="101"/>
        <v>67</v>
      </c>
      <c r="H542" s="19" t="str">
        <f t="shared" si="111"/>
        <v>25RESERVA DO PAIVA SPE 03 LTDA</v>
      </c>
      <c r="I542" s="19">
        <f t="shared" si="102"/>
        <v>25</v>
      </c>
      <c r="J542" s="13" t="s">
        <v>52</v>
      </c>
      <c r="K542" s="13" t="s">
        <v>661</v>
      </c>
      <c r="L542" s="13" t="s">
        <v>54</v>
      </c>
      <c r="M542" s="13" t="s">
        <v>55</v>
      </c>
      <c r="N542" s="20">
        <v>1341.59</v>
      </c>
      <c r="O542" s="20">
        <v>1622.13</v>
      </c>
      <c r="P542" s="21">
        <v>45798</v>
      </c>
      <c r="Q542" s="22"/>
      <c r="R542" s="23">
        <v>1622.13</v>
      </c>
      <c r="S542" s="24"/>
      <c r="T542" s="23"/>
      <c r="U542" s="24"/>
      <c r="V542" s="23"/>
      <c r="W542" s="23"/>
      <c r="X542" s="24"/>
      <c r="Y542" s="23"/>
      <c r="Z542" s="23"/>
      <c r="AA542" s="23">
        <v>4.6800000000000006</v>
      </c>
      <c r="AB542" s="23">
        <v>126.58</v>
      </c>
      <c r="AC542" s="24">
        <v>1182.2428571428572</v>
      </c>
      <c r="AD542" s="23">
        <v>641.14</v>
      </c>
      <c r="AE542" s="24">
        <v>3824.3842857142859</v>
      </c>
      <c r="AF542" s="31"/>
      <c r="AG542" s="23"/>
      <c r="AH542" s="23">
        <v>21.189999999999998</v>
      </c>
      <c r="AI542" s="24">
        <v>0</v>
      </c>
      <c r="AJ542" s="25">
        <v>138.60000000000002</v>
      </c>
      <c r="AK542" s="23">
        <v>30.509999999999998</v>
      </c>
      <c r="AL542" s="23">
        <v>-8.1900000000000013</v>
      </c>
      <c r="AM542" s="24">
        <v>62.17</v>
      </c>
      <c r="AN542" s="23"/>
      <c r="AO542" s="24"/>
      <c r="AP542" s="23">
        <v>235.41</v>
      </c>
      <c r="AQ542" s="24">
        <v>1326.727142857143</v>
      </c>
      <c r="AR542" s="23">
        <v>222.57999999999998</v>
      </c>
      <c r="AS542" s="23">
        <v>-695.2</v>
      </c>
      <c r="AT542" s="23"/>
      <c r="AU542" s="24"/>
      <c r="AW542" s="27">
        <f t="shared" si="103"/>
        <v>138.60054200000002</v>
      </c>
      <c r="AX542" s="27">
        <f t="shared" si="104"/>
        <v>641.14054199999998</v>
      </c>
      <c r="AY542" s="27">
        <f t="shared" si="105"/>
        <v>126.58054199999999</v>
      </c>
      <c r="AZ542" s="27">
        <f t="shared" si="106"/>
        <v>235.41054199999999</v>
      </c>
    </row>
    <row r="543" spans="1:52" ht="15" customHeight="1" x14ac:dyDescent="0.25">
      <c r="A543" s="13" t="str">
        <f>VLOOKUP(L543,[1]VALIDAÇÃO!$D$13:$E$350,2,0)</f>
        <v>DIRETO</v>
      </c>
      <c r="B543" s="14" t="str">
        <f t="shared" si="108"/>
        <v>42RIO AVE 130 SPE LTDA</v>
      </c>
      <c r="C543" s="15">
        <f t="shared" si="107"/>
        <v>42</v>
      </c>
      <c r="D543" s="16" t="str">
        <f t="shared" si="109"/>
        <v>48RIO AVE 130 SPE LTDA</v>
      </c>
      <c r="E543" s="17">
        <f t="shared" si="100"/>
        <v>48</v>
      </c>
      <c r="F543" s="18" t="str">
        <f t="shared" si="110"/>
        <v>18RIO AVE 130 SPE LTDA</v>
      </c>
      <c r="G543" s="18">
        <f t="shared" si="101"/>
        <v>18</v>
      </c>
      <c r="H543" s="19" t="str">
        <f t="shared" si="111"/>
        <v>3RIO AVE 130 SPE LTDA</v>
      </c>
      <c r="I543" s="19">
        <f t="shared" si="102"/>
        <v>3</v>
      </c>
      <c r="J543" s="13" t="s">
        <v>102</v>
      </c>
      <c r="K543" s="13" t="s">
        <v>662</v>
      </c>
      <c r="L543" s="13" t="s">
        <v>63</v>
      </c>
      <c r="M543" s="13" t="s">
        <v>55</v>
      </c>
      <c r="N543" s="20">
        <v>1662.61</v>
      </c>
      <c r="O543" s="20">
        <v>2156</v>
      </c>
      <c r="P543" s="21">
        <v>45306</v>
      </c>
      <c r="Q543" s="22"/>
      <c r="R543" s="23">
        <v>2156</v>
      </c>
      <c r="S543" s="24"/>
      <c r="T543" s="23"/>
      <c r="U543" s="24"/>
      <c r="V543" s="23"/>
      <c r="W543" s="23"/>
      <c r="X543" s="24"/>
      <c r="Y543" s="23"/>
      <c r="Z543" s="23"/>
      <c r="AA543" s="23">
        <v>3.7899999999999996</v>
      </c>
      <c r="AB543" s="23">
        <v>247.07</v>
      </c>
      <c r="AC543" s="24">
        <v>851.24285714285713</v>
      </c>
      <c r="AD543" s="23">
        <v>10.72</v>
      </c>
      <c r="AE543" s="24">
        <v>37.251428571428569</v>
      </c>
      <c r="AF543" s="23"/>
      <c r="AG543" s="23"/>
      <c r="AH543" s="23">
        <v>17.18</v>
      </c>
      <c r="AI543" s="24">
        <v>0</v>
      </c>
      <c r="AJ543" s="25">
        <v>418.62</v>
      </c>
      <c r="AK543" s="23">
        <v>94.36</v>
      </c>
      <c r="AL543" s="23"/>
      <c r="AM543" s="24"/>
      <c r="AN543" s="23"/>
      <c r="AO543" s="24"/>
      <c r="AP543" s="23">
        <v>270.51</v>
      </c>
      <c r="AQ543" s="24">
        <v>784.47142857142853</v>
      </c>
      <c r="AR543" s="23">
        <v>116.79</v>
      </c>
      <c r="AS543" s="23">
        <v>-924</v>
      </c>
      <c r="AT543" s="23"/>
      <c r="AU543" s="24"/>
      <c r="AW543" s="27">
        <f t="shared" si="103"/>
        <v>418.620543</v>
      </c>
      <c r="AX543" s="27">
        <f t="shared" si="104"/>
        <v>10.720543000000001</v>
      </c>
      <c r="AY543" s="27">
        <f t="shared" si="105"/>
        <v>247.07054299999999</v>
      </c>
      <c r="AZ543" s="27">
        <f t="shared" si="106"/>
        <v>270.51054299999998</v>
      </c>
    </row>
    <row r="544" spans="1:52" ht="15" customHeight="1" x14ac:dyDescent="0.25">
      <c r="A544" s="13" t="str">
        <f>VLOOKUP(L544,[1]VALIDAÇÃO!$D$13:$E$350,2,0)</f>
        <v>DIRETO</v>
      </c>
      <c r="B544" s="14" t="str">
        <f t="shared" si="108"/>
        <v>28RIO AVE CARNEIROS 01 SPE LTDA.</v>
      </c>
      <c r="C544" s="15">
        <f t="shared" si="107"/>
        <v>28</v>
      </c>
      <c r="D544" s="16" t="str">
        <f t="shared" si="109"/>
        <v>94RIO AVE CARNEIROS 01 SPE LTDA.</v>
      </c>
      <c r="E544" s="17">
        <f t="shared" si="100"/>
        <v>94</v>
      </c>
      <c r="F544" s="18" t="str">
        <f t="shared" si="110"/>
        <v>72RIO AVE CARNEIROS 01 SPE LTDA.</v>
      </c>
      <c r="G544" s="18">
        <f t="shared" si="101"/>
        <v>72</v>
      </c>
      <c r="H544" s="19" t="str">
        <f t="shared" si="111"/>
        <v>70RIO AVE CARNEIROS 01 SPE LTDA.</v>
      </c>
      <c r="I544" s="19">
        <f t="shared" si="102"/>
        <v>70</v>
      </c>
      <c r="J544" s="13" t="s">
        <v>61</v>
      </c>
      <c r="K544" s="13" t="s">
        <v>663</v>
      </c>
      <c r="L544" s="13" t="s">
        <v>63</v>
      </c>
      <c r="M544" s="13" t="s">
        <v>55</v>
      </c>
      <c r="N544" s="20">
        <v>1272.74</v>
      </c>
      <c r="O544" s="20">
        <v>2156</v>
      </c>
      <c r="P544" s="21">
        <v>45398</v>
      </c>
      <c r="Q544" s="22"/>
      <c r="R544" s="23">
        <v>2156</v>
      </c>
      <c r="S544" s="24"/>
      <c r="T544" s="23"/>
      <c r="U544" s="24"/>
      <c r="V544" s="23"/>
      <c r="W544" s="23"/>
      <c r="X544" s="24"/>
      <c r="Y544" s="23"/>
      <c r="Z544" s="23"/>
      <c r="AA544" s="23">
        <v>1.52</v>
      </c>
      <c r="AB544" s="23">
        <v>83.8</v>
      </c>
      <c r="AC544" s="24">
        <v>281.67</v>
      </c>
      <c r="AD544" s="23">
        <v>29.21</v>
      </c>
      <c r="AE544" s="24">
        <v>102.00142857142858</v>
      </c>
      <c r="AF544" s="23"/>
      <c r="AG544" s="23"/>
      <c r="AH544" s="23">
        <v>6.92</v>
      </c>
      <c r="AI544" s="24">
        <v>0</v>
      </c>
      <c r="AJ544" s="25">
        <v>597.37</v>
      </c>
      <c r="AK544" s="23">
        <v>129.94</v>
      </c>
      <c r="AL544" s="23"/>
      <c r="AM544" s="24"/>
      <c r="AN544" s="23"/>
      <c r="AO544" s="24"/>
      <c r="AP544" s="23">
        <v>14.12</v>
      </c>
      <c r="AQ544" s="24">
        <v>40.33</v>
      </c>
      <c r="AR544" s="23">
        <v>28.699999999999996</v>
      </c>
      <c r="AS544" s="23">
        <v>-924</v>
      </c>
      <c r="AT544" s="23"/>
      <c r="AU544" s="24"/>
      <c r="AW544" s="27">
        <f t="shared" si="103"/>
        <v>597.370544</v>
      </c>
      <c r="AX544" s="27">
        <f t="shared" si="104"/>
        <v>29.210544000000002</v>
      </c>
      <c r="AY544" s="27">
        <f t="shared" si="105"/>
        <v>83.800544000000002</v>
      </c>
      <c r="AZ544" s="27">
        <f t="shared" si="106"/>
        <v>14.120543999999999</v>
      </c>
    </row>
    <row r="545" spans="1:52" ht="15" customHeight="1" x14ac:dyDescent="0.25">
      <c r="A545" s="13" t="str">
        <f>VLOOKUP(L545,[1]VALIDAÇÃO!$D$13:$E$350,2,0)</f>
        <v>DIRETO</v>
      </c>
      <c r="B545" s="14" t="str">
        <f t="shared" si="108"/>
        <v>102RIO AVE CARNEIROS 01 SPE LTDA.</v>
      </c>
      <c r="C545" s="15">
        <f t="shared" si="107"/>
        <v>102</v>
      </c>
      <c r="D545" s="16" t="str">
        <f t="shared" si="109"/>
        <v>133RIO AVE CARNEIROS 01 SPE LTDA.</v>
      </c>
      <c r="E545" s="17">
        <f t="shared" si="100"/>
        <v>133</v>
      </c>
      <c r="F545" s="18" t="str">
        <f t="shared" si="110"/>
        <v>54RIO AVE CARNEIROS 01 SPE LTDA.</v>
      </c>
      <c r="G545" s="18">
        <f t="shared" si="101"/>
        <v>54</v>
      </c>
      <c r="H545" s="19" t="str">
        <f t="shared" si="111"/>
        <v>103RIO AVE CARNEIROS 01 SPE LTDA.</v>
      </c>
      <c r="I545" s="19">
        <f t="shared" si="102"/>
        <v>103</v>
      </c>
      <c r="J545" s="13" t="s">
        <v>61</v>
      </c>
      <c r="K545" s="13" t="s">
        <v>664</v>
      </c>
      <c r="L545" s="13" t="s">
        <v>149</v>
      </c>
      <c r="M545" s="13" t="s">
        <v>55</v>
      </c>
      <c r="N545" s="20">
        <v>1117.5</v>
      </c>
      <c r="O545" s="20">
        <v>1622.13</v>
      </c>
      <c r="P545" s="21">
        <v>45978</v>
      </c>
      <c r="Q545" s="22"/>
      <c r="R545" s="23">
        <v>1622.13</v>
      </c>
      <c r="S545" s="24"/>
      <c r="T545" s="23"/>
      <c r="U545" s="24"/>
      <c r="V545" s="23"/>
      <c r="W545" s="23"/>
      <c r="X545" s="24"/>
      <c r="Y545" s="23"/>
      <c r="Z545" s="23"/>
      <c r="AA545" s="23">
        <v>0.99</v>
      </c>
      <c r="AB545" s="23">
        <v>107.44</v>
      </c>
      <c r="AC545" s="24">
        <v>480</v>
      </c>
      <c r="AD545" s="23">
        <v>2.69</v>
      </c>
      <c r="AE545" s="24">
        <v>12</v>
      </c>
      <c r="AF545" s="23"/>
      <c r="AG545" s="23"/>
      <c r="AH545" s="23">
        <v>4.57</v>
      </c>
      <c r="AI545" s="24">
        <v>0</v>
      </c>
      <c r="AJ545" s="25">
        <v>193.32999999999998</v>
      </c>
      <c r="AK545" s="23">
        <v>43.04</v>
      </c>
      <c r="AL545" s="23"/>
      <c r="AM545" s="24"/>
      <c r="AN545" s="23"/>
      <c r="AO545" s="24"/>
      <c r="AP545" s="23"/>
      <c r="AQ545" s="24"/>
      <c r="AR545" s="23">
        <v>23.94</v>
      </c>
      <c r="AS545" s="23">
        <v>-775.2</v>
      </c>
      <c r="AT545" s="23"/>
      <c r="AU545" s="24"/>
      <c r="AW545" s="27">
        <f t="shared" si="103"/>
        <v>193.33054499999997</v>
      </c>
      <c r="AX545" s="27">
        <f t="shared" si="104"/>
        <v>2.6905449999999997</v>
      </c>
      <c r="AY545" s="27">
        <f t="shared" si="105"/>
        <v>107.440545</v>
      </c>
      <c r="AZ545" s="27">
        <f t="shared" si="106"/>
        <v>5.4500000000000002E-4</v>
      </c>
    </row>
    <row r="546" spans="1:52" ht="15" customHeight="1" x14ac:dyDescent="0.25">
      <c r="A546" s="13" t="str">
        <f>VLOOKUP(L546,[1]VALIDAÇÃO!$D$13:$E$350,2,0)</f>
        <v>DIRETO</v>
      </c>
      <c r="B546" s="14" t="str">
        <f t="shared" si="108"/>
        <v>16CONDOMINIO DO EDIFICIO EMPRESARIAL MARIE CURIE</v>
      </c>
      <c r="C546" s="15">
        <f t="shared" si="107"/>
        <v>16</v>
      </c>
      <c r="D546" s="16" t="str">
        <f t="shared" si="109"/>
        <v>42CONDOMINIO DO EDIFICIO EMPRESARIAL MARIE CURIE</v>
      </c>
      <c r="E546" s="17">
        <f t="shared" si="100"/>
        <v>42</v>
      </c>
      <c r="F546" s="18" t="str">
        <f t="shared" si="110"/>
        <v>37CONDOMINIO DO EDIFICIO EMPRESARIAL MARIE CURIE</v>
      </c>
      <c r="G546" s="18">
        <f t="shared" si="101"/>
        <v>37</v>
      </c>
      <c r="H546" s="19" t="str">
        <f t="shared" si="111"/>
        <v>62CONDOMINIO DO EDIFICIO EMPRESARIAL MARIE CURIE</v>
      </c>
      <c r="I546" s="19">
        <f t="shared" si="102"/>
        <v>62</v>
      </c>
      <c r="J546" s="13" t="s">
        <v>57</v>
      </c>
      <c r="K546" s="13" t="s">
        <v>665</v>
      </c>
      <c r="L546" s="13" t="s">
        <v>59</v>
      </c>
      <c r="M546" s="13" t="s">
        <v>60</v>
      </c>
      <c r="N546" s="20">
        <v>1502.15</v>
      </c>
      <c r="O546" s="20">
        <v>2156</v>
      </c>
      <c r="P546" s="21">
        <v>45509</v>
      </c>
      <c r="Q546" s="22"/>
      <c r="R546" s="23">
        <v>2156</v>
      </c>
      <c r="S546" s="24"/>
      <c r="T546" s="23"/>
      <c r="U546" s="24"/>
      <c r="V546" s="23"/>
      <c r="W546" s="23"/>
      <c r="X546" s="24"/>
      <c r="Y546" s="23"/>
      <c r="Z546" s="23"/>
      <c r="AA546" s="23">
        <v>5.95</v>
      </c>
      <c r="AB546" s="23">
        <v>110.26</v>
      </c>
      <c r="AC546" s="24">
        <v>478.72142857142853</v>
      </c>
      <c r="AD546" s="23">
        <v>192.77</v>
      </c>
      <c r="AE546" s="24">
        <v>833.14714285714285</v>
      </c>
      <c r="AF546" s="23"/>
      <c r="AG546" s="23"/>
      <c r="AH546" s="23">
        <v>29.939999999999998</v>
      </c>
      <c r="AI546" s="24">
        <v>0</v>
      </c>
      <c r="AJ546" s="25">
        <v>1206.1500000000001</v>
      </c>
      <c r="AK546" s="23">
        <v>255.07999999999998</v>
      </c>
      <c r="AL546" s="23"/>
      <c r="AM546" s="24"/>
      <c r="AN546" s="23"/>
      <c r="AO546" s="24"/>
      <c r="AP546" s="23"/>
      <c r="AQ546" s="24"/>
      <c r="AR546" s="23">
        <v>58.3</v>
      </c>
      <c r="AS546" s="23">
        <v>-924</v>
      </c>
      <c r="AT546" s="23"/>
      <c r="AU546" s="24"/>
      <c r="AW546" s="27">
        <f t="shared" si="103"/>
        <v>1206.1505460000001</v>
      </c>
      <c r="AX546" s="27">
        <f t="shared" si="104"/>
        <v>192.77054600000002</v>
      </c>
      <c r="AY546" s="27">
        <f t="shared" si="105"/>
        <v>110.26054600000001</v>
      </c>
      <c r="AZ546" s="27">
        <f t="shared" si="106"/>
        <v>5.4600000000000004E-4</v>
      </c>
    </row>
    <row r="547" spans="1:52" ht="15" customHeight="1" x14ac:dyDescent="0.25">
      <c r="A547" s="13" t="str">
        <f>VLOOKUP(L547,[1]VALIDAÇÃO!$D$13:$E$350,2,0)</f>
        <v>DIRETO</v>
      </c>
      <c r="B547" s="14" t="str">
        <f t="shared" si="108"/>
        <v>75RIO AVE CARNEIROS 01 SPE LTDA.</v>
      </c>
      <c r="C547" s="15">
        <f t="shared" si="107"/>
        <v>75</v>
      </c>
      <c r="D547" s="16" t="str">
        <f t="shared" si="109"/>
        <v>74RIO AVE CARNEIROS 01 SPE LTDA.</v>
      </c>
      <c r="E547" s="17">
        <f t="shared" si="100"/>
        <v>74</v>
      </c>
      <c r="F547" s="18" t="str">
        <f t="shared" si="110"/>
        <v>81RIO AVE CARNEIROS 01 SPE LTDA.</v>
      </c>
      <c r="G547" s="18">
        <f t="shared" si="101"/>
        <v>81</v>
      </c>
      <c r="H547" s="19" t="str">
        <f t="shared" si="111"/>
        <v>102RIO AVE CARNEIROS 01 SPE LTDA.</v>
      </c>
      <c r="I547" s="19">
        <f t="shared" si="102"/>
        <v>102</v>
      </c>
      <c r="J547" s="13" t="s">
        <v>61</v>
      </c>
      <c r="K547" s="13" t="s">
        <v>666</v>
      </c>
      <c r="L547" s="13" t="s">
        <v>54</v>
      </c>
      <c r="M547" s="13" t="s">
        <v>55</v>
      </c>
      <c r="N547" s="20">
        <v>1010.62</v>
      </c>
      <c r="O547" s="20">
        <v>1622.13</v>
      </c>
      <c r="P547" s="21">
        <v>45698</v>
      </c>
      <c r="Q547" s="22"/>
      <c r="R547" s="23">
        <v>1622.13</v>
      </c>
      <c r="S547" s="24"/>
      <c r="T547" s="23"/>
      <c r="U547" s="24"/>
      <c r="V547" s="23"/>
      <c r="W547" s="23"/>
      <c r="X547" s="24"/>
      <c r="Y547" s="23"/>
      <c r="Z547" s="23"/>
      <c r="AA547" s="23">
        <v>1.17</v>
      </c>
      <c r="AB547" s="23">
        <v>68.48</v>
      </c>
      <c r="AC547" s="24">
        <v>425</v>
      </c>
      <c r="AD547" s="23">
        <v>63.37</v>
      </c>
      <c r="AE547" s="24">
        <v>349.57142857142856</v>
      </c>
      <c r="AF547" s="23"/>
      <c r="AG547" s="23"/>
      <c r="AH547" s="23">
        <v>5.4399999999999995</v>
      </c>
      <c r="AI547" s="24">
        <v>0</v>
      </c>
      <c r="AJ547" s="25">
        <v>336.51</v>
      </c>
      <c r="AK547" s="23">
        <v>74.239999999999995</v>
      </c>
      <c r="AL547" s="23">
        <v>-1.45</v>
      </c>
      <c r="AM547" s="24">
        <v>11</v>
      </c>
      <c r="AN547" s="23"/>
      <c r="AO547" s="24"/>
      <c r="AP547" s="23"/>
      <c r="AQ547" s="24"/>
      <c r="AR547" s="23">
        <v>27.92</v>
      </c>
      <c r="AS547" s="23">
        <v>-775.2</v>
      </c>
      <c r="AT547" s="23"/>
      <c r="AU547" s="24"/>
      <c r="AW547" s="27">
        <f t="shared" si="103"/>
        <v>336.51054699999997</v>
      </c>
      <c r="AX547" s="27">
        <f t="shared" si="104"/>
        <v>63.370546999999995</v>
      </c>
      <c r="AY547" s="27">
        <f t="shared" si="105"/>
        <v>68.480547000000001</v>
      </c>
      <c r="AZ547" s="27">
        <f t="shared" si="106"/>
        <v>5.4699999999999996E-4</v>
      </c>
    </row>
    <row r="548" spans="1:52" ht="15" customHeight="1" x14ac:dyDescent="0.25">
      <c r="A548" s="13" t="str">
        <f>VLOOKUP(L548,[1]VALIDAÇÃO!$D$13:$E$350,2,0)</f>
        <v>INDIRETO</v>
      </c>
      <c r="B548" s="14" t="str">
        <f t="shared" si="108"/>
        <v>65RIO AVE 200 SPE LTDA.</v>
      </c>
      <c r="C548" s="15">
        <f t="shared" si="107"/>
        <v>65</v>
      </c>
      <c r="D548" s="16" t="str">
        <f t="shared" si="109"/>
        <v>61RIO AVE 200 SPE LTDA.</v>
      </c>
      <c r="E548" s="17">
        <f t="shared" si="100"/>
        <v>61</v>
      </c>
      <c r="F548" s="18" t="str">
        <f t="shared" si="110"/>
        <v>60RIO AVE 200 SPE LTDA.</v>
      </c>
      <c r="G548" s="18">
        <f t="shared" si="101"/>
        <v>60</v>
      </c>
      <c r="H548" s="19" t="str">
        <f t="shared" si="111"/>
        <v>39RIO AVE 200 SPE LTDA.</v>
      </c>
      <c r="I548" s="19">
        <f t="shared" si="102"/>
        <v>39</v>
      </c>
      <c r="J548" s="13" t="s">
        <v>48</v>
      </c>
      <c r="K548" s="13" t="s">
        <v>667</v>
      </c>
      <c r="L548" s="13" t="s">
        <v>108</v>
      </c>
      <c r="M548" s="13" t="s">
        <v>51</v>
      </c>
      <c r="N548" s="20">
        <v>974.84</v>
      </c>
      <c r="O548" s="20">
        <v>2156</v>
      </c>
      <c r="P548" s="21">
        <v>45880</v>
      </c>
      <c r="Q548" s="22"/>
      <c r="R548" s="23">
        <v>2156</v>
      </c>
      <c r="S548" s="24"/>
      <c r="T548" s="23"/>
      <c r="U548" s="24"/>
      <c r="V548" s="23"/>
      <c r="W548" s="23"/>
      <c r="X548" s="24"/>
      <c r="Y548" s="23"/>
      <c r="Z548" s="23"/>
      <c r="AA548" s="23"/>
      <c r="AB548" s="23"/>
      <c r="AC548" s="24"/>
      <c r="AD548" s="23">
        <v>14.719999999999999</v>
      </c>
      <c r="AE548" s="24">
        <v>136.84285714285716</v>
      </c>
      <c r="AF548" s="23"/>
      <c r="AG548" s="23"/>
      <c r="AH548" s="23"/>
      <c r="AI548" s="24"/>
      <c r="AJ548" s="25"/>
      <c r="AK548" s="23"/>
      <c r="AL548" s="23"/>
      <c r="AM548" s="24"/>
      <c r="AN548" s="23"/>
      <c r="AO548" s="24"/>
      <c r="AP548" s="23"/>
      <c r="AQ548" s="24"/>
      <c r="AR548" s="23">
        <v>3.3000000000000003</v>
      </c>
      <c r="AS548" s="23">
        <v>-924</v>
      </c>
      <c r="AT548" s="23"/>
      <c r="AU548" s="24"/>
      <c r="AW548" s="27">
        <f t="shared" si="103"/>
        <v>5.4799999999999998E-4</v>
      </c>
      <c r="AX548" s="27">
        <f t="shared" si="104"/>
        <v>14.720547999999999</v>
      </c>
      <c r="AY548" s="27">
        <f t="shared" si="105"/>
        <v>5.4799999999999998E-4</v>
      </c>
      <c r="AZ548" s="27">
        <f t="shared" si="106"/>
        <v>5.4799999999999998E-4</v>
      </c>
    </row>
    <row r="549" spans="1:52" ht="15" customHeight="1" x14ac:dyDescent="0.25">
      <c r="A549" s="13" t="str">
        <f>VLOOKUP(L549,[1]VALIDAÇÃO!$D$13:$E$350,2,0)</f>
        <v>INDIRETO</v>
      </c>
      <c r="B549" s="14" t="str">
        <f t="shared" si="108"/>
        <v>7RIO AVE SUBHOLDING INCORPORACAO LTDA</v>
      </c>
      <c r="C549" s="15">
        <f t="shared" si="107"/>
        <v>7</v>
      </c>
      <c r="D549" s="16" t="str">
        <f t="shared" si="109"/>
        <v>2RIO AVE SUBHOLDING INCORPORACAO LTDA</v>
      </c>
      <c r="E549" s="17">
        <f t="shared" si="100"/>
        <v>2</v>
      </c>
      <c r="F549" s="18" t="str">
        <f t="shared" si="110"/>
        <v>7RIO AVE SUBHOLDING INCORPORACAO LTDA</v>
      </c>
      <c r="G549" s="18">
        <f t="shared" si="101"/>
        <v>7</v>
      </c>
      <c r="H549" s="19" t="str">
        <f t="shared" si="111"/>
        <v>5RIO AVE SUBHOLDING INCORPORACAO LTDA</v>
      </c>
      <c r="I549" s="19">
        <f t="shared" si="102"/>
        <v>5</v>
      </c>
      <c r="J549" s="13" t="s">
        <v>124</v>
      </c>
      <c r="K549" s="13" t="s">
        <v>668</v>
      </c>
      <c r="L549" s="13" t="s">
        <v>162</v>
      </c>
      <c r="M549" s="13" t="s">
        <v>181</v>
      </c>
      <c r="N549" s="20">
        <v>1688.85</v>
      </c>
      <c r="O549" s="20">
        <v>2838.55</v>
      </c>
      <c r="P549" s="21">
        <v>45323</v>
      </c>
      <c r="Q549" s="22"/>
      <c r="R549" s="23">
        <v>2838.55</v>
      </c>
      <c r="S549" s="24"/>
      <c r="T549" s="23"/>
      <c r="U549" s="24"/>
      <c r="V549" s="23"/>
      <c r="W549" s="23"/>
      <c r="X549" s="24"/>
      <c r="Y549" s="23"/>
      <c r="Z549" s="23"/>
      <c r="AA549" s="23"/>
      <c r="AB549" s="23"/>
      <c r="AC549" s="24"/>
      <c r="AD549" s="23">
        <v>69.52000000000001</v>
      </c>
      <c r="AE549" s="24">
        <v>222.05857142857144</v>
      </c>
      <c r="AF549" s="23"/>
      <c r="AG549" s="23"/>
      <c r="AH549" s="23"/>
      <c r="AI549" s="24"/>
      <c r="AJ549" s="25"/>
      <c r="AK549" s="23"/>
      <c r="AL549" s="23"/>
      <c r="AM549" s="24"/>
      <c r="AN549" s="23"/>
      <c r="AO549" s="24"/>
      <c r="AP549" s="23"/>
      <c r="AQ549" s="24"/>
      <c r="AR549" s="23">
        <v>11.56</v>
      </c>
      <c r="AS549" s="23">
        <v>-1261.58</v>
      </c>
      <c r="AT549" s="23"/>
      <c r="AU549" s="24"/>
      <c r="AW549" s="27">
        <f t="shared" si="103"/>
        <v>5.4900000000000001E-4</v>
      </c>
      <c r="AX549" s="27">
        <f t="shared" si="104"/>
        <v>69.520549000000017</v>
      </c>
      <c r="AY549" s="27">
        <f t="shared" si="105"/>
        <v>5.4900000000000001E-4</v>
      </c>
      <c r="AZ549" s="27">
        <f t="shared" si="106"/>
        <v>5.4900000000000001E-4</v>
      </c>
    </row>
    <row r="550" spans="1:52" ht="15" customHeight="1" x14ac:dyDescent="0.25">
      <c r="A550" s="13" t="str">
        <f>VLOOKUP(L550,[1]VALIDAÇÃO!$D$13:$E$350,2,0)</f>
        <v>INDIRETO</v>
      </c>
      <c r="B550" s="14" t="str">
        <f t="shared" si="108"/>
        <v>99RIO AVE CARNEIROS 01 SPE LTDA.</v>
      </c>
      <c r="C550" s="15">
        <f t="shared" si="107"/>
        <v>99</v>
      </c>
      <c r="D550" s="16" t="str">
        <f t="shared" si="109"/>
        <v>128RIO AVE CARNEIROS 01 SPE LTDA.</v>
      </c>
      <c r="E550" s="17">
        <f t="shared" si="100"/>
        <v>128</v>
      </c>
      <c r="F550" s="18" t="str">
        <f t="shared" si="110"/>
        <v>126RIO AVE CARNEIROS 01 SPE LTDA.</v>
      </c>
      <c r="G550" s="18">
        <f t="shared" si="101"/>
        <v>126</v>
      </c>
      <c r="H550" s="19" t="str">
        <f t="shared" si="111"/>
        <v>101RIO AVE CARNEIROS 01 SPE LTDA.</v>
      </c>
      <c r="I550" s="19">
        <f t="shared" si="102"/>
        <v>101</v>
      </c>
      <c r="J550" s="13" t="s">
        <v>61</v>
      </c>
      <c r="K550" s="13" t="s">
        <v>669</v>
      </c>
      <c r="L550" s="13" t="s">
        <v>670</v>
      </c>
      <c r="M550" s="13" t="s">
        <v>55</v>
      </c>
      <c r="N550" s="20">
        <v>728.68</v>
      </c>
      <c r="O550" s="20">
        <v>1622.13</v>
      </c>
      <c r="P550" s="21">
        <v>45617</v>
      </c>
      <c r="Q550" s="22"/>
      <c r="R550" s="23">
        <v>1622.13</v>
      </c>
      <c r="S550" s="24"/>
      <c r="T550" s="23"/>
      <c r="U550" s="24"/>
      <c r="V550" s="23"/>
      <c r="W550" s="23"/>
      <c r="X550" s="24"/>
      <c r="Y550" s="23"/>
      <c r="Z550" s="23"/>
      <c r="AA550" s="23">
        <v>0.15</v>
      </c>
      <c r="AB550" s="23">
        <v>9.0500000000000007</v>
      </c>
      <c r="AC550" s="24">
        <v>40.42</v>
      </c>
      <c r="AD550" s="23">
        <v>3.44</v>
      </c>
      <c r="AE550" s="24">
        <v>19.651428571428571</v>
      </c>
      <c r="AF550" s="23"/>
      <c r="AG550" s="23"/>
      <c r="AH550" s="23">
        <v>0.53</v>
      </c>
      <c r="AI550" s="24">
        <v>0</v>
      </c>
      <c r="AJ550" s="25">
        <v>210.53</v>
      </c>
      <c r="AK550" s="23">
        <v>46.08</v>
      </c>
      <c r="AL550" s="23"/>
      <c r="AM550" s="24"/>
      <c r="AN550" s="23">
        <v>-57.93</v>
      </c>
      <c r="AO550" s="24">
        <v>1</v>
      </c>
      <c r="AP550" s="23"/>
      <c r="AQ550" s="24"/>
      <c r="AR550" s="23">
        <v>3.5799999999999996</v>
      </c>
      <c r="AS550" s="23">
        <v>-695.2</v>
      </c>
      <c r="AT550" s="23">
        <v>-115.87</v>
      </c>
      <c r="AU550" s="24">
        <v>2</v>
      </c>
      <c r="AW550" s="27">
        <f t="shared" si="103"/>
        <v>210.53055000000001</v>
      </c>
      <c r="AX550" s="27">
        <f t="shared" si="104"/>
        <v>3.44055</v>
      </c>
      <c r="AY550" s="27">
        <f t="shared" si="105"/>
        <v>9.0505500000000012</v>
      </c>
      <c r="AZ550" s="27">
        <f t="shared" si="106"/>
        <v>5.5000000000000003E-4</v>
      </c>
    </row>
    <row r="551" spans="1:52" ht="15" customHeight="1" x14ac:dyDescent="0.25">
      <c r="A551" s="13" t="str">
        <f>VLOOKUP(L551,[1]VALIDAÇÃO!$D$13:$E$350,2,0)</f>
        <v>INDIRETO</v>
      </c>
      <c r="B551" s="14" t="str">
        <f t="shared" si="108"/>
        <v>64RIO AVE 200 SPE LTDA.</v>
      </c>
      <c r="C551" s="15">
        <f t="shared" si="107"/>
        <v>64</v>
      </c>
      <c r="D551" s="16" t="str">
        <f t="shared" si="109"/>
        <v>72RIO AVE 200 SPE LTDA.</v>
      </c>
      <c r="E551" s="17">
        <f t="shared" si="100"/>
        <v>72</v>
      </c>
      <c r="F551" s="18" t="str">
        <f t="shared" si="110"/>
        <v>59RIO AVE 200 SPE LTDA.</v>
      </c>
      <c r="G551" s="18">
        <f t="shared" si="101"/>
        <v>59</v>
      </c>
      <c r="H551" s="19" t="str">
        <f t="shared" si="111"/>
        <v>38RIO AVE 200 SPE LTDA.</v>
      </c>
      <c r="I551" s="19">
        <f t="shared" si="102"/>
        <v>38</v>
      </c>
      <c r="J551" s="13" t="s">
        <v>48</v>
      </c>
      <c r="K551" s="13" t="s">
        <v>671</v>
      </c>
      <c r="L551" s="13" t="s">
        <v>672</v>
      </c>
      <c r="M551" s="13" t="s">
        <v>51</v>
      </c>
      <c r="N551" s="20">
        <v>1108.96</v>
      </c>
      <c r="O551" s="20"/>
      <c r="P551" s="21">
        <v>45874</v>
      </c>
      <c r="Q551" s="22"/>
      <c r="R551" s="23"/>
      <c r="S551" s="24"/>
      <c r="T551" s="23"/>
      <c r="U551" s="24"/>
      <c r="V551" s="23"/>
      <c r="W551" s="23"/>
      <c r="X551" s="24"/>
      <c r="Y551" s="23"/>
      <c r="Z551" s="23"/>
      <c r="AA551" s="23"/>
      <c r="AB551" s="23"/>
      <c r="AC551" s="24"/>
      <c r="AD551" s="23"/>
      <c r="AE551" s="24"/>
      <c r="AF551" s="23"/>
      <c r="AG551" s="23"/>
      <c r="AH551" s="23"/>
      <c r="AI551" s="24"/>
      <c r="AJ551" s="25"/>
      <c r="AK551" s="23"/>
      <c r="AL551" s="23"/>
      <c r="AM551" s="24"/>
      <c r="AN551" s="23"/>
      <c r="AO551" s="24"/>
      <c r="AP551" s="23"/>
      <c r="AQ551" s="24"/>
      <c r="AR551" s="23"/>
      <c r="AS551" s="23">
        <v>-520</v>
      </c>
      <c r="AT551" s="23"/>
      <c r="AU551" s="24"/>
      <c r="AW551" s="27">
        <f t="shared" si="103"/>
        <v>5.5099999999999995E-4</v>
      </c>
      <c r="AX551" s="27">
        <f t="shared" si="104"/>
        <v>5.5099999999999995E-4</v>
      </c>
      <c r="AY551" s="27">
        <f t="shared" si="105"/>
        <v>5.5099999999999995E-4</v>
      </c>
      <c r="AZ551" s="27">
        <f t="shared" si="106"/>
        <v>5.5099999999999995E-4</v>
      </c>
    </row>
    <row r="552" spans="1:52" ht="15" customHeight="1" x14ac:dyDescent="0.25">
      <c r="A552" s="13" t="str">
        <f>VLOOKUP(L552,[1]VALIDAÇÃO!$D$13:$E$350,2,0)</f>
        <v>INDIRETO</v>
      </c>
      <c r="B552" s="14" t="str">
        <f t="shared" si="108"/>
        <v>5RIO AVE EQUIPAMENTOS LTDA.</v>
      </c>
      <c r="C552" s="15">
        <f t="shared" si="107"/>
        <v>5</v>
      </c>
      <c r="D552" s="16" t="str">
        <f t="shared" si="109"/>
        <v>6RIO AVE EQUIPAMENTOS LTDA.</v>
      </c>
      <c r="E552" s="17">
        <f t="shared" si="100"/>
        <v>6</v>
      </c>
      <c r="F552" s="18" t="str">
        <f t="shared" si="110"/>
        <v>5RIO AVE EQUIPAMENTOS LTDA.</v>
      </c>
      <c r="G552" s="18">
        <f t="shared" si="101"/>
        <v>5</v>
      </c>
      <c r="H552" s="19" t="str">
        <f t="shared" si="111"/>
        <v>2RIO AVE EQUIPAMENTOS LTDA.</v>
      </c>
      <c r="I552" s="19">
        <f t="shared" si="102"/>
        <v>2</v>
      </c>
      <c r="J552" s="13" t="s">
        <v>190</v>
      </c>
      <c r="K552" s="13" t="s">
        <v>673</v>
      </c>
      <c r="L552" s="13" t="s">
        <v>674</v>
      </c>
      <c r="M552" s="13" t="s">
        <v>85</v>
      </c>
      <c r="N552" s="20">
        <v>2463.12</v>
      </c>
      <c r="O552" s="20">
        <v>4730.92</v>
      </c>
      <c r="P552" s="21">
        <v>45708</v>
      </c>
      <c r="Q552" s="22"/>
      <c r="R552" s="23">
        <v>4730.92</v>
      </c>
      <c r="S552" s="24"/>
      <c r="T552" s="23"/>
      <c r="U552" s="24"/>
      <c r="V552" s="23"/>
      <c r="W552" s="23"/>
      <c r="X552" s="24"/>
      <c r="Y552" s="23"/>
      <c r="Z552" s="23"/>
      <c r="AA552" s="23"/>
      <c r="AB552" s="23"/>
      <c r="AC552" s="24"/>
      <c r="AD552" s="23"/>
      <c r="AE552" s="24"/>
      <c r="AF552" s="23"/>
      <c r="AG552" s="23"/>
      <c r="AH552" s="23"/>
      <c r="AI552" s="24"/>
      <c r="AJ552" s="25"/>
      <c r="AK552" s="23"/>
      <c r="AL552" s="23"/>
      <c r="AM552" s="24"/>
      <c r="AN552" s="23"/>
      <c r="AO552" s="24"/>
      <c r="AP552" s="23"/>
      <c r="AQ552" s="24"/>
      <c r="AR552" s="23"/>
      <c r="AS552" s="23">
        <v>-2102.63</v>
      </c>
      <c r="AT552" s="23"/>
      <c r="AU552" s="24"/>
      <c r="AW552" s="27">
        <f t="shared" si="103"/>
        <v>5.5199999999999997E-4</v>
      </c>
      <c r="AX552" s="27">
        <f t="shared" si="104"/>
        <v>5.5199999999999997E-4</v>
      </c>
      <c r="AY552" s="27">
        <f t="shared" si="105"/>
        <v>5.5199999999999997E-4</v>
      </c>
      <c r="AZ552" s="27">
        <f t="shared" si="106"/>
        <v>5.5199999999999997E-4</v>
      </c>
    </row>
    <row r="553" spans="1:52" ht="15" customHeight="1" x14ac:dyDescent="0.25">
      <c r="A553" s="13" t="str">
        <f>VLOOKUP(L553,[1]VALIDAÇÃO!$D$13:$E$350,2,0)</f>
        <v>DIRETO</v>
      </c>
      <c r="B553" s="14" t="str">
        <f t="shared" si="108"/>
        <v>13RIO AVE PRAIA HOTEL SPE LTDA.</v>
      </c>
      <c r="C553" s="15">
        <f t="shared" si="107"/>
        <v>13</v>
      </c>
      <c r="D553" s="16" t="str">
        <f t="shared" si="109"/>
        <v>18RIO AVE PRAIA HOTEL SPE LTDA.</v>
      </c>
      <c r="E553" s="17">
        <f t="shared" si="100"/>
        <v>18</v>
      </c>
      <c r="F553" s="18" t="str">
        <f t="shared" si="110"/>
        <v>21RIO AVE PRAIA HOTEL SPE LTDA.</v>
      </c>
      <c r="G553" s="18">
        <f t="shared" si="101"/>
        <v>21</v>
      </c>
      <c r="H553" s="19" t="str">
        <f t="shared" si="111"/>
        <v>8RIO AVE PRAIA HOTEL SPE LTDA.</v>
      </c>
      <c r="I553" s="19">
        <f t="shared" si="102"/>
        <v>8</v>
      </c>
      <c r="J553" s="13" t="s">
        <v>80</v>
      </c>
      <c r="K553" s="13" t="s">
        <v>675</v>
      </c>
      <c r="L553" s="13" t="s">
        <v>54</v>
      </c>
      <c r="M553" s="13" t="s">
        <v>82</v>
      </c>
      <c r="N553" s="20">
        <v>1346.6</v>
      </c>
      <c r="O553" s="20">
        <v>1564.2</v>
      </c>
      <c r="P553" s="21">
        <v>45573</v>
      </c>
      <c r="Q553" s="22"/>
      <c r="R553" s="23">
        <v>1564.2</v>
      </c>
      <c r="S553" s="24"/>
      <c r="T553" s="23"/>
      <c r="U553" s="24"/>
      <c r="V553" s="23"/>
      <c r="W553" s="23"/>
      <c r="X553" s="24"/>
      <c r="Y553" s="23"/>
      <c r="Z553" s="23"/>
      <c r="AA553" s="23">
        <v>4.8499999999999996</v>
      </c>
      <c r="AB553" s="23">
        <v>159.87</v>
      </c>
      <c r="AC553" s="24">
        <v>791.85571428571427</v>
      </c>
      <c r="AD553" s="23">
        <v>9.3400000000000016</v>
      </c>
      <c r="AE553" s="24">
        <v>54.692857142857136</v>
      </c>
      <c r="AF553" s="23"/>
      <c r="AG553" s="23"/>
      <c r="AH553" s="23">
        <v>22.249999999999996</v>
      </c>
      <c r="AI553" s="24">
        <v>0</v>
      </c>
      <c r="AJ553" s="25">
        <v>363.48999999999995</v>
      </c>
      <c r="AK553" s="23">
        <v>79.77000000000001</v>
      </c>
      <c r="AL553" s="23">
        <v>-10.53</v>
      </c>
      <c r="AM553" s="24">
        <v>80</v>
      </c>
      <c r="AN553" s="23"/>
      <c r="AO553" s="24"/>
      <c r="AP553" s="23">
        <v>503.51000000000005</v>
      </c>
      <c r="AQ553" s="24">
        <v>1948.537142857143</v>
      </c>
      <c r="AR553" s="23">
        <v>147.82</v>
      </c>
      <c r="AS553" s="23">
        <v>-767.28</v>
      </c>
      <c r="AT553" s="23"/>
      <c r="AU553" s="24"/>
      <c r="AW553" s="27">
        <f t="shared" si="103"/>
        <v>363.49055299999998</v>
      </c>
      <c r="AX553" s="27">
        <f t="shared" si="104"/>
        <v>9.3405530000000017</v>
      </c>
      <c r="AY553" s="27">
        <f t="shared" si="105"/>
        <v>159.870553</v>
      </c>
      <c r="AZ553" s="27">
        <f t="shared" si="106"/>
        <v>503.51055300000007</v>
      </c>
    </row>
    <row r="554" spans="1:52" ht="15" customHeight="1" x14ac:dyDescent="0.25">
      <c r="A554" s="13" t="str">
        <f>VLOOKUP(L554,[1]VALIDAÇÃO!$D$13:$E$350,2,0)</f>
        <v>DIRETO</v>
      </c>
      <c r="B554" s="14" t="str">
        <f t="shared" si="108"/>
        <v>60RIO AVE CARNEIROS 01 SPE LTDA.</v>
      </c>
      <c r="C554" s="15">
        <f t="shared" si="107"/>
        <v>60</v>
      </c>
      <c r="D554" s="16" t="str">
        <f t="shared" si="109"/>
        <v>144RIO AVE CARNEIROS 01 SPE LTDA.</v>
      </c>
      <c r="E554" s="17">
        <f t="shared" si="100"/>
        <v>144</v>
      </c>
      <c r="F554" s="18" t="str">
        <f t="shared" si="110"/>
        <v>5RIO AVE CARNEIROS 01 SPE LTDA.</v>
      </c>
      <c r="G554" s="18">
        <f t="shared" si="101"/>
        <v>5</v>
      </c>
      <c r="H554" s="19" t="str">
        <f t="shared" si="111"/>
        <v>27RIO AVE CARNEIROS 01 SPE LTDA.</v>
      </c>
      <c r="I554" s="19">
        <f t="shared" si="102"/>
        <v>27</v>
      </c>
      <c r="J554" s="13" t="s">
        <v>61</v>
      </c>
      <c r="K554" s="13" t="s">
        <v>676</v>
      </c>
      <c r="L554" s="13" t="s">
        <v>63</v>
      </c>
      <c r="M554" s="13" t="s">
        <v>55</v>
      </c>
      <c r="N554" s="20">
        <v>1199.6099999999999</v>
      </c>
      <c r="O554" s="20">
        <v>2156</v>
      </c>
      <c r="P554" s="21">
        <v>45782</v>
      </c>
      <c r="Q554" s="22"/>
      <c r="R554" s="23">
        <v>2156</v>
      </c>
      <c r="S554" s="24"/>
      <c r="T554" s="23"/>
      <c r="U554" s="24"/>
      <c r="V554" s="23"/>
      <c r="W554" s="23"/>
      <c r="X554" s="24"/>
      <c r="Y554" s="23"/>
      <c r="Z554" s="23"/>
      <c r="AA554" s="23">
        <v>3.6799999999999997</v>
      </c>
      <c r="AB554" s="23">
        <v>292.52999999999997</v>
      </c>
      <c r="AC554" s="24">
        <v>1669.7142857142858</v>
      </c>
      <c r="AD554" s="23">
        <v>0.31</v>
      </c>
      <c r="AE554" s="24">
        <v>2.4428571428571426</v>
      </c>
      <c r="AF554" s="23"/>
      <c r="AG554" s="23"/>
      <c r="AH554" s="23">
        <v>16.78</v>
      </c>
      <c r="AI554" s="24">
        <v>0</v>
      </c>
      <c r="AJ554" s="25">
        <v>403.48</v>
      </c>
      <c r="AK554" s="23">
        <v>87.97999999999999</v>
      </c>
      <c r="AL554" s="23"/>
      <c r="AM554" s="24"/>
      <c r="AN554" s="23"/>
      <c r="AO554" s="24"/>
      <c r="AP554" s="23">
        <v>43.580000000000005</v>
      </c>
      <c r="AQ554" s="24">
        <v>295.71428571428572</v>
      </c>
      <c r="AR554" s="23">
        <v>72.789999999999992</v>
      </c>
      <c r="AS554" s="23">
        <v>-695.2</v>
      </c>
      <c r="AT554" s="23"/>
      <c r="AU554" s="24"/>
      <c r="AW554" s="27">
        <f t="shared" si="103"/>
        <v>403.48055400000004</v>
      </c>
      <c r="AX554" s="27">
        <f t="shared" si="104"/>
        <v>0.310554</v>
      </c>
      <c r="AY554" s="27">
        <f t="shared" si="105"/>
        <v>292.530554</v>
      </c>
      <c r="AZ554" s="27">
        <f t="shared" si="106"/>
        <v>43.580554000000006</v>
      </c>
    </row>
    <row r="555" spans="1:52" ht="15" customHeight="1" x14ac:dyDescent="0.25">
      <c r="A555" s="13" t="str">
        <f>VLOOKUP(L555,[1]VALIDAÇÃO!$D$13:$E$350,2,0)</f>
        <v>DIRETO</v>
      </c>
      <c r="B555" s="14" t="str">
        <f t="shared" si="108"/>
        <v>138RESERVA DO PAIVA SPE 03 LTDA</v>
      </c>
      <c r="C555" s="15">
        <f t="shared" si="107"/>
        <v>138</v>
      </c>
      <c r="D555" s="16" t="str">
        <f t="shared" si="109"/>
        <v>145RESERVA DO PAIVA SPE 03 LTDA</v>
      </c>
      <c r="E555" s="17">
        <f t="shared" si="100"/>
        <v>145</v>
      </c>
      <c r="F555" s="18" t="str">
        <f t="shared" si="110"/>
        <v>134RESERVA DO PAIVA SPE 03 LTDA</v>
      </c>
      <c r="G555" s="18">
        <f t="shared" si="101"/>
        <v>134</v>
      </c>
      <c r="H555" s="19" t="str">
        <f t="shared" si="111"/>
        <v>96RESERVA DO PAIVA SPE 03 LTDA</v>
      </c>
      <c r="I555" s="19">
        <f t="shared" si="102"/>
        <v>96</v>
      </c>
      <c r="J555" s="13" t="s">
        <v>52</v>
      </c>
      <c r="K555" s="13" t="s">
        <v>677</v>
      </c>
      <c r="L555" s="13" t="s">
        <v>63</v>
      </c>
      <c r="M555" s="13" t="s">
        <v>55</v>
      </c>
      <c r="N555" s="20">
        <v>878.73</v>
      </c>
      <c r="O555" s="20">
        <v>2156</v>
      </c>
      <c r="P555" s="21">
        <v>45971</v>
      </c>
      <c r="Q555" s="22"/>
      <c r="R555" s="23">
        <v>2156</v>
      </c>
      <c r="S555" s="24"/>
      <c r="T555" s="23"/>
      <c r="U555" s="24"/>
      <c r="V555" s="23"/>
      <c r="W555" s="23"/>
      <c r="X555" s="24"/>
      <c r="Y555" s="23"/>
      <c r="Z555" s="23"/>
      <c r="AA555" s="23"/>
      <c r="AB555" s="23"/>
      <c r="AC555" s="24"/>
      <c r="AD555" s="23">
        <v>8.2099999999999991</v>
      </c>
      <c r="AE555" s="24">
        <v>55.6</v>
      </c>
      <c r="AF555" s="23"/>
      <c r="AG555" s="23"/>
      <c r="AH555" s="23"/>
      <c r="AI555" s="24"/>
      <c r="AJ555" s="25"/>
      <c r="AK555" s="23"/>
      <c r="AL555" s="23"/>
      <c r="AM555" s="24"/>
      <c r="AN555" s="23"/>
      <c r="AO555" s="24"/>
      <c r="AP555" s="23"/>
      <c r="AQ555" s="24"/>
      <c r="AR555" s="23">
        <v>1.94</v>
      </c>
      <c r="AS555" s="23">
        <v>-924</v>
      </c>
      <c r="AT555" s="23"/>
      <c r="AU555" s="24"/>
      <c r="AW555" s="27">
        <f t="shared" si="103"/>
        <v>5.5500000000000005E-4</v>
      </c>
      <c r="AX555" s="27">
        <f t="shared" si="104"/>
        <v>8.2105549999999994</v>
      </c>
      <c r="AY555" s="27">
        <f t="shared" si="105"/>
        <v>5.5500000000000005E-4</v>
      </c>
      <c r="AZ555" s="27">
        <f t="shared" si="106"/>
        <v>5.5500000000000005E-4</v>
      </c>
    </row>
    <row r="556" spans="1:52" ht="15" customHeight="1" x14ac:dyDescent="0.25">
      <c r="A556" s="13" t="str">
        <f>VLOOKUP(L556,[1]VALIDAÇÃO!$D$13:$E$350,2,0)</f>
        <v>DIRETO</v>
      </c>
      <c r="B556" s="14" t="str">
        <f t="shared" si="108"/>
        <v>91CONDOMINIO DO EDIFICIO EMPRESARIAL MARIE CURIE</v>
      </c>
      <c r="C556" s="15">
        <f t="shared" si="107"/>
        <v>91</v>
      </c>
      <c r="D556" s="16" t="str">
        <f t="shared" si="109"/>
        <v>10CONDOMINIO DO EDIFICIO EMPRESARIAL MARIE CURIE</v>
      </c>
      <c r="E556" s="17">
        <f t="shared" si="100"/>
        <v>10</v>
      </c>
      <c r="F556" s="18" t="str">
        <f t="shared" si="110"/>
        <v>9CONDOMINIO DO EDIFICIO EMPRESARIAL MARIE CURIE</v>
      </c>
      <c r="G556" s="18">
        <f t="shared" si="101"/>
        <v>9</v>
      </c>
      <c r="H556" s="19" t="str">
        <f t="shared" si="111"/>
        <v>24CONDOMINIO DO EDIFICIO EMPRESARIAL MARIE CURIE</v>
      </c>
      <c r="I556" s="19">
        <f t="shared" si="102"/>
        <v>24</v>
      </c>
      <c r="J556" s="13" t="s">
        <v>57</v>
      </c>
      <c r="K556" s="13" t="s">
        <v>678</v>
      </c>
      <c r="L556" s="13" t="s">
        <v>189</v>
      </c>
      <c r="M556" s="13" t="s">
        <v>60</v>
      </c>
      <c r="N556" s="20">
        <v>479.55</v>
      </c>
      <c r="O556" s="20">
        <v>2156</v>
      </c>
      <c r="P556" s="21">
        <v>45755</v>
      </c>
      <c r="Q556" s="22"/>
      <c r="R556" s="23">
        <v>2156</v>
      </c>
      <c r="S556" s="24"/>
      <c r="T556" s="23"/>
      <c r="U556" s="24"/>
      <c r="V556" s="23"/>
      <c r="W556" s="23">
        <v>6.9999999999999993E-2</v>
      </c>
      <c r="X556" s="24">
        <v>2.42</v>
      </c>
      <c r="Y556" s="23"/>
      <c r="Z556" s="23"/>
      <c r="AA556" s="23">
        <v>3.12</v>
      </c>
      <c r="AB556" s="23">
        <v>296.54999999999995</v>
      </c>
      <c r="AC556" s="24">
        <v>1421.29</v>
      </c>
      <c r="AD556" s="23">
        <v>519.88</v>
      </c>
      <c r="AE556" s="24">
        <v>2571.3614285714289</v>
      </c>
      <c r="AF556" s="23"/>
      <c r="AG556" s="23"/>
      <c r="AH556" s="23">
        <v>15.010000000000002</v>
      </c>
      <c r="AI556" s="24">
        <v>0</v>
      </c>
      <c r="AJ556" s="25">
        <v>193.98999999999998</v>
      </c>
      <c r="AK556" s="23">
        <v>41.629999999999995</v>
      </c>
      <c r="AL556" s="23">
        <v>-3.88</v>
      </c>
      <c r="AM556" s="24">
        <v>22.19</v>
      </c>
      <c r="AN556" s="23"/>
      <c r="AO556" s="24"/>
      <c r="AP556" s="23">
        <v>31.47</v>
      </c>
      <c r="AQ556" s="24">
        <v>151.14285714285714</v>
      </c>
      <c r="AR556" s="23">
        <v>177.8</v>
      </c>
      <c r="AS556" s="23">
        <v>-924</v>
      </c>
      <c r="AT556" s="23"/>
      <c r="AU556" s="24"/>
      <c r="AW556" s="27">
        <f t="shared" si="103"/>
        <v>193.99055599999997</v>
      </c>
      <c r="AX556" s="27">
        <f t="shared" si="104"/>
        <v>519.88055599999996</v>
      </c>
      <c r="AY556" s="27">
        <f t="shared" si="105"/>
        <v>296.55055599999997</v>
      </c>
      <c r="AZ556" s="27">
        <f t="shared" si="106"/>
        <v>31.470555999999998</v>
      </c>
    </row>
    <row r="557" spans="1:52" ht="15" customHeight="1" x14ac:dyDescent="0.25">
      <c r="A557" s="13" t="str">
        <f>VLOOKUP(L557,[1]VALIDAÇÃO!$D$13:$E$350,2,0)</f>
        <v>INDIRETO</v>
      </c>
      <c r="B557" s="14" t="str">
        <f t="shared" si="108"/>
        <v>59RIO AVE 130 SPE LTDA</v>
      </c>
      <c r="C557" s="15">
        <f t="shared" si="107"/>
        <v>59</v>
      </c>
      <c r="D557" s="16" t="str">
        <f t="shared" si="109"/>
        <v>15RIO AVE 130 SPE LTDA</v>
      </c>
      <c r="E557" s="17">
        <f t="shared" si="100"/>
        <v>15</v>
      </c>
      <c r="F557" s="18" t="str">
        <f t="shared" si="110"/>
        <v>34RIO AVE 130 SPE LTDA</v>
      </c>
      <c r="G557" s="18">
        <f t="shared" si="101"/>
        <v>34</v>
      </c>
      <c r="H557" s="19" t="str">
        <f t="shared" si="111"/>
        <v>1RIO AVE 130 SPE LTDA</v>
      </c>
      <c r="I557" s="19">
        <f t="shared" si="102"/>
        <v>1</v>
      </c>
      <c r="J557" s="13" t="s">
        <v>102</v>
      </c>
      <c r="K557" s="13" t="s">
        <v>679</v>
      </c>
      <c r="L557" s="13" t="s">
        <v>162</v>
      </c>
      <c r="M557" s="13" t="s">
        <v>85</v>
      </c>
      <c r="N557" s="20">
        <v>2184.4</v>
      </c>
      <c r="O557" s="20">
        <v>2943.68</v>
      </c>
      <c r="P557" s="21">
        <v>45919</v>
      </c>
      <c r="Q557" s="22"/>
      <c r="R557" s="23">
        <v>2943.68</v>
      </c>
      <c r="S557" s="24"/>
      <c r="T557" s="23"/>
      <c r="U557" s="24"/>
      <c r="V557" s="23"/>
      <c r="W557" s="23"/>
      <c r="X557" s="24"/>
      <c r="Y557" s="23"/>
      <c r="Z557" s="23"/>
      <c r="AA557" s="23"/>
      <c r="AB557" s="23">
        <v>148.19</v>
      </c>
      <c r="AC557" s="24">
        <v>734.04285714285709</v>
      </c>
      <c r="AD557" s="23">
        <v>627.20999999999992</v>
      </c>
      <c r="AE557" s="24">
        <v>2823.2857142857142</v>
      </c>
      <c r="AF557" s="23"/>
      <c r="AG557" s="23"/>
      <c r="AH557" s="23"/>
      <c r="AI557" s="24"/>
      <c r="AJ557" s="25"/>
      <c r="AK557" s="23"/>
      <c r="AL557" s="23"/>
      <c r="AM557" s="24"/>
      <c r="AN557" s="23"/>
      <c r="AO557" s="24"/>
      <c r="AP557" s="23">
        <v>406.73000000000008</v>
      </c>
      <c r="AQ557" s="24">
        <v>990.28571428571433</v>
      </c>
      <c r="AR557" s="23">
        <v>265.40000000000003</v>
      </c>
      <c r="AS557" s="23">
        <v>-1261.58</v>
      </c>
      <c r="AT557" s="23"/>
      <c r="AU557" s="24"/>
      <c r="AW557" s="27">
        <f t="shared" si="103"/>
        <v>5.5699999999999999E-4</v>
      </c>
      <c r="AX557" s="27">
        <f t="shared" si="104"/>
        <v>627.21055699999988</v>
      </c>
      <c r="AY557" s="27">
        <f t="shared" si="105"/>
        <v>148.19055699999998</v>
      </c>
      <c r="AZ557" s="27">
        <f t="shared" si="106"/>
        <v>406.73055700000009</v>
      </c>
    </row>
    <row r="558" spans="1:52" ht="15" customHeight="1" x14ac:dyDescent="0.25">
      <c r="A558" s="13" t="str">
        <f>VLOOKUP(L558,[1]VALIDAÇÃO!$D$13:$E$350,2,0)</f>
        <v>DIRETO</v>
      </c>
      <c r="B558" s="14" t="str">
        <f t="shared" si="108"/>
        <v>8RIO AVE CARNEIROS 01 SPE LTDA.</v>
      </c>
      <c r="C558" s="15">
        <f t="shared" si="107"/>
        <v>8</v>
      </c>
      <c r="D558" s="16" t="str">
        <f t="shared" si="109"/>
        <v>103RIO AVE CARNEIROS 01 SPE LTDA.</v>
      </c>
      <c r="E558" s="17">
        <f t="shared" si="100"/>
        <v>103</v>
      </c>
      <c r="F558" s="18" t="str">
        <f t="shared" si="110"/>
        <v>101RIO AVE CARNEIROS 01 SPE LTDA.</v>
      </c>
      <c r="G558" s="18">
        <f t="shared" si="101"/>
        <v>101</v>
      </c>
      <c r="H558" s="19" t="str">
        <f t="shared" si="111"/>
        <v>71RIO AVE CARNEIROS 01 SPE LTDA.</v>
      </c>
      <c r="I558" s="19">
        <f t="shared" si="102"/>
        <v>71</v>
      </c>
      <c r="J558" s="13" t="s">
        <v>61</v>
      </c>
      <c r="K558" s="13" t="s">
        <v>680</v>
      </c>
      <c r="L558" s="13" t="s">
        <v>59</v>
      </c>
      <c r="M558" s="13" t="s">
        <v>55</v>
      </c>
      <c r="N558" s="20">
        <v>1719.92</v>
      </c>
      <c r="O558" s="20">
        <v>2156</v>
      </c>
      <c r="P558" s="21">
        <v>45505</v>
      </c>
      <c r="Q558" s="22"/>
      <c r="R558" s="23">
        <v>2156</v>
      </c>
      <c r="S558" s="24"/>
      <c r="T558" s="23"/>
      <c r="U558" s="24"/>
      <c r="V558" s="23"/>
      <c r="W558" s="23"/>
      <c r="X558" s="24"/>
      <c r="Y558" s="23"/>
      <c r="Z558" s="23"/>
      <c r="AA558" s="23">
        <v>1.67</v>
      </c>
      <c r="AB558" s="23">
        <v>36.950000000000003</v>
      </c>
      <c r="AC558" s="24">
        <v>137.32</v>
      </c>
      <c r="AD558" s="23">
        <v>19.959999999999997</v>
      </c>
      <c r="AE558" s="24">
        <v>75.811428571428564</v>
      </c>
      <c r="AF558" s="23"/>
      <c r="AG558" s="23"/>
      <c r="AH558" s="23">
        <v>7.19</v>
      </c>
      <c r="AI558" s="24">
        <v>0</v>
      </c>
      <c r="AJ558" s="25">
        <v>922.9</v>
      </c>
      <c r="AK558" s="23">
        <v>202.59</v>
      </c>
      <c r="AL558" s="23"/>
      <c r="AM558" s="24"/>
      <c r="AN558" s="23"/>
      <c r="AO558" s="24"/>
      <c r="AP558" s="23">
        <v>14.09</v>
      </c>
      <c r="AQ558" s="24">
        <v>40.25</v>
      </c>
      <c r="AR558" s="23">
        <v>15.459999999999999</v>
      </c>
      <c r="AS558" s="23">
        <v>-1099</v>
      </c>
      <c r="AT558" s="23"/>
      <c r="AU558" s="24"/>
      <c r="AW558" s="27">
        <f t="shared" si="103"/>
        <v>922.90055799999993</v>
      </c>
      <c r="AX558" s="27">
        <f t="shared" si="104"/>
        <v>19.960557999999999</v>
      </c>
      <c r="AY558" s="27">
        <f t="shared" si="105"/>
        <v>36.950558000000001</v>
      </c>
      <c r="AZ558" s="27">
        <f t="shared" si="106"/>
        <v>14.090558</v>
      </c>
    </row>
    <row r="559" spans="1:52" ht="15" customHeight="1" x14ac:dyDescent="0.25">
      <c r="A559" s="13" t="str">
        <f>VLOOKUP(L559,[1]VALIDAÇÃO!$D$13:$E$350,2,0)</f>
        <v>DIRETO</v>
      </c>
      <c r="B559" s="14" t="str">
        <f t="shared" si="108"/>
        <v>28RESERVA DO PAIVA SPE 03 LTDA</v>
      </c>
      <c r="C559" s="15">
        <f t="shared" si="107"/>
        <v>28</v>
      </c>
      <c r="D559" s="16" t="str">
        <f t="shared" si="109"/>
        <v>107RESERVA DO PAIVA SPE 03 LTDA</v>
      </c>
      <c r="E559" s="17">
        <f t="shared" si="100"/>
        <v>107</v>
      </c>
      <c r="F559" s="18" t="str">
        <f t="shared" si="110"/>
        <v>75RESERVA DO PAIVA SPE 03 LTDA</v>
      </c>
      <c r="G559" s="18">
        <f t="shared" si="101"/>
        <v>75</v>
      </c>
      <c r="H559" s="19" t="str">
        <f t="shared" si="111"/>
        <v>48RESERVA DO PAIVA SPE 03 LTDA</v>
      </c>
      <c r="I559" s="19">
        <f t="shared" si="102"/>
        <v>48</v>
      </c>
      <c r="J559" s="13" t="s">
        <v>52</v>
      </c>
      <c r="K559" s="13" t="s">
        <v>681</v>
      </c>
      <c r="L559" s="13" t="s">
        <v>149</v>
      </c>
      <c r="M559" s="13" t="s">
        <v>55</v>
      </c>
      <c r="N559" s="20">
        <v>1561.53</v>
      </c>
      <c r="O559" s="20">
        <v>1622.13</v>
      </c>
      <c r="P559" s="21">
        <v>45852</v>
      </c>
      <c r="Q559" s="22"/>
      <c r="R559" s="23">
        <v>1622.13</v>
      </c>
      <c r="S559" s="24"/>
      <c r="T559" s="23"/>
      <c r="U559" s="24"/>
      <c r="V559" s="23"/>
      <c r="W559" s="23"/>
      <c r="X559" s="24"/>
      <c r="Y559" s="23"/>
      <c r="Z559" s="23"/>
      <c r="AA559" s="23">
        <v>6.01</v>
      </c>
      <c r="AB559" s="23">
        <v>103.30000000000001</v>
      </c>
      <c r="AC559" s="24">
        <v>558.69857142857143</v>
      </c>
      <c r="AD559" s="23">
        <v>109.39</v>
      </c>
      <c r="AE559" s="24">
        <v>576.45571428571429</v>
      </c>
      <c r="AF559" s="23"/>
      <c r="AG559" s="23"/>
      <c r="AH559" s="23">
        <v>27.08</v>
      </c>
      <c r="AI559" s="24">
        <v>0</v>
      </c>
      <c r="AJ559" s="25">
        <v>469.13</v>
      </c>
      <c r="AK559" s="23">
        <v>104.73</v>
      </c>
      <c r="AL559" s="23"/>
      <c r="AM559" s="24"/>
      <c r="AN559" s="23"/>
      <c r="AO559" s="24"/>
      <c r="AP559" s="23">
        <v>93</v>
      </c>
      <c r="AQ559" s="24">
        <v>353.17</v>
      </c>
      <c r="AR559" s="23">
        <v>68.39</v>
      </c>
      <c r="AS559" s="23">
        <v>-695.2</v>
      </c>
      <c r="AT559" s="23"/>
      <c r="AU559" s="24"/>
      <c r="AW559" s="27">
        <f t="shared" si="103"/>
        <v>469.13055900000001</v>
      </c>
      <c r="AX559" s="27">
        <f t="shared" si="104"/>
        <v>109.390559</v>
      </c>
      <c r="AY559" s="27">
        <f t="shared" si="105"/>
        <v>103.30055900000001</v>
      </c>
      <c r="AZ559" s="27">
        <f t="shared" si="106"/>
        <v>93.000558999999996</v>
      </c>
    </row>
    <row r="560" spans="1:52" ht="15" customHeight="1" x14ac:dyDescent="0.25">
      <c r="A560" s="13" t="str">
        <f>VLOOKUP(L560,[1]VALIDAÇÃO!$D$13:$E$350,2,0)</f>
        <v>DIRETO</v>
      </c>
      <c r="B560" s="14" t="str">
        <f t="shared" si="108"/>
        <v>85CONDOMINIO DO EDIFICIO EMPRESARIAL MARIE CURIE</v>
      </c>
      <c r="C560" s="15">
        <f t="shared" si="107"/>
        <v>85</v>
      </c>
      <c r="D560" s="16" t="str">
        <f t="shared" si="109"/>
        <v>27CONDOMINIO DO EDIFICIO EMPRESARIAL MARIE CURIE</v>
      </c>
      <c r="E560" s="17">
        <f t="shared" si="100"/>
        <v>27</v>
      </c>
      <c r="F560" s="18" t="str">
        <f t="shared" si="110"/>
        <v>42CONDOMINIO DO EDIFICIO EMPRESARIAL MARIE CURIE</v>
      </c>
      <c r="G560" s="18">
        <f t="shared" si="101"/>
        <v>42</v>
      </c>
      <c r="H560" s="19" t="str">
        <f t="shared" si="111"/>
        <v>61CONDOMINIO DO EDIFICIO EMPRESARIAL MARIE CURIE</v>
      </c>
      <c r="I560" s="19">
        <f t="shared" si="102"/>
        <v>61</v>
      </c>
      <c r="J560" s="13" t="s">
        <v>57</v>
      </c>
      <c r="K560" s="13" t="s">
        <v>682</v>
      </c>
      <c r="L560" s="13" t="s">
        <v>54</v>
      </c>
      <c r="M560" s="13" t="s">
        <v>60</v>
      </c>
      <c r="N560" s="20">
        <v>765.59</v>
      </c>
      <c r="O560" s="20">
        <v>1622.13</v>
      </c>
      <c r="P560" s="21">
        <v>45581</v>
      </c>
      <c r="Q560" s="22"/>
      <c r="R560" s="23">
        <v>1622.13</v>
      </c>
      <c r="S560" s="24"/>
      <c r="T560" s="23"/>
      <c r="U560" s="24"/>
      <c r="V560" s="23"/>
      <c r="W560" s="23"/>
      <c r="X560" s="24"/>
      <c r="Y560" s="23"/>
      <c r="Z560" s="23"/>
      <c r="AA560" s="23">
        <v>1.4500000000000002</v>
      </c>
      <c r="AB560" s="23">
        <v>99.7</v>
      </c>
      <c r="AC560" s="24">
        <v>575.97</v>
      </c>
      <c r="AD560" s="23">
        <v>267.25</v>
      </c>
      <c r="AE560" s="24">
        <v>1516.93</v>
      </c>
      <c r="AF560" s="23"/>
      <c r="AG560" s="23"/>
      <c r="AH560" s="23">
        <v>7.04</v>
      </c>
      <c r="AI560" s="24">
        <v>0</v>
      </c>
      <c r="AJ560" s="25">
        <v>214.99</v>
      </c>
      <c r="AK560" s="23">
        <v>45.879999999999995</v>
      </c>
      <c r="AL560" s="23"/>
      <c r="AM560" s="24"/>
      <c r="AN560" s="23"/>
      <c r="AO560" s="24"/>
      <c r="AP560" s="23"/>
      <c r="AQ560" s="24"/>
      <c r="AR560" s="23">
        <v>74.290000000000006</v>
      </c>
      <c r="AS560" s="23">
        <v>-695.2</v>
      </c>
      <c r="AT560" s="23"/>
      <c r="AU560" s="24"/>
      <c r="AW560" s="27">
        <f t="shared" si="103"/>
        <v>214.99056000000002</v>
      </c>
      <c r="AX560" s="27">
        <f t="shared" si="104"/>
        <v>267.25056000000001</v>
      </c>
      <c r="AY560" s="27">
        <f t="shared" si="105"/>
        <v>99.700559999999996</v>
      </c>
      <c r="AZ560" s="27">
        <f t="shared" si="106"/>
        <v>5.5999999999999995E-4</v>
      </c>
    </row>
    <row r="561" spans="1:52" ht="15" customHeight="1" x14ac:dyDescent="0.25">
      <c r="A561" s="13" t="str">
        <f>VLOOKUP(L561,[1]VALIDAÇÃO!$D$13:$E$350,2,0)</f>
        <v>DIRETO</v>
      </c>
      <c r="B561" s="14" t="str">
        <f t="shared" si="108"/>
        <v>48RIO AVE CARNEIROS 01 SPE LTDA.</v>
      </c>
      <c r="C561" s="15">
        <f t="shared" si="107"/>
        <v>48</v>
      </c>
      <c r="D561" s="16" t="str">
        <f t="shared" si="109"/>
        <v>22RIO AVE CARNEIROS 01 SPE LTDA.</v>
      </c>
      <c r="E561" s="17">
        <f t="shared" si="100"/>
        <v>22</v>
      </c>
      <c r="F561" s="18" t="str">
        <f t="shared" si="110"/>
        <v>79RIO AVE CARNEIROS 01 SPE LTDA.</v>
      </c>
      <c r="G561" s="18">
        <f t="shared" si="101"/>
        <v>79</v>
      </c>
      <c r="H561" s="19" t="str">
        <f t="shared" si="111"/>
        <v>53RIO AVE CARNEIROS 01 SPE LTDA.</v>
      </c>
      <c r="I561" s="19">
        <f t="shared" si="102"/>
        <v>53</v>
      </c>
      <c r="J561" s="13" t="s">
        <v>61</v>
      </c>
      <c r="K561" s="13" t="s">
        <v>683</v>
      </c>
      <c r="L561" s="13" t="s">
        <v>54</v>
      </c>
      <c r="M561" s="13" t="s">
        <v>55</v>
      </c>
      <c r="N561" s="20">
        <v>1422.07</v>
      </c>
      <c r="O561" s="20">
        <v>1622.13</v>
      </c>
      <c r="P561" s="21">
        <v>45890</v>
      </c>
      <c r="Q561" s="22"/>
      <c r="R561" s="23">
        <v>1622.13</v>
      </c>
      <c r="S561" s="24"/>
      <c r="T561" s="23"/>
      <c r="U561" s="24"/>
      <c r="V561" s="23"/>
      <c r="W561" s="23"/>
      <c r="X561" s="24"/>
      <c r="Y561" s="23"/>
      <c r="Z561" s="23"/>
      <c r="AA561" s="23">
        <v>9.06</v>
      </c>
      <c r="AB561" s="23">
        <v>70.83</v>
      </c>
      <c r="AC561" s="24">
        <v>1043.2142857142858</v>
      </c>
      <c r="AD561" s="23">
        <v>401.51000000000005</v>
      </c>
      <c r="AE561" s="24">
        <v>3129.8571428571427</v>
      </c>
      <c r="AF561" s="23"/>
      <c r="AG561" s="23"/>
      <c r="AH561" s="23">
        <v>41.89</v>
      </c>
      <c r="AI561" s="24">
        <v>0</v>
      </c>
      <c r="AJ561" s="25">
        <v>465.51</v>
      </c>
      <c r="AK561" s="23">
        <v>100.74000000000001</v>
      </c>
      <c r="AL561" s="23"/>
      <c r="AM561" s="24"/>
      <c r="AN561" s="23"/>
      <c r="AO561" s="24"/>
      <c r="AP561" s="23">
        <v>27.900000000000002</v>
      </c>
      <c r="AQ561" s="24">
        <v>349.28571428571428</v>
      </c>
      <c r="AR561" s="23">
        <v>108.99</v>
      </c>
      <c r="AS561" s="23">
        <v>-695.2</v>
      </c>
      <c r="AT561" s="23"/>
      <c r="AU561" s="24"/>
      <c r="AW561" s="27">
        <f t="shared" si="103"/>
        <v>465.510561</v>
      </c>
      <c r="AX561" s="27">
        <f t="shared" si="104"/>
        <v>401.51056100000005</v>
      </c>
      <c r="AY561" s="27">
        <f t="shared" si="105"/>
        <v>70.830561000000003</v>
      </c>
      <c r="AZ561" s="27">
        <f t="shared" si="106"/>
        <v>27.900561000000003</v>
      </c>
    </row>
    <row r="562" spans="1:52" ht="15" customHeight="1" x14ac:dyDescent="0.25">
      <c r="A562" s="13" t="str">
        <f>VLOOKUP(L562,[1]VALIDAÇÃO!$D$13:$E$350,2,0)</f>
        <v>DIRETO</v>
      </c>
      <c r="B562" s="14" t="str">
        <f t="shared" si="108"/>
        <v>137RESERVA DO PAIVA SPE 03 LTDA</v>
      </c>
      <c r="C562" s="15">
        <f t="shared" si="107"/>
        <v>137</v>
      </c>
      <c r="D562" s="16" t="str">
        <f t="shared" si="109"/>
        <v>157RESERVA DO PAIVA SPE 03 LTDA</v>
      </c>
      <c r="E562" s="17">
        <f t="shared" si="100"/>
        <v>157</v>
      </c>
      <c r="F562" s="18" t="str">
        <f t="shared" si="110"/>
        <v>133RESERVA DO PAIVA SPE 03 LTDA</v>
      </c>
      <c r="G562" s="18">
        <f t="shared" si="101"/>
        <v>133</v>
      </c>
      <c r="H562" s="19" t="str">
        <f t="shared" si="111"/>
        <v>95RESERVA DO PAIVA SPE 03 LTDA</v>
      </c>
      <c r="I562" s="19">
        <f t="shared" si="102"/>
        <v>95</v>
      </c>
      <c r="J562" s="13" t="s">
        <v>52</v>
      </c>
      <c r="K562" s="13" t="s">
        <v>684</v>
      </c>
      <c r="L562" s="13" t="s">
        <v>54</v>
      </c>
      <c r="M562" s="13" t="s">
        <v>55</v>
      </c>
      <c r="N562" s="20">
        <v>1103.92</v>
      </c>
      <c r="O562" s="20">
        <v>1216.5999999999999</v>
      </c>
      <c r="P562" s="21">
        <v>45999</v>
      </c>
      <c r="Q562" s="22"/>
      <c r="R562" s="23">
        <v>1216.5999999999999</v>
      </c>
      <c r="S562" s="24"/>
      <c r="T562" s="23"/>
      <c r="U562" s="24"/>
      <c r="V562" s="23"/>
      <c r="W562" s="23"/>
      <c r="X562" s="24"/>
      <c r="Y562" s="23"/>
      <c r="Z562" s="23"/>
      <c r="AA562" s="23"/>
      <c r="AB562" s="23"/>
      <c r="AC562" s="24"/>
      <c r="AD562" s="23"/>
      <c r="AE562" s="24"/>
      <c r="AF562" s="23"/>
      <c r="AG562" s="23"/>
      <c r="AH562" s="23"/>
      <c r="AI562" s="24"/>
      <c r="AJ562" s="25"/>
      <c r="AK562" s="23"/>
      <c r="AL562" s="23"/>
      <c r="AM562" s="24"/>
      <c r="AN562" s="23"/>
      <c r="AO562" s="24"/>
      <c r="AP562" s="23"/>
      <c r="AQ562" s="24"/>
      <c r="AR562" s="23"/>
      <c r="AS562" s="23"/>
      <c r="AT562" s="23"/>
      <c r="AU562" s="24"/>
      <c r="AW562" s="27">
        <f t="shared" si="103"/>
        <v>5.62E-4</v>
      </c>
      <c r="AX562" s="27">
        <f t="shared" si="104"/>
        <v>5.62E-4</v>
      </c>
      <c r="AY562" s="27">
        <f t="shared" si="105"/>
        <v>5.62E-4</v>
      </c>
      <c r="AZ562" s="27">
        <f t="shared" si="106"/>
        <v>5.62E-4</v>
      </c>
    </row>
    <row r="563" spans="1:52" ht="15" customHeight="1" x14ac:dyDescent="0.25">
      <c r="A563" s="13" t="str">
        <f>VLOOKUP(L563,[1]VALIDAÇÃO!$D$13:$E$350,2,0)</f>
        <v>DIRETO</v>
      </c>
      <c r="B563" s="14" t="str">
        <f t="shared" si="108"/>
        <v>46RIO AVE 200 SPE LTDA.</v>
      </c>
      <c r="C563" s="15">
        <f t="shared" si="107"/>
        <v>46</v>
      </c>
      <c r="D563" s="16" t="str">
        <f t="shared" si="109"/>
        <v>41RIO AVE 200 SPE LTDA.</v>
      </c>
      <c r="E563" s="17">
        <f t="shared" si="100"/>
        <v>41</v>
      </c>
      <c r="F563" s="18" t="str">
        <f t="shared" si="110"/>
        <v>33RIO AVE 200 SPE LTDA.</v>
      </c>
      <c r="G563" s="18">
        <f t="shared" si="101"/>
        <v>33</v>
      </c>
      <c r="H563" s="19" t="str">
        <f t="shared" si="111"/>
        <v>37RIO AVE 200 SPE LTDA.</v>
      </c>
      <c r="I563" s="19">
        <f t="shared" si="102"/>
        <v>37</v>
      </c>
      <c r="J563" s="13" t="s">
        <v>48</v>
      </c>
      <c r="K563" s="13" t="s">
        <v>685</v>
      </c>
      <c r="L563" s="13" t="s">
        <v>54</v>
      </c>
      <c r="M563" s="13" t="s">
        <v>55</v>
      </c>
      <c r="N563" s="20">
        <v>959.32</v>
      </c>
      <c r="O563" s="20">
        <v>1622.13</v>
      </c>
      <c r="P563" s="21">
        <v>45931</v>
      </c>
      <c r="Q563" s="22"/>
      <c r="R563" s="23">
        <v>1622.13</v>
      </c>
      <c r="S563" s="24"/>
      <c r="T563" s="23"/>
      <c r="U563" s="24"/>
      <c r="V563" s="23"/>
      <c r="W563" s="23"/>
      <c r="X563" s="24"/>
      <c r="Y563" s="23"/>
      <c r="Z563" s="23"/>
      <c r="AA563" s="23">
        <v>1.4000000000000001</v>
      </c>
      <c r="AB563" s="23">
        <v>22.33</v>
      </c>
      <c r="AC563" s="24">
        <v>407.14285714285711</v>
      </c>
      <c r="AD563" s="23">
        <v>104.35</v>
      </c>
      <c r="AE563" s="24">
        <v>738</v>
      </c>
      <c r="AF563" s="23"/>
      <c r="AG563" s="23"/>
      <c r="AH563" s="23">
        <v>6.0500000000000007</v>
      </c>
      <c r="AI563" s="24">
        <v>0</v>
      </c>
      <c r="AJ563" s="25">
        <v>274.93</v>
      </c>
      <c r="AK563" s="23">
        <v>62.22</v>
      </c>
      <c r="AL563" s="23"/>
      <c r="AM563" s="24"/>
      <c r="AN563" s="23"/>
      <c r="AO563" s="24"/>
      <c r="AP563" s="23"/>
      <c r="AQ563" s="24"/>
      <c r="AR563" s="23">
        <v>29.19</v>
      </c>
      <c r="AS563" s="23">
        <v>-695.2</v>
      </c>
      <c r="AT563" s="23"/>
      <c r="AU563" s="24"/>
      <c r="AW563" s="27">
        <f t="shared" si="103"/>
        <v>274.93056300000001</v>
      </c>
      <c r="AX563" s="27">
        <f t="shared" si="104"/>
        <v>104.35056299999999</v>
      </c>
      <c r="AY563" s="27">
        <f t="shared" si="105"/>
        <v>22.330562999999998</v>
      </c>
      <c r="AZ563" s="27">
        <f t="shared" si="106"/>
        <v>5.6300000000000002E-4</v>
      </c>
    </row>
    <row r="564" spans="1:52" ht="15" customHeight="1" x14ac:dyDescent="0.25">
      <c r="A564" s="13" t="str">
        <f>VLOOKUP(L564,[1]VALIDAÇÃO!$D$13:$E$350,2,0)</f>
        <v>INDIRETO</v>
      </c>
      <c r="B564" s="14" t="str">
        <f t="shared" si="108"/>
        <v>63RIO AVE 200 SPE LTDA.</v>
      </c>
      <c r="C564" s="15">
        <f t="shared" si="107"/>
        <v>63</v>
      </c>
      <c r="D564" s="16" t="str">
        <f t="shared" si="109"/>
        <v>71RIO AVE 200 SPE LTDA.</v>
      </c>
      <c r="E564" s="17">
        <f t="shared" si="100"/>
        <v>71</v>
      </c>
      <c r="F564" s="18" t="str">
        <f t="shared" si="110"/>
        <v>58RIO AVE 200 SPE LTDA.</v>
      </c>
      <c r="G564" s="18">
        <f t="shared" si="101"/>
        <v>58</v>
      </c>
      <c r="H564" s="19" t="str">
        <f t="shared" si="111"/>
        <v>36RIO AVE 200 SPE LTDA.</v>
      </c>
      <c r="I564" s="19">
        <f t="shared" si="102"/>
        <v>36</v>
      </c>
      <c r="J564" s="13" t="s">
        <v>48</v>
      </c>
      <c r="K564" s="13" t="s">
        <v>686</v>
      </c>
      <c r="L564" s="13" t="s">
        <v>687</v>
      </c>
      <c r="M564" s="13" t="s">
        <v>51</v>
      </c>
      <c r="N564" s="20">
        <v>1803.03</v>
      </c>
      <c r="O564" s="20">
        <v>4415.5200000000004</v>
      </c>
      <c r="P564" s="21">
        <v>45931</v>
      </c>
      <c r="Q564" s="22"/>
      <c r="R564" s="23">
        <v>4415.5200000000004</v>
      </c>
      <c r="S564" s="24"/>
      <c r="T564" s="23"/>
      <c r="U564" s="24"/>
      <c r="V564" s="23"/>
      <c r="W564" s="23"/>
      <c r="X564" s="24"/>
      <c r="Y564" s="23"/>
      <c r="Z564" s="23"/>
      <c r="AA564" s="23"/>
      <c r="AB564" s="23"/>
      <c r="AC564" s="24"/>
      <c r="AD564" s="23"/>
      <c r="AE564" s="24"/>
      <c r="AF564" s="23"/>
      <c r="AG564" s="23"/>
      <c r="AH564" s="23"/>
      <c r="AI564" s="24"/>
      <c r="AJ564" s="25"/>
      <c r="AK564" s="23"/>
      <c r="AL564" s="23"/>
      <c r="AM564" s="24"/>
      <c r="AN564" s="23"/>
      <c r="AO564" s="24"/>
      <c r="AP564" s="23"/>
      <c r="AQ564" s="24"/>
      <c r="AR564" s="23"/>
      <c r="AS564" s="23">
        <v>-1892.36</v>
      </c>
      <c r="AT564" s="23"/>
      <c r="AU564" s="24"/>
      <c r="AW564" s="27">
        <f t="shared" si="103"/>
        <v>5.6400000000000005E-4</v>
      </c>
      <c r="AX564" s="27">
        <f t="shared" si="104"/>
        <v>5.6400000000000005E-4</v>
      </c>
      <c r="AY564" s="27">
        <f t="shared" si="105"/>
        <v>5.6400000000000005E-4</v>
      </c>
      <c r="AZ564" s="27">
        <f t="shared" si="106"/>
        <v>5.6400000000000005E-4</v>
      </c>
    </row>
    <row r="565" spans="1:52" ht="15" customHeight="1" x14ac:dyDescent="0.25">
      <c r="A565" s="13" t="str">
        <f>VLOOKUP(L565,[1]VALIDAÇÃO!$D$13:$E$350,2,0)</f>
        <v>DIRETO</v>
      </c>
      <c r="B565" s="14" t="str">
        <f t="shared" si="108"/>
        <v>136RESERVA DO PAIVA SPE 03 LTDA</v>
      </c>
      <c r="C565" s="15">
        <f t="shared" si="107"/>
        <v>136</v>
      </c>
      <c r="D565" s="16" t="str">
        <f t="shared" si="109"/>
        <v>156RESERVA DO PAIVA SPE 03 LTDA</v>
      </c>
      <c r="E565" s="17">
        <f t="shared" si="100"/>
        <v>156</v>
      </c>
      <c r="F565" s="18" t="str">
        <f t="shared" si="110"/>
        <v>132RESERVA DO PAIVA SPE 03 LTDA</v>
      </c>
      <c r="G565" s="18">
        <f t="shared" si="101"/>
        <v>132</v>
      </c>
      <c r="H565" s="19" t="str">
        <f t="shared" si="111"/>
        <v>94RESERVA DO PAIVA SPE 03 LTDA</v>
      </c>
      <c r="I565" s="19">
        <f t="shared" si="102"/>
        <v>94</v>
      </c>
      <c r="J565" s="13" t="s">
        <v>52</v>
      </c>
      <c r="K565" s="13" t="s">
        <v>688</v>
      </c>
      <c r="L565" s="13" t="s">
        <v>149</v>
      </c>
      <c r="M565" s="13" t="s">
        <v>55</v>
      </c>
      <c r="N565" s="20">
        <v>1054.0899999999999</v>
      </c>
      <c r="O565" s="20">
        <v>1216.5999999999999</v>
      </c>
      <c r="P565" s="21">
        <v>45999</v>
      </c>
      <c r="Q565" s="22"/>
      <c r="R565" s="23">
        <v>1216.5999999999999</v>
      </c>
      <c r="S565" s="24"/>
      <c r="T565" s="23"/>
      <c r="U565" s="24"/>
      <c r="V565" s="23"/>
      <c r="W565" s="23"/>
      <c r="X565" s="24"/>
      <c r="Y565" s="23"/>
      <c r="Z565" s="23"/>
      <c r="AA565" s="23"/>
      <c r="AB565" s="23"/>
      <c r="AC565" s="24"/>
      <c r="AD565" s="23"/>
      <c r="AE565" s="24"/>
      <c r="AF565" s="23"/>
      <c r="AG565" s="23"/>
      <c r="AH565" s="23"/>
      <c r="AI565" s="24"/>
      <c r="AJ565" s="25"/>
      <c r="AK565" s="23"/>
      <c r="AL565" s="23"/>
      <c r="AM565" s="24"/>
      <c r="AN565" s="23"/>
      <c r="AO565" s="24"/>
      <c r="AP565" s="23"/>
      <c r="AQ565" s="24"/>
      <c r="AR565" s="23"/>
      <c r="AS565" s="23"/>
      <c r="AT565" s="23"/>
      <c r="AU565" s="24"/>
      <c r="AW565" s="27">
        <f t="shared" si="103"/>
        <v>5.6499999999999996E-4</v>
      </c>
      <c r="AX565" s="27">
        <f t="shared" si="104"/>
        <v>5.6499999999999996E-4</v>
      </c>
      <c r="AY565" s="27">
        <f t="shared" si="105"/>
        <v>5.6499999999999996E-4</v>
      </c>
      <c r="AZ565" s="27">
        <f t="shared" si="106"/>
        <v>5.6499999999999996E-4</v>
      </c>
    </row>
    <row r="566" spans="1:52" ht="15" customHeight="1" x14ac:dyDescent="0.25">
      <c r="A566" s="13" t="str">
        <f>VLOOKUP(L566,[1]VALIDAÇÃO!$D$13:$E$350,2,0)</f>
        <v>INDIRETO</v>
      </c>
      <c r="B566" s="14" t="str">
        <f t="shared" si="108"/>
        <v>13RIO AVE INVESTIMENTOS LTDA</v>
      </c>
      <c r="C566" s="15">
        <f t="shared" si="107"/>
        <v>13</v>
      </c>
      <c r="D566" s="16" t="str">
        <f t="shared" si="109"/>
        <v>2RIO AVE INVESTIMENTOS LTDA</v>
      </c>
      <c r="E566" s="17">
        <f t="shared" si="100"/>
        <v>2</v>
      </c>
      <c r="F566" s="18" t="str">
        <f t="shared" si="110"/>
        <v>2RIO AVE INVESTIMENTOS LTDA</v>
      </c>
      <c r="G566" s="18">
        <f t="shared" si="101"/>
        <v>2</v>
      </c>
      <c r="H566" s="19" t="str">
        <f t="shared" si="111"/>
        <v>4RIO AVE INVESTIMENTOS LTDA</v>
      </c>
      <c r="I566" s="19">
        <f t="shared" si="102"/>
        <v>4</v>
      </c>
      <c r="J566" s="13" t="s">
        <v>304</v>
      </c>
      <c r="K566" s="13" t="s">
        <v>689</v>
      </c>
      <c r="L566" s="13" t="s">
        <v>690</v>
      </c>
      <c r="M566" s="13" t="s">
        <v>306</v>
      </c>
      <c r="N566" s="20">
        <v>2726.58</v>
      </c>
      <c r="O566" s="20">
        <v>2838.55</v>
      </c>
      <c r="P566" s="21">
        <v>45762</v>
      </c>
      <c r="Q566" s="22"/>
      <c r="R566" s="23">
        <v>2838.55</v>
      </c>
      <c r="S566" s="24"/>
      <c r="T566" s="23">
        <v>315.39</v>
      </c>
      <c r="U566" s="24">
        <v>3</v>
      </c>
      <c r="V566" s="23"/>
      <c r="W566" s="23">
        <v>0.14000000000000001</v>
      </c>
      <c r="X566" s="24">
        <v>3.88</v>
      </c>
      <c r="Y566" s="23"/>
      <c r="Z566" s="23"/>
      <c r="AA566" s="23"/>
      <c r="AB566" s="23">
        <v>465.52</v>
      </c>
      <c r="AC566" s="24">
        <v>1172.75</v>
      </c>
      <c r="AD566" s="23">
        <v>838.41</v>
      </c>
      <c r="AE566" s="24">
        <v>2460.13</v>
      </c>
      <c r="AF566" s="23"/>
      <c r="AG566" s="23"/>
      <c r="AH566" s="23"/>
      <c r="AI566" s="24"/>
      <c r="AJ566" s="25"/>
      <c r="AK566" s="23"/>
      <c r="AL566" s="23">
        <v>-80</v>
      </c>
      <c r="AM566" s="24">
        <v>372</v>
      </c>
      <c r="AN566" s="23"/>
      <c r="AO566" s="24"/>
      <c r="AP566" s="23">
        <v>119.04</v>
      </c>
      <c r="AQ566" s="24">
        <v>286.13</v>
      </c>
      <c r="AR566" s="23">
        <v>285.2</v>
      </c>
      <c r="AS566" s="23">
        <v>-1261.58</v>
      </c>
      <c r="AT566" s="23"/>
      <c r="AU566" s="24"/>
      <c r="AW566" s="27">
        <f t="shared" si="103"/>
        <v>5.6599999999999999E-4</v>
      </c>
      <c r="AX566" s="27">
        <f t="shared" si="104"/>
        <v>838.41056600000002</v>
      </c>
      <c r="AY566" s="27">
        <f t="shared" si="105"/>
        <v>465.52056599999997</v>
      </c>
      <c r="AZ566" s="27">
        <f t="shared" si="106"/>
        <v>119.04056600000001</v>
      </c>
    </row>
    <row r="567" spans="1:52" ht="15" customHeight="1" x14ac:dyDescent="0.25">
      <c r="A567" s="13" t="str">
        <f>VLOOKUP(L567,[1]VALIDAÇÃO!$D$13:$E$350,2,0)</f>
        <v>INDIRETO</v>
      </c>
      <c r="B567" s="14" t="str">
        <f t="shared" si="108"/>
        <v>62RIO AVE 200 SPE LTDA.</v>
      </c>
      <c r="C567" s="15">
        <f t="shared" si="107"/>
        <v>62</v>
      </c>
      <c r="D567" s="16" t="str">
        <f t="shared" si="109"/>
        <v>70RIO AVE 200 SPE LTDA.</v>
      </c>
      <c r="E567" s="17">
        <f t="shared" si="100"/>
        <v>70</v>
      </c>
      <c r="F567" s="18" t="str">
        <f t="shared" si="110"/>
        <v>57RIO AVE 200 SPE LTDA.</v>
      </c>
      <c r="G567" s="18">
        <f t="shared" si="101"/>
        <v>57</v>
      </c>
      <c r="H567" s="19" t="str">
        <f t="shared" si="111"/>
        <v>35RIO AVE 200 SPE LTDA.</v>
      </c>
      <c r="I567" s="19">
        <f t="shared" si="102"/>
        <v>35</v>
      </c>
      <c r="J567" s="13" t="s">
        <v>48</v>
      </c>
      <c r="K567" s="13" t="s">
        <v>691</v>
      </c>
      <c r="L567" s="13" t="s">
        <v>89</v>
      </c>
      <c r="M567" s="13" t="s">
        <v>51</v>
      </c>
      <c r="N567" s="20">
        <v>1433.96</v>
      </c>
      <c r="O567" s="20"/>
      <c r="P567" s="21">
        <v>45699</v>
      </c>
      <c r="Q567" s="22"/>
      <c r="R567" s="23"/>
      <c r="S567" s="24"/>
      <c r="T567" s="23"/>
      <c r="U567" s="24"/>
      <c r="V567" s="23"/>
      <c r="W567" s="23"/>
      <c r="X567" s="24"/>
      <c r="Y567" s="23"/>
      <c r="Z567" s="23"/>
      <c r="AA567" s="23"/>
      <c r="AB567" s="23"/>
      <c r="AC567" s="24"/>
      <c r="AD567" s="23"/>
      <c r="AE567" s="24"/>
      <c r="AF567" s="23"/>
      <c r="AG567" s="23"/>
      <c r="AH567" s="23"/>
      <c r="AI567" s="24"/>
      <c r="AJ567" s="25"/>
      <c r="AK567" s="23"/>
      <c r="AL567" s="23"/>
      <c r="AM567" s="24"/>
      <c r="AN567" s="23"/>
      <c r="AO567" s="24"/>
      <c r="AP567" s="23"/>
      <c r="AQ567" s="24"/>
      <c r="AR567" s="23"/>
      <c r="AS567" s="23">
        <v>-520</v>
      </c>
      <c r="AT567" s="23"/>
      <c r="AU567" s="24"/>
      <c r="AW567" s="27">
        <f t="shared" si="103"/>
        <v>5.6700000000000001E-4</v>
      </c>
      <c r="AX567" s="27">
        <f t="shared" si="104"/>
        <v>5.6700000000000001E-4</v>
      </c>
      <c r="AY567" s="27">
        <f t="shared" si="105"/>
        <v>5.6700000000000001E-4</v>
      </c>
      <c r="AZ567" s="27">
        <f t="shared" si="106"/>
        <v>5.6700000000000001E-4</v>
      </c>
    </row>
    <row r="568" spans="1:52" ht="15" customHeight="1" x14ac:dyDescent="0.25">
      <c r="A568" s="13" t="str">
        <f>VLOOKUP(L568,[1]VALIDAÇÃO!$D$13:$E$350,2,0)</f>
        <v>DIRETO</v>
      </c>
      <c r="B568" s="14" t="str">
        <f t="shared" si="108"/>
        <v>18RIO AVE CARNEIROS 01 SPE LTDA.</v>
      </c>
      <c r="C568" s="15">
        <f t="shared" si="107"/>
        <v>18</v>
      </c>
      <c r="D568" s="16" t="str">
        <f t="shared" si="109"/>
        <v>52RIO AVE CARNEIROS 01 SPE LTDA.</v>
      </c>
      <c r="E568" s="17">
        <f t="shared" si="100"/>
        <v>52</v>
      </c>
      <c r="F568" s="18" t="str">
        <f t="shared" si="110"/>
        <v>102RIO AVE CARNEIROS 01 SPE LTDA.</v>
      </c>
      <c r="G568" s="18">
        <f t="shared" si="101"/>
        <v>102</v>
      </c>
      <c r="H568" s="19" t="str">
        <f t="shared" si="111"/>
        <v>100RIO AVE CARNEIROS 01 SPE LTDA.</v>
      </c>
      <c r="I568" s="19">
        <f t="shared" si="102"/>
        <v>100</v>
      </c>
      <c r="J568" s="13" t="s">
        <v>61</v>
      </c>
      <c r="K568" s="13" t="s">
        <v>692</v>
      </c>
      <c r="L568" s="13" t="s">
        <v>54</v>
      </c>
      <c r="M568" s="13" t="s">
        <v>55</v>
      </c>
      <c r="N568" s="20">
        <v>1090.8</v>
      </c>
      <c r="O568" s="20">
        <v>1622.13</v>
      </c>
      <c r="P568" s="21">
        <v>45663</v>
      </c>
      <c r="Q568" s="22"/>
      <c r="R568" s="23">
        <v>1622.13</v>
      </c>
      <c r="S568" s="24"/>
      <c r="T568" s="23"/>
      <c r="U568" s="24"/>
      <c r="V568" s="23"/>
      <c r="W568" s="23"/>
      <c r="X568" s="24"/>
      <c r="Y568" s="23"/>
      <c r="Z568" s="23"/>
      <c r="AA568" s="23">
        <v>3.5599999999999996</v>
      </c>
      <c r="AB568" s="23">
        <v>34.269999999999996</v>
      </c>
      <c r="AC568" s="24">
        <v>198.82857142857142</v>
      </c>
      <c r="AD568" s="23">
        <v>166.11</v>
      </c>
      <c r="AE568" s="24">
        <v>918.07142857142844</v>
      </c>
      <c r="AF568" s="23"/>
      <c r="AG568" s="23"/>
      <c r="AH568" s="23">
        <v>16.2</v>
      </c>
      <c r="AI568" s="24">
        <v>0</v>
      </c>
      <c r="AJ568" s="25">
        <v>685.26</v>
      </c>
      <c r="AK568" s="23">
        <v>150.97</v>
      </c>
      <c r="AL568" s="23"/>
      <c r="AM568" s="24"/>
      <c r="AN568" s="23">
        <v>-173.8</v>
      </c>
      <c r="AO568" s="24">
        <v>3</v>
      </c>
      <c r="AP568" s="23"/>
      <c r="AQ568" s="24"/>
      <c r="AR568" s="23">
        <v>43.510000000000005</v>
      </c>
      <c r="AS568" s="23">
        <v>-785.2</v>
      </c>
      <c r="AT568" s="23">
        <v>-57.93</v>
      </c>
      <c r="AU568" s="24">
        <v>1</v>
      </c>
      <c r="AW568" s="27">
        <f t="shared" si="103"/>
        <v>685.26056800000003</v>
      </c>
      <c r="AX568" s="27">
        <f t="shared" si="104"/>
        <v>166.110568</v>
      </c>
      <c r="AY568" s="27">
        <f t="shared" si="105"/>
        <v>34.270567999999997</v>
      </c>
      <c r="AZ568" s="27">
        <f t="shared" si="106"/>
        <v>5.6800000000000004E-4</v>
      </c>
    </row>
    <row r="569" spans="1:52" ht="15" customHeight="1" x14ac:dyDescent="0.25">
      <c r="A569" s="13" t="str">
        <f>VLOOKUP(L569,[1]VALIDAÇÃO!$D$13:$E$350,2,0)</f>
        <v>DIRETO</v>
      </c>
      <c r="B569" s="14" t="str">
        <f t="shared" si="108"/>
        <v>23RIO AVE 200 SPE LTDA.</v>
      </c>
      <c r="C569" s="15">
        <f t="shared" si="107"/>
        <v>23</v>
      </c>
      <c r="D569" s="16" t="str">
        <f t="shared" si="109"/>
        <v>28RIO AVE 200 SPE LTDA.</v>
      </c>
      <c r="E569" s="17">
        <f t="shared" si="100"/>
        <v>28</v>
      </c>
      <c r="F569" s="18" t="str">
        <f t="shared" si="110"/>
        <v>25RIO AVE 200 SPE LTDA.</v>
      </c>
      <c r="G569" s="18">
        <f t="shared" si="101"/>
        <v>25</v>
      </c>
      <c r="H569" s="19" t="str">
        <f t="shared" si="111"/>
        <v>34RIO AVE 200 SPE LTDA.</v>
      </c>
      <c r="I569" s="19">
        <f t="shared" si="102"/>
        <v>34</v>
      </c>
      <c r="J569" s="13" t="s">
        <v>48</v>
      </c>
      <c r="K569" s="13" t="s">
        <v>693</v>
      </c>
      <c r="L569" s="13" t="s">
        <v>59</v>
      </c>
      <c r="M569" s="13" t="s">
        <v>55</v>
      </c>
      <c r="N569" s="20">
        <v>1558.59</v>
      </c>
      <c r="O569" s="20">
        <v>2156</v>
      </c>
      <c r="P569" s="21">
        <v>45874</v>
      </c>
      <c r="Q569" s="22"/>
      <c r="R569" s="23">
        <v>2156</v>
      </c>
      <c r="S569" s="24"/>
      <c r="T569" s="23"/>
      <c r="U569" s="24"/>
      <c r="V569" s="23"/>
      <c r="W569" s="23"/>
      <c r="X569" s="24"/>
      <c r="Y569" s="23"/>
      <c r="Z569" s="23"/>
      <c r="AA569" s="23">
        <v>3.34</v>
      </c>
      <c r="AB569" s="23">
        <v>48.65</v>
      </c>
      <c r="AC569" s="24">
        <v>452.14285714285711</v>
      </c>
      <c r="AD569" s="23">
        <v>134.81</v>
      </c>
      <c r="AE569" s="24">
        <v>726.92857142857144</v>
      </c>
      <c r="AF569" s="23"/>
      <c r="AG569" s="23"/>
      <c r="AH569" s="23">
        <v>16.79</v>
      </c>
      <c r="AI569" s="24">
        <v>0</v>
      </c>
      <c r="AJ569" s="25">
        <v>733.37</v>
      </c>
      <c r="AK569" s="23">
        <v>159.56999999999996</v>
      </c>
      <c r="AL569" s="23"/>
      <c r="AM569" s="24"/>
      <c r="AN569" s="23"/>
      <c r="AO569" s="24"/>
      <c r="AP569" s="23"/>
      <c r="AQ569" s="24"/>
      <c r="AR569" s="23">
        <v>36.299999999999997</v>
      </c>
      <c r="AS569" s="23">
        <v>-924</v>
      </c>
      <c r="AT569" s="23"/>
      <c r="AU569" s="24"/>
      <c r="AW569" s="27">
        <f t="shared" si="103"/>
        <v>733.37056900000005</v>
      </c>
      <c r="AX569" s="27">
        <f t="shared" si="104"/>
        <v>134.81056900000002</v>
      </c>
      <c r="AY569" s="27">
        <f t="shared" si="105"/>
        <v>48.650568999999997</v>
      </c>
      <c r="AZ569" s="27">
        <f t="shared" si="106"/>
        <v>5.6899999999999995E-4</v>
      </c>
    </row>
    <row r="570" spans="1:52" ht="15" customHeight="1" x14ac:dyDescent="0.25">
      <c r="A570" s="13" t="str">
        <f>VLOOKUP(L570,[1]VALIDAÇÃO!$D$13:$E$350,2,0)</f>
        <v>INDIRETO</v>
      </c>
      <c r="B570" s="14" t="str">
        <f t="shared" si="108"/>
        <v>23RIO AVE PRAIA HOTEL SPE LTDA.</v>
      </c>
      <c r="C570" s="15">
        <f t="shared" si="107"/>
        <v>23</v>
      </c>
      <c r="D570" s="16" t="str">
        <f t="shared" si="109"/>
        <v>22RIO AVE PRAIA HOTEL SPE LTDA.</v>
      </c>
      <c r="E570" s="17">
        <f t="shared" si="100"/>
        <v>22</v>
      </c>
      <c r="F570" s="18" t="str">
        <f t="shared" si="110"/>
        <v>23RIO AVE PRAIA HOTEL SPE LTDA.</v>
      </c>
      <c r="G570" s="18">
        <f t="shared" si="101"/>
        <v>23</v>
      </c>
      <c r="H570" s="19" t="str">
        <f t="shared" si="111"/>
        <v>23RIO AVE PRAIA HOTEL SPE LTDA.</v>
      </c>
      <c r="I570" s="19">
        <f t="shared" si="102"/>
        <v>23</v>
      </c>
      <c r="J570" s="13" t="s">
        <v>80</v>
      </c>
      <c r="K570" s="13" t="s">
        <v>694</v>
      </c>
      <c r="L570" s="13" t="s">
        <v>89</v>
      </c>
      <c r="M570" s="13" t="s">
        <v>82</v>
      </c>
      <c r="N570" s="20">
        <v>1282.3</v>
      </c>
      <c r="O570" s="20"/>
      <c r="P570" s="21">
        <v>45756</v>
      </c>
      <c r="Q570" s="22"/>
      <c r="R570" s="23"/>
      <c r="S570" s="24"/>
      <c r="T570" s="23"/>
      <c r="U570" s="24"/>
      <c r="V570" s="23"/>
      <c r="W570" s="23"/>
      <c r="X570" s="24"/>
      <c r="Y570" s="23"/>
      <c r="Z570" s="23"/>
      <c r="AA570" s="23"/>
      <c r="AB570" s="23"/>
      <c r="AC570" s="24"/>
      <c r="AD570" s="23"/>
      <c r="AE570" s="24"/>
      <c r="AF570" s="23"/>
      <c r="AG570" s="23"/>
      <c r="AH570" s="23"/>
      <c r="AI570" s="24"/>
      <c r="AJ570" s="25"/>
      <c r="AK570" s="23"/>
      <c r="AL570" s="23"/>
      <c r="AM570" s="24"/>
      <c r="AN570" s="23"/>
      <c r="AO570" s="24"/>
      <c r="AP570" s="23"/>
      <c r="AQ570" s="24"/>
      <c r="AR570" s="23"/>
      <c r="AS570" s="23">
        <v>-520</v>
      </c>
      <c r="AT570" s="23"/>
      <c r="AU570" s="24"/>
      <c r="AW570" s="27">
        <f t="shared" si="103"/>
        <v>5.6999999999999998E-4</v>
      </c>
      <c r="AX570" s="27">
        <f t="shared" si="104"/>
        <v>5.6999999999999998E-4</v>
      </c>
      <c r="AY570" s="27">
        <f t="shared" si="105"/>
        <v>5.6999999999999998E-4</v>
      </c>
      <c r="AZ570" s="27">
        <f t="shared" si="106"/>
        <v>5.6999999999999998E-4</v>
      </c>
    </row>
    <row r="571" spans="1:52" ht="15" customHeight="1" x14ac:dyDescent="0.25">
      <c r="A571" s="13" t="str">
        <f>VLOOKUP(L571,[1]VALIDAÇÃO!$D$13:$E$350,2,0)</f>
        <v>DIRETO</v>
      </c>
      <c r="B571" s="14" t="str">
        <f t="shared" si="108"/>
        <v>52RIO AVE CARNEIROS 01 SPE LTDA.</v>
      </c>
      <c r="C571" s="15">
        <f t="shared" si="107"/>
        <v>52</v>
      </c>
      <c r="D571" s="16" t="str">
        <f t="shared" si="109"/>
        <v>132RIO AVE CARNEIROS 01 SPE LTDA.</v>
      </c>
      <c r="E571" s="17">
        <f t="shared" si="100"/>
        <v>132</v>
      </c>
      <c r="F571" s="18" t="str">
        <f t="shared" si="110"/>
        <v>90RIO AVE CARNEIROS 01 SPE LTDA.</v>
      </c>
      <c r="G571" s="18">
        <f t="shared" si="101"/>
        <v>90</v>
      </c>
      <c r="H571" s="19" t="str">
        <f t="shared" si="111"/>
        <v>99RIO AVE CARNEIROS 01 SPE LTDA.</v>
      </c>
      <c r="I571" s="19">
        <f t="shared" si="102"/>
        <v>99</v>
      </c>
      <c r="J571" s="13" t="s">
        <v>61</v>
      </c>
      <c r="K571" s="13" t="s">
        <v>695</v>
      </c>
      <c r="L571" s="13" t="s">
        <v>63</v>
      </c>
      <c r="M571" s="13" t="s">
        <v>55</v>
      </c>
      <c r="N571" s="20">
        <v>981.44</v>
      </c>
      <c r="O571" s="20">
        <v>2156</v>
      </c>
      <c r="P571" s="21">
        <v>45797</v>
      </c>
      <c r="Q571" s="22"/>
      <c r="R571" s="23">
        <v>2156</v>
      </c>
      <c r="S571" s="24"/>
      <c r="T571" s="23"/>
      <c r="U571" s="24"/>
      <c r="V571" s="23"/>
      <c r="W571" s="23"/>
      <c r="X571" s="24"/>
      <c r="Y571" s="23"/>
      <c r="Z571" s="23"/>
      <c r="AA571" s="23">
        <v>0.57999999999999996</v>
      </c>
      <c r="AB571" s="23">
        <v>46.2</v>
      </c>
      <c r="AC571" s="24">
        <v>308.27142857142854</v>
      </c>
      <c r="AD571" s="23">
        <v>3.1</v>
      </c>
      <c r="AE571" s="24">
        <v>21.842857142857142</v>
      </c>
      <c r="AF571" s="23"/>
      <c r="AG571" s="23"/>
      <c r="AH571" s="23">
        <v>2.6</v>
      </c>
      <c r="AI571" s="24">
        <v>0</v>
      </c>
      <c r="AJ571" s="25">
        <v>441.1</v>
      </c>
      <c r="AK571" s="23">
        <v>94.910000000000011</v>
      </c>
      <c r="AL571" s="23">
        <v>-52.330000000000013</v>
      </c>
      <c r="AM571" s="24">
        <v>299</v>
      </c>
      <c r="AN571" s="23"/>
      <c r="AO571" s="24"/>
      <c r="AP571" s="23"/>
      <c r="AQ571" s="24"/>
      <c r="AR571" s="23">
        <v>11.129999999999999</v>
      </c>
      <c r="AS571" s="23">
        <v>-924</v>
      </c>
      <c r="AT571" s="23"/>
      <c r="AU571" s="24"/>
      <c r="AW571" s="27">
        <f t="shared" si="103"/>
        <v>441.100571</v>
      </c>
      <c r="AX571" s="27">
        <f t="shared" si="104"/>
        <v>3.100571</v>
      </c>
      <c r="AY571" s="27">
        <f t="shared" si="105"/>
        <v>46.200571000000004</v>
      </c>
      <c r="AZ571" s="27">
        <f t="shared" si="106"/>
        <v>5.71E-4</v>
      </c>
    </row>
    <row r="572" spans="1:52" ht="15" customHeight="1" x14ac:dyDescent="0.25">
      <c r="A572" s="13" t="str">
        <f>VLOOKUP(L572,[1]VALIDAÇÃO!$D$13:$E$350,2,0)</f>
        <v>DIRETO</v>
      </c>
      <c r="B572" s="14" t="str">
        <f t="shared" si="108"/>
        <v>117RESERVA DO PAIVA SPE 03 LTDA</v>
      </c>
      <c r="C572" s="15">
        <f t="shared" si="107"/>
        <v>117</v>
      </c>
      <c r="D572" s="16" t="str">
        <f t="shared" si="109"/>
        <v>92RESERVA DO PAIVA SPE 03 LTDA</v>
      </c>
      <c r="E572" s="17">
        <f t="shared" si="100"/>
        <v>92</v>
      </c>
      <c r="F572" s="18" t="str">
        <f t="shared" si="110"/>
        <v>115RESERVA DO PAIVA SPE 03 LTDA</v>
      </c>
      <c r="G572" s="18">
        <f t="shared" si="101"/>
        <v>115</v>
      </c>
      <c r="H572" s="19" t="str">
        <f t="shared" si="111"/>
        <v>93RESERVA DO PAIVA SPE 03 LTDA</v>
      </c>
      <c r="I572" s="19">
        <f t="shared" si="102"/>
        <v>93</v>
      </c>
      <c r="J572" s="13" t="s">
        <v>52</v>
      </c>
      <c r="K572" s="13" t="s">
        <v>696</v>
      </c>
      <c r="L572" s="13" t="s">
        <v>54</v>
      </c>
      <c r="M572" s="13" t="s">
        <v>55</v>
      </c>
      <c r="N572" s="20">
        <v>853.14</v>
      </c>
      <c r="O572" s="20">
        <v>1622.13</v>
      </c>
      <c r="P572" s="21">
        <v>45903</v>
      </c>
      <c r="Q572" s="22"/>
      <c r="R572" s="23">
        <v>1622.13</v>
      </c>
      <c r="S572" s="24"/>
      <c r="T572" s="23"/>
      <c r="U572" s="24"/>
      <c r="V572" s="23"/>
      <c r="W572" s="23"/>
      <c r="X572" s="24"/>
      <c r="Y572" s="23"/>
      <c r="Z572" s="23"/>
      <c r="AA572" s="23">
        <v>0.63</v>
      </c>
      <c r="AB572" s="23">
        <v>15.68</v>
      </c>
      <c r="AC572" s="24">
        <v>230.95714285714286</v>
      </c>
      <c r="AD572" s="23">
        <v>151.39999999999998</v>
      </c>
      <c r="AE572" s="24">
        <v>817.38571428571424</v>
      </c>
      <c r="AF572" s="23"/>
      <c r="AG572" s="23"/>
      <c r="AH572" s="23">
        <v>2.72</v>
      </c>
      <c r="AI572" s="24">
        <v>0</v>
      </c>
      <c r="AJ572" s="25">
        <v>81.550000000000011</v>
      </c>
      <c r="AK572" s="23">
        <v>18.490000000000002</v>
      </c>
      <c r="AL572" s="23">
        <v>-1.97</v>
      </c>
      <c r="AM572" s="24">
        <v>15</v>
      </c>
      <c r="AN572" s="23"/>
      <c r="AO572" s="24"/>
      <c r="AP572" s="23"/>
      <c r="AQ572" s="24"/>
      <c r="AR572" s="23">
        <v>38.19</v>
      </c>
      <c r="AS572" s="23">
        <v>-695.2</v>
      </c>
      <c r="AT572" s="23"/>
      <c r="AU572" s="24"/>
      <c r="AW572" s="27">
        <f t="shared" si="103"/>
        <v>81.550572000000017</v>
      </c>
      <c r="AX572" s="27">
        <f t="shared" si="104"/>
        <v>151.40057199999998</v>
      </c>
      <c r="AY572" s="27">
        <f t="shared" si="105"/>
        <v>15.680572</v>
      </c>
      <c r="AZ572" s="27">
        <f t="shared" si="106"/>
        <v>5.7200000000000003E-4</v>
      </c>
    </row>
    <row r="573" spans="1:52" ht="15" customHeight="1" x14ac:dyDescent="0.25">
      <c r="A573" s="13" t="str">
        <f>VLOOKUP(L573,[1]VALIDAÇÃO!$D$13:$E$350,2,0)</f>
        <v>DIRETO</v>
      </c>
      <c r="B573" s="14" t="str">
        <f t="shared" si="108"/>
        <v>118RIO AVE CARNEIROS 01 SPE LTDA.</v>
      </c>
      <c r="C573" s="15">
        <f t="shared" si="107"/>
        <v>118</v>
      </c>
      <c r="D573" s="16" t="str">
        <f t="shared" si="109"/>
        <v>49RIO AVE CARNEIROS 01 SPE LTDA.</v>
      </c>
      <c r="E573" s="17">
        <f t="shared" si="100"/>
        <v>49</v>
      </c>
      <c r="F573" s="18" t="str">
        <f t="shared" si="110"/>
        <v>69RIO AVE CARNEIROS 01 SPE LTDA.</v>
      </c>
      <c r="G573" s="18">
        <f t="shared" si="101"/>
        <v>69</v>
      </c>
      <c r="H573" s="19" t="str">
        <f t="shared" si="111"/>
        <v>50RIO AVE CARNEIROS 01 SPE LTDA.</v>
      </c>
      <c r="I573" s="19">
        <f t="shared" si="102"/>
        <v>50</v>
      </c>
      <c r="J573" s="13" t="s">
        <v>61</v>
      </c>
      <c r="K573" s="13" t="s">
        <v>697</v>
      </c>
      <c r="L573" s="13" t="s">
        <v>71</v>
      </c>
      <c r="M573" s="13" t="s">
        <v>55</v>
      </c>
      <c r="N573" s="20">
        <v>442.84</v>
      </c>
      <c r="O573" s="20">
        <v>1622.13</v>
      </c>
      <c r="P573" s="21">
        <v>45873</v>
      </c>
      <c r="Q573" s="22"/>
      <c r="R573" s="23">
        <v>1622.13</v>
      </c>
      <c r="S573" s="24"/>
      <c r="T573" s="23"/>
      <c r="U573" s="24"/>
      <c r="V573" s="23"/>
      <c r="W573" s="23"/>
      <c r="X573" s="24"/>
      <c r="Y573" s="23"/>
      <c r="Z573" s="23"/>
      <c r="AA573" s="23">
        <v>2.13</v>
      </c>
      <c r="AB573" s="23">
        <v>85.43</v>
      </c>
      <c r="AC573" s="24">
        <v>1055.3571428571429</v>
      </c>
      <c r="AD573" s="23">
        <v>191.06</v>
      </c>
      <c r="AE573" s="24">
        <v>1636.4285714285713</v>
      </c>
      <c r="AF573" s="23"/>
      <c r="AG573" s="23"/>
      <c r="AH573" s="23">
        <v>11.25</v>
      </c>
      <c r="AI573" s="24">
        <v>0</v>
      </c>
      <c r="AJ573" s="25">
        <v>89.330000000000013</v>
      </c>
      <c r="AK573" s="23">
        <v>18.490000000000002</v>
      </c>
      <c r="AL573" s="23">
        <v>-1.58</v>
      </c>
      <c r="AM573" s="24">
        <v>12</v>
      </c>
      <c r="AN573" s="23">
        <v>-463.47</v>
      </c>
      <c r="AO573" s="24">
        <v>8</v>
      </c>
      <c r="AP573" s="23">
        <v>30.78</v>
      </c>
      <c r="AQ573" s="24">
        <v>323.21428571428572</v>
      </c>
      <c r="AR573" s="23">
        <v>61.7</v>
      </c>
      <c r="AS573" s="23">
        <v>-785.2</v>
      </c>
      <c r="AT573" s="23">
        <v>-115.87</v>
      </c>
      <c r="AU573" s="24">
        <v>2</v>
      </c>
      <c r="AW573" s="27">
        <f t="shared" si="103"/>
        <v>89.330573000000015</v>
      </c>
      <c r="AX573" s="27">
        <f t="shared" si="104"/>
        <v>191.06057300000001</v>
      </c>
      <c r="AY573" s="27">
        <f t="shared" si="105"/>
        <v>85.43057300000001</v>
      </c>
      <c r="AZ573" s="27">
        <f t="shared" si="106"/>
        <v>30.780573</v>
      </c>
    </row>
    <row r="574" spans="1:52" ht="15" customHeight="1" x14ac:dyDescent="0.25">
      <c r="A574" s="13" t="str">
        <f>VLOOKUP(L574,[1]VALIDAÇÃO!$D$13:$E$350,2,0)</f>
        <v>DIRETO</v>
      </c>
      <c r="B574" s="14" t="str">
        <f t="shared" si="108"/>
        <v>23RIO AVE CARNEIROS 01 SPE LTDA.</v>
      </c>
      <c r="C574" s="15">
        <f t="shared" si="107"/>
        <v>23</v>
      </c>
      <c r="D574" s="16" t="str">
        <f t="shared" si="109"/>
        <v>15RIO AVE CARNEIROS 01 SPE LTDA.</v>
      </c>
      <c r="E574" s="17">
        <f t="shared" si="100"/>
        <v>15</v>
      </c>
      <c r="F574" s="18" t="str">
        <f t="shared" si="110"/>
        <v>68RIO AVE CARNEIROS 01 SPE LTDA.</v>
      </c>
      <c r="G574" s="18">
        <f t="shared" si="101"/>
        <v>68</v>
      </c>
      <c r="H574" s="19" t="str">
        <f t="shared" si="111"/>
        <v>31RIO AVE CARNEIROS 01 SPE LTDA.</v>
      </c>
      <c r="I574" s="19">
        <f t="shared" si="102"/>
        <v>31</v>
      </c>
      <c r="J574" s="13" t="s">
        <v>61</v>
      </c>
      <c r="K574" s="13" t="s">
        <v>698</v>
      </c>
      <c r="L574" s="13" t="s">
        <v>54</v>
      </c>
      <c r="M574" s="13" t="s">
        <v>55</v>
      </c>
      <c r="N574" s="20">
        <v>1389.81</v>
      </c>
      <c r="O574" s="20">
        <v>1622.13</v>
      </c>
      <c r="P574" s="21">
        <v>45733</v>
      </c>
      <c r="Q574" s="22"/>
      <c r="R574" s="23">
        <v>1622.13</v>
      </c>
      <c r="S574" s="24"/>
      <c r="T574" s="23"/>
      <c r="U574" s="24"/>
      <c r="V574" s="23"/>
      <c r="W574" s="23"/>
      <c r="X574" s="24"/>
      <c r="Y574" s="23"/>
      <c r="Z574" s="23"/>
      <c r="AA574" s="23">
        <v>11.51</v>
      </c>
      <c r="AB574" s="23">
        <v>86.37</v>
      </c>
      <c r="AC574" s="24">
        <v>590.62857142857138</v>
      </c>
      <c r="AD574" s="23">
        <v>502.33</v>
      </c>
      <c r="AE574" s="24">
        <v>2856.0857142857149</v>
      </c>
      <c r="AF574" s="23"/>
      <c r="AG574" s="23"/>
      <c r="AH574" s="23">
        <v>52.87</v>
      </c>
      <c r="AI574" s="24">
        <v>0</v>
      </c>
      <c r="AJ574" s="25">
        <v>646.91</v>
      </c>
      <c r="AK574" s="23">
        <v>141.82</v>
      </c>
      <c r="AL574" s="23"/>
      <c r="AM574" s="24"/>
      <c r="AN574" s="23"/>
      <c r="AO574" s="24"/>
      <c r="AP574" s="23">
        <v>39.79</v>
      </c>
      <c r="AQ574" s="24">
        <v>231.27142857142854</v>
      </c>
      <c r="AR574" s="23">
        <v>137</v>
      </c>
      <c r="AS574" s="23">
        <v>-695.2</v>
      </c>
      <c r="AT574" s="23"/>
      <c r="AU574" s="24"/>
      <c r="AW574" s="27">
        <f t="shared" si="103"/>
        <v>646.910574</v>
      </c>
      <c r="AX574" s="27">
        <f t="shared" si="104"/>
        <v>502.33057399999996</v>
      </c>
      <c r="AY574" s="27">
        <f t="shared" si="105"/>
        <v>86.370574000000005</v>
      </c>
      <c r="AZ574" s="27">
        <f t="shared" si="106"/>
        <v>39.790573999999999</v>
      </c>
    </row>
    <row r="575" spans="1:52" ht="15" customHeight="1" x14ac:dyDescent="0.25">
      <c r="A575" s="13" t="str">
        <f>VLOOKUP(L575,[1]VALIDAÇÃO!$D$13:$E$350,2,0)</f>
        <v>DIRETO</v>
      </c>
      <c r="B575" s="14" t="str">
        <f t="shared" si="108"/>
        <v>68CONDOMINIO DO EDIFICIO EMPRESARIAL MARIE CURIE</v>
      </c>
      <c r="C575" s="15">
        <f t="shared" si="107"/>
        <v>68</v>
      </c>
      <c r="D575" s="16" t="str">
        <f t="shared" si="109"/>
        <v>16CONDOMINIO DO EDIFICIO EMPRESARIAL MARIE CURIE</v>
      </c>
      <c r="E575" s="17">
        <f t="shared" si="100"/>
        <v>16</v>
      </c>
      <c r="F575" s="18" t="str">
        <f t="shared" si="110"/>
        <v>17CONDOMINIO DO EDIFICIO EMPRESARIAL MARIE CURIE</v>
      </c>
      <c r="G575" s="18">
        <f t="shared" si="101"/>
        <v>17</v>
      </c>
      <c r="H575" s="19" t="str">
        <f t="shared" si="111"/>
        <v>25CONDOMINIO DO EDIFICIO EMPRESARIAL MARIE CURIE</v>
      </c>
      <c r="I575" s="19">
        <f t="shared" si="102"/>
        <v>25</v>
      </c>
      <c r="J575" s="13" t="s">
        <v>57</v>
      </c>
      <c r="K575" s="13" t="s">
        <v>699</v>
      </c>
      <c r="L575" s="13" t="s">
        <v>66</v>
      </c>
      <c r="M575" s="13" t="s">
        <v>60</v>
      </c>
      <c r="N575" s="20">
        <v>119.68</v>
      </c>
      <c r="O575" s="20">
        <v>2156</v>
      </c>
      <c r="P575" s="21">
        <v>45341</v>
      </c>
      <c r="Q575" s="22"/>
      <c r="R575" s="23">
        <v>2156</v>
      </c>
      <c r="S575" s="24"/>
      <c r="T575" s="23"/>
      <c r="U575" s="24"/>
      <c r="V575" s="23"/>
      <c r="W575" s="23"/>
      <c r="X575" s="24"/>
      <c r="Y575" s="23"/>
      <c r="Z575" s="23"/>
      <c r="AA575" s="23">
        <v>3.2700000000000005</v>
      </c>
      <c r="AB575" s="23">
        <v>250.5</v>
      </c>
      <c r="AC575" s="24">
        <v>1064.5714285714287</v>
      </c>
      <c r="AD575" s="23">
        <v>340.58</v>
      </c>
      <c r="AE575" s="24">
        <v>1320.1628571428571</v>
      </c>
      <c r="AF575" s="23"/>
      <c r="AG575" s="23"/>
      <c r="AH575" s="23">
        <v>15.81</v>
      </c>
      <c r="AI575" s="24">
        <v>0</v>
      </c>
      <c r="AJ575" s="25">
        <v>307.02</v>
      </c>
      <c r="AK575" s="23">
        <v>65.460000000000008</v>
      </c>
      <c r="AL575" s="23"/>
      <c r="AM575" s="24"/>
      <c r="AN575" s="23"/>
      <c r="AO575" s="24"/>
      <c r="AP575" s="23">
        <v>30.39</v>
      </c>
      <c r="AQ575" s="24">
        <v>113.60857142857142</v>
      </c>
      <c r="AR575" s="23">
        <v>93.5</v>
      </c>
      <c r="AS575" s="23">
        <v>-924</v>
      </c>
      <c r="AT575" s="23"/>
      <c r="AU575" s="24"/>
      <c r="AW575" s="27">
        <f t="shared" si="103"/>
        <v>307.02057500000001</v>
      </c>
      <c r="AX575" s="27">
        <f t="shared" si="104"/>
        <v>340.58057500000001</v>
      </c>
      <c r="AY575" s="27">
        <f t="shared" si="105"/>
        <v>250.500575</v>
      </c>
      <c r="AZ575" s="27">
        <f t="shared" si="106"/>
        <v>30.390575000000002</v>
      </c>
    </row>
    <row r="576" spans="1:52" ht="15" customHeight="1" x14ac:dyDescent="0.25">
      <c r="A576" s="13" t="str">
        <f>VLOOKUP(L576,[1]VALIDAÇÃO!$D$13:$E$350,2,0)</f>
        <v>DIRETO</v>
      </c>
      <c r="B576" s="14" t="str">
        <f t="shared" si="108"/>
        <v>63RESERVA DO PAIVA SPE 01 LTDA.</v>
      </c>
      <c r="C576" s="15">
        <f t="shared" si="107"/>
        <v>63</v>
      </c>
      <c r="D576" s="16" t="str">
        <f t="shared" si="109"/>
        <v>60RESERVA DO PAIVA SPE 01 LTDA.</v>
      </c>
      <c r="E576" s="17">
        <f t="shared" si="100"/>
        <v>60</v>
      </c>
      <c r="F576" s="18" t="str">
        <f t="shared" si="110"/>
        <v>66RESERVA DO PAIVA SPE 01 LTDA.</v>
      </c>
      <c r="G576" s="18">
        <f t="shared" si="101"/>
        <v>66</v>
      </c>
      <c r="H576" s="19" t="str">
        <f t="shared" si="111"/>
        <v>47RESERVA DO PAIVA SPE 01 LTDA.</v>
      </c>
      <c r="I576" s="19">
        <f t="shared" si="102"/>
        <v>47</v>
      </c>
      <c r="J576" s="13" t="s">
        <v>68</v>
      </c>
      <c r="K576" s="13" t="s">
        <v>700</v>
      </c>
      <c r="L576" s="13" t="s">
        <v>54</v>
      </c>
      <c r="M576" s="13" t="s">
        <v>55</v>
      </c>
      <c r="N576" s="20">
        <v>1312.84</v>
      </c>
      <c r="O576" s="20">
        <v>1622.13</v>
      </c>
      <c r="P576" s="21">
        <v>45901</v>
      </c>
      <c r="Q576" s="22"/>
      <c r="R576" s="23">
        <v>1622.13</v>
      </c>
      <c r="S576" s="24"/>
      <c r="T576" s="23"/>
      <c r="U576" s="24"/>
      <c r="V576" s="23"/>
      <c r="W576" s="23"/>
      <c r="X576" s="24"/>
      <c r="Y576" s="23"/>
      <c r="Z576" s="23"/>
      <c r="AA576" s="23">
        <v>5.8</v>
      </c>
      <c r="AB576" s="23">
        <v>72.94</v>
      </c>
      <c r="AC576" s="24">
        <v>1074.2857142857142</v>
      </c>
      <c r="AD576" s="23">
        <v>81.430000000000007</v>
      </c>
      <c r="AE576" s="24">
        <v>643.42857142857144</v>
      </c>
      <c r="AF576" s="23"/>
      <c r="AG576" s="23"/>
      <c r="AH576" s="23">
        <v>25.43</v>
      </c>
      <c r="AI576" s="24">
        <v>0</v>
      </c>
      <c r="AJ576" s="25">
        <v>391</v>
      </c>
      <c r="AK576" s="23">
        <v>87.8</v>
      </c>
      <c r="AL576" s="23">
        <v>-24.23</v>
      </c>
      <c r="AM576" s="24">
        <v>184</v>
      </c>
      <c r="AN576" s="23"/>
      <c r="AO576" s="24"/>
      <c r="AP576" s="23">
        <v>274.33000000000004</v>
      </c>
      <c r="AQ576" s="24">
        <v>1202</v>
      </c>
      <c r="AR576" s="23">
        <v>97.300000000000011</v>
      </c>
      <c r="AS576" s="23">
        <v>-695.2</v>
      </c>
      <c r="AT576" s="23"/>
      <c r="AU576" s="24"/>
      <c r="AW576" s="27">
        <f t="shared" si="103"/>
        <v>391.00057600000002</v>
      </c>
      <c r="AX576" s="27">
        <f t="shared" si="104"/>
        <v>81.430576000000002</v>
      </c>
      <c r="AY576" s="27">
        <f t="shared" si="105"/>
        <v>72.940575999999993</v>
      </c>
      <c r="AZ576" s="27">
        <f t="shared" si="106"/>
        <v>274.33057600000006</v>
      </c>
    </row>
    <row r="577" spans="1:52" ht="15" customHeight="1" x14ac:dyDescent="0.25">
      <c r="A577" s="13" t="str">
        <f>VLOOKUP(L577,[1]VALIDAÇÃO!$D$13:$E$350,2,0)</f>
        <v>DIRETO</v>
      </c>
      <c r="B577" s="14" t="str">
        <f t="shared" si="108"/>
        <v>39RIO AVE 130 SPE LTDA</v>
      </c>
      <c r="C577" s="15">
        <f t="shared" si="107"/>
        <v>39</v>
      </c>
      <c r="D577" s="16" t="str">
        <f t="shared" si="109"/>
        <v>8RIO AVE 130 SPE LTDA</v>
      </c>
      <c r="E577" s="17">
        <f t="shared" si="100"/>
        <v>8</v>
      </c>
      <c r="F577" s="18" t="str">
        <f t="shared" si="110"/>
        <v>43RIO AVE 130 SPE LTDA</v>
      </c>
      <c r="G577" s="18">
        <f t="shared" si="101"/>
        <v>43</v>
      </c>
      <c r="H577" s="19" t="str">
        <f t="shared" si="111"/>
        <v>45RIO AVE 130 SPE LTDA</v>
      </c>
      <c r="I577" s="19">
        <f t="shared" si="102"/>
        <v>45</v>
      </c>
      <c r="J577" s="13" t="s">
        <v>102</v>
      </c>
      <c r="K577" s="13" t="s">
        <v>701</v>
      </c>
      <c r="L577" s="13" t="s">
        <v>54</v>
      </c>
      <c r="M577" s="13" t="s">
        <v>55</v>
      </c>
      <c r="N577" s="20">
        <v>1715.21</v>
      </c>
      <c r="O577" s="20">
        <v>1622.13</v>
      </c>
      <c r="P577" s="21">
        <v>45222</v>
      </c>
      <c r="Q577" s="22"/>
      <c r="R577" s="23">
        <v>1622.13</v>
      </c>
      <c r="S577" s="24"/>
      <c r="T577" s="23"/>
      <c r="U577" s="24"/>
      <c r="V577" s="23"/>
      <c r="W577" s="23"/>
      <c r="X577" s="24"/>
      <c r="Y577" s="23"/>
      <c r="Z577" s="23"/>
      <c r="AA577" s="23">
        <v>9.25</v>
      </c>
      <c r="AB577" s="23">
        <v>83.17</v>
      </c>
      <c r="AC577" s="24">
        <v>371.59</v>
      </c>
      <c r="AD577" s="23">
        <v>747.65000000000009</v>
      </c>
      <c r="AE577" s="24">
        <v>3778.5442857142857</v>
      </c>
      <c r="AF577" s="23"/>
      <c r="AG577" s="23"/>
      <c r="AH577" s="23">
        <v>42</v>
      </c>
      <c r="AI577" s="24">
        <v>0</v>
      </c>
      <c r="AJ577" s="25">
        <v>435.4</v>
      </c>
      <c r="AK577" s="23">
        <v>96.44</v>
      </c>
      <c r="AL577" s="23">
        <v>-11.19</v>
      </c>
      <c r="AM577" s="24">
        <v>85</v>
      </c>
      <c r="AN577" s="23"/>
      <c r="AO577" s="24"/>
      <c r="AP577" s="23"/>
      <c r="AQ577" s="24"/>
      <c r="AR577" s="23">
        <v>179.45</v>
      </c>
      <c r="AS577" s="23">
        <v>-695.2</v>
      </c>
      <c r="AT577" s="23"/>
      <c r="AU577" s="24"/>
      <c r="AW577" s="27">
        <f t="shared" si="103"/>
        <v>435.400577</v>
      </c>
      <c r="AX577" s="27">
        <f t="shared" si="104"/>
        <v>747.65057700000011</v>
      </c>
      <c r="AY577" s="27">
        <f t="shared" si="105"/>
        <v>83.170577000000009</v>
      </c>
      <c r="AZ577" s="27">
        <f t="shared" si="106"/>
        <v>5.7700000000000004E-4</v>
      </c>
    </row>
    <row r="578" spans="1:52" ht="15" customHeight="1" x14ac:dyDescent="0.25">
      <c r="A578" s="13" t="str">
        <f>VLOOKUP(L578,[1]VALIDAÇÃO!$D$13:$E$350,2,0)</f>
        <v>DIRETO</v>
      </c>
      <c r="B578" s="14" t="str">
        <f t="shared" si="108"/>
        <v>17RESERVA DO PAIVA SPE 01 LTDA.</v>
      </c>
      <c r="C578" s="15">
        <f t="shared" si="107"/>
        <v>17</v>
      </c>
      <c r="D578" s="16" t="str">
        <f t="shared" si="109"/>
        <v>30RESERVA DO PAIVA SPE 01 LTDA.</v>
      </c>
      <c r="E578" s="17">
        <f t="shared" ref="E578:E641" si="112">1+SUMPRODUCT(($J$2:$J$1437=$J578)*(AX$2:AX$1437&gt;AX578))</f>
        <v>30</v>
      </c>
      <c r="F578" s="18" t="str">
        <f t="shared" si="110"/>
        <v>25RESERVA DO PAIVA SPE 01 LTDA.</v>
      </c>
      <c r="G578" s="18">
        <f t="shared" ref="G578:G641" si="113">1+SUMPRODUCT(($J$2:$J$1437=$J578)*(AY$2:AY$1437&gt;AY578))</f>
        <v>25</v>
      </c>
      <c r="H578" s="19" t="str">
        <f t="shared" si="111"/>
        <v>14RESERVA DO PAIVA SPE 01 LTDA.</v>
      </c>
      <c r="I578" s="19">
        <f t="shared" ref="I578:I641" si="114">1+SUMPRODUCT(($J$2:$J$1437=$J578)*(AZ$2:AZ$1437&gt;AZ578))</f>
        <v>14</v>
      </c>
      <c r="J578" s="13" t="s">
        <v>68</v>
      </c>
      <c r="K578" s="13" t="s">
        <v>702</v>
      </c>
      <c r="L578" s="13" t="s">
        <v>54</v>
      </c>
      <c r="M578" s="13" t="s">
        <v>55</v>
      </c>
      <c r="N578" s="20">
        <v>2475.79</v>
      </c>
      <c r="O578" s="20">
        <v>1622.13</v>
      </c>
      <c r="P578" s="21">
        <v>45705</v>
      </c>
      <c r="Q578" s="22"/>
      <c r="R578" s="23">
        <v>1622.13</v>
      </c>
      <c r="S578" s="24"/>
      <c r="T578" s="23"/>
      <c r="U578" s="24"/>
      <c r="V578" s="23"/>
      <c r="W578" s="23"/>
      <c r="X578" s="24"/>
      <c r="Y578" s="23"/>
      <c r="Z578" s="23"/>
      <c r="AA578" s="23">
        <v>37.78</v>
      </c>
      <c r="AB578" s="23">
        <v>390.39</v>
      </c>
      <c r="AC578" s="24">
        <v>2153.1828571428568</v>
      </c>
      <c r="AD578" s="23">
        <v>413.93</v>
      </c>
      <c r="AE578" s="24">
        <v>2293.997142857143</v>
      </c>
      <c r="AF578" s="23"/>
      <c r="AG578" s="23"/>
      <c r="AH578" s="23">
        <v>170.32</v>
      </c>
      <c r="AI578" s="24">
        <v>0</v>
      </c>
      <c r="AJ578" s="25">
        <v>968.67000000000007</v>
      </c>
      <c r="AK578" s="23">
        <v>213.64</v>
      </c>
      <c r="AL578" s="23"/>
      <c r="AM578" s="24"/>
      <c r="AN578" s="23"/>
      <c r="AO578" s="24"/>
      <c r="AP578" s="23">
        <v>585.25</v>
      </c>
      <c r="AQ578" s="24">
        <v>2627.9685714285715</v>
      </c>
      <c r="AR578" s="23">
        <v>312.37</v>
      </c>
      <c r="AS578" s="23">
        <v>-695.2</v>
      </c>
      <c r="AT578" s="23"/>
      <c r="AU578" s="24"/>
      <c r="AW578" s="27">
        <f t="shared" ref="AW578:AW641" si="115">AJ578+ROW(C578)/1000000</f>
        <v>968.67057800000009</v>
      </c>
      <c r="AX578" s="27">
        <f t="shared" ref="AX578:AX641" si="116">AD578+ROW(C578)/1000000</f>
        <v>413.93057800000003</v>
      </c>
      <c r="AY578" s="27">
        <f t="shared" ref="AY578:AY641" si="117">AB578+ROW(A578)/1000000</f>
        <v>390.390578</v>
      </c>
      <c r="AZ578" s="27">
        <f t="shared" ref="AZ578:AZ641" si="118">AP578+ROW(A578)/1000000</f>
        <v>585.25057800000002</v>
      </c>
    </row>
    <row r="579" spans="1:52" ht="15" customHeight="1" x14ac:dyDescent="0.25">
      <c r="A579" s="13" t="str">
        <f>VLOOKUP(L579,[1]VALIDAÇÃO!$D$13:$E$350,2,0)</f>
        <v>INDIRETO</v>
      </c>
      <c r="B579" s="14" t="str">
        <f t="shared" si="108"/>
        <v>136RIO AVE CARNEIROS 01 SPE LTDA.</v>
      </c>
      <c r="C579" s="15">
        <f t="shared" ref="C579:C642" si="119">1+SUMPRODUCT(($J$2:$J$1437=J579)*($AW$2:$AW$1437&gt;AW579))</f>
        <v>136</v>
      </c>
      <c r="D579" s="16" t="str">
        <f t="shared" si="109"/>
        <v>19RIO AVE CARNEIROS 01 SPE LTDA.</v>
      </c>
      <c r="E579" s="17">
        <f t="shared" si="112"/>
        <v>19</v>
      </c>
      <c r="F579" s="18" t="str">
        <f t="shared" si="110"/>
        <v>96RIO AVE CARNEIROS 01 SPE LTDA.</v>
      </c>
      <c r="G579" s="18">
        <f t="shared" si="113"/>
        <v>96</v>
      </c>
      <c r="H579" s="19" t="str">
        <f t="shared" si="111"/>
        <v>98RIO AVE CARNEIROS 01 SPE LTDA.</v>
      </c>
      <c r="I579" s="19">
        <f t="shared" si="114"/>
        <v>98</v>
      </c>
      <c r="J579" s="13" t="s">
        <v>61</v>
      </c>
      <c r="K579" s="13" t="s">
        <v>703</v>
      </c>
      <c r="L579" s="13" t="s">
        <v>704</v>
      </c>
      <c r="M579" s="13" t="s">
        <v>85</v>
      </c>
      <c r="N579" s="20">
        <v>1633.25</v>
      </c>
      <c r="O579" s="20">
        <v>2474.56</v>
      </c>
      <c r="P579" s="21">
        <v>45810</v>
      </c>
      <c r="Q579" s="22"/>
      <c r="R579" s="23">
        <v>2474.56</v>
      </c>
      <c r="S579" s="24"/>
      <c r="T579" s="23"/>
      <c r="U579" s="24"/>
      <c r="V579" s="23"/>
      <c r="W579" s="23"/>
      <c r="X579" s="24"/>
      <c r="Y579" s="23"/>
      <c r="Z579" s="23"/>
      <c r="AA579" s="23"/>
      <c r="AB579" s="23">
        <v>38.230000000000004</v>
      </c>
      <c r="AC579" s="24">
        <v>215.57142857142856</v>
      </c>
      <c r="AD579" s="23">
        <v>425.82000000000005</v>
      </c>
      <c r="AE579" s="24">
        <v>1801.1428571428571</v>
      </c>
      <c r="AF579" s="23"/>
      <c r="AG579" s="23"/>
      <c r="AH579" s="23"/>
      <c r="AI579" s="24"/>
      <c r="AJ579" s="25"/>
      <c r="AK579" s="23"/>
      <c r="AL579" s="23">
        <v>-26.11</v>
      </c>
      <c r="AM579" s="24">
        <v>130</v>
      </c>
      <c r="AN579" s="23"/>
      <c r="AO579" s="24"/>
      <c r="AP579" s="23"/>
      <c r="AQ579" s="24"/>
      <c r="AR579" s="23">
        <v>97.24</v>
      </c>
      <c r="AS579" s="23">
        <v>-1310.52</v>
      </c>
      <c r="AT579" s="23"/>
      <c r="AU579" s="24"/>
      <c r="AW579" s="27">
        <f t="shared" si="115"/>
        <v>5.7899999999999998E-4</v>
      </c>
      <c r="AX579" s="27">
        <f t="shared" si="116"/>
        <v>425.82057900000007</v>
      </c>
      <c r="AY579" s="27">
        <f t="shared" si="117"/>
        <v>38.230579000000006</v>
      </c>
      <c r="AZ579" s="27">
        <f t="shared" si="118"/>
        <v>5.7899999999999998E-4</v>
      </c>
    </row>
    <row r="580" spans="1:52" ht="15" customHeight="1" x14ac:dyDescent="0.25">
      <c r="A580" s="13" t="str">
        <f>VLOOKUP(L580,[1]VALIDAÇÃO!$D$13:$E$350,2,0)</f>
        <v>DIRETO</v>
      </c>
      <c r="B580" s="14" t="str">
        <f t="shared" si="108"/>
        <v>50RIO AVE CARNEIROS 01 SPE LTDA.</v>
      </c>
      <c r="C580" s="15">
        <f t="shared" si="119"/>
        <v>50</v>
      </c>
      <c r="D580" s="16" t="str">
        <f t="shared" si="109"/>
        <v>70RIO AVE CARNEIROS 01 SPE LTDA.</v>
      </c>
      <c r="E580" s="17">
        <f t="shared" si="112"/>
        <v>70</v>
      </c>
      <c r="F580" s="18" t="str">
        <f t="shared" si="110"/>
        <v>88RIO AVE CARNEIROS 01 SPE LTDA.</v>
      </c>
      <c r="G580" s="18">
        <f t="shared" si="113"/>
        <v>88</v>
      </c>
      <c r="H580" s="19" t="str">
        <f t="shared" si="111"/>
        <v>57RIO AVE CARNEIROS 01 SPE LTDA.</v>
      </c>
      <c r="I580" s="19">
        <f t="shared" si="114"/>
        <v>57</v>
      </c>
      <c r="J580" s="13" t="s">
        <v>61</v>
      </c>
      <c r="K580" s="13" t="s">
        <v>705</v>
      </c>
      <c r="L580" s="13" t="s">
        <v>54</v>
      </c>
      <c r="M580" s="13" t="s">
        <v>55</v>
      </c>
      <c r="N580" s="20">
        <v>559.59</v>
      </c>
      <c r="O580" s="20">
        <v>1622.13</v>
      </c>
      <c r="P580" s="21">
        <v>45663</v>
      </c>
      <c r="Q580" s="22"/>
      <c r="R580" s="23">
        <v>1622.13</v>
      </c>
      <c r="S580" s="24"/>
      <c r="T580" s="23"/>
      <c r="U580" s="24"/>
      <c r="V580" s="23"/>
      <c r="W580" s="23"/>
      <c r="X580" s="24"/>
      <c r="Y580" s="23"/>
      <c r="Z580" s="23"/>
      <c r="AA580" s="23">
        <v>1.75</v>
      </c>
      <c r="AB580" s="23">
        <v>52.9</v>
      </c>
      <c r="AC580" s="24">
        <v>303.59999999999997</v>
      </c>
      <c r="AD580" s="23">
        <v>76.039999999999992</v>
      </c>
      <c r="AE580" s="24">
        <v>430.41428571428565</v>
      </c>
      <c r="AF580" s="23"/>
      <c r="AG580" s="23"/>
      <c r="AH580" s="23">
        <v>7.5399999999999991</v>
      </c>
      <c r="AI580" s="24">
        <v>0</v>
      </c>
      <c r="AJ580" s="25">
        <v>444.68</v>
      </c>
      <c r="AK580" s="23">
        <v>99.13</v>
      </c>
      <c r="AL580" s="23"/>
      <c r="AM580" s="24"/>
      <c r="AN580" s="23"/>
      <c r="AO580" s="24"/>
      <c r="AP580" s="23">
        <v>25.41</v>
      </c>
      <c r="AQ580" s="24">
        <v>125.32857142857142</v>
      </c>
      <c r="AR580" s="23">
        <v>35.229999999999997</v>
      </c>
      <c r="AS580" s="23">
        <v>-695.2</v>
      </c>
      <c r="AT580" s="23"/>
      <c r="AU580" s="24"/>
      <c r="AW580" s="27">
        <f t="shared" si="115"/>
        <v>444.68058000000002</v>
      </c>
      <c r="AX580" s="27">
        <f t="shared" si="116"/>
        <v>76.040579999999991</v>
      </c>
      <c r="AY580" s="27">
        <f t="shared" si="117"/>
        <v>52.900579999999998</v>
      </c>
      <c r="AZ580" s="27">
        <f t="shared" si="118"/>
        <v>25.41058</v>
      </c>
    </row>
    <row r="581" spans="1:52" ht="15" customHeight="1" x14ac:dyDescent="0.25">
      <c r="A581" s="13" t="str">
        <f>VLOOKUP(L581,[1]VALIDAÇÃO!$D$13:$E$350,2,0)</f>
        <v>DIRETO</v>
      </c>
      <c r="B581" s="14" t="str">
        <f t="shared" si="108"/>
        <v>35RIO AVE CARNEIROS 01 SPE LTDA.</v>
      </c>
      <c r="C581" s="15">
        <f t="shared" si="119"/>
        <v>35</v>
      </c>
      <c r="D581" s="16" t="str">
        <f t="shared" si="109"/>
        <v>79RIO AVE CARNEIROS 01 SPE LTDA.</v>
      </c>
      <c r="E581" s="17">
        <f t="shared" si="112"/>
        <v>79</v>
      </c>
      <c r="F581" s="18" t="str">
        <f t="shared" si="110"/>
        <v>51RIO AVE CARNEIROS 01 SPE LTDA.</v>
      </c>
      <c r="G581" s="18">
        <f t="shared" si="113"/>
        <v>51</v>
      </c>
      <c r="H581" s="19" t="str">
        <f t="shared" si="111"/>
        <v>66RIO AVE CARNEIROS 01 SPE LTDA.</v>
      </c>
      <c r="I581" s="19">
        <f t="shared" si="114"/>
        <v>66</v>
      </c>
      <c r="J581" s="13" t="s">
        <v>61</v>
      </c>
      <c r="K581" s="13" t="s">
        <v>706</v>
      </c>
      <c r="L581" s="13" t="s">
        <v>63</v>
      </c>
      <c r="M581" s="13" t="s">
        <v>55</v>
      </c>
      <c r="N581" s="20">
        <v>1398.92</v>
      </c>
      <c r="O581" s="20">
        <v>2156</v>
      </c>
      <c r="P581" s="21">
        <v>45797</v>
      </c>
      <c r="Q581" s="22"/>
      <c r="R581" s="23">
        <v>2156</v>
      </c>
      <c r="S581" s="24"/>
      <c r="T581" s="23"/>
      <c r="U581" s="24"/>
      <c r="V581" s="23"/>
      <c r="W581" s="23"/>
      <c r="X581" s="24"/>
      <c r="Y581" s="23"/>
      <c r="Z581" s="23"/>
      <c r="AA581" s="23">
        <v>2.48</v>
      </c>
      <c r="AB581" s="23">
        <v>112.66</v>
      </c>
      <c r="AC581" s="24">
        <v>791.62857142857138</v>
      </c>
      <c r="AD581" s="23">
        <v>48.730000000000004</v>
      </c>
      <c r="AE581" s="24">
        <v>342.44285714285718</v>
      </c>
      <c r="AF581" s="23"/>
      <c r="AG581" s="23"/>
      <c r="AH581" s="23">
        <v>11.39</v>
      </c>
      <c r="AI581" s="24">
        <v>0</v>
      </c>
      <c r="AJ581" s="25">
        <v>549.26</v>
      </c>
      <c r="AK581" s="23">
        <v>121.87</v>
      </c>
      <c r="AL581" s="23"/>
      <c r="AM581" s="24"/>
      <c r="AN581" s="23"/>
      <c r="AO581" s="24"/>
      <c r="AP581" s="23">
        <v>16.610000000000003</v>
      </c>
      <c r="AQ581" s="24">
        <v>99.185714285714297</v>
      </c>
      <c r="AR581" s="23">
        <v>37.980000000000004</v>
      </c>
      <c r="AS581" s="23">
        <v>-964</v>
      </c>
      <c r="AT581" s="23"/>
      <c r="AU581" s="24"/>
      <c r="AW581" s="27">
        <f t="shared" si="115"/>
        <v>549.260581</v>
      </c>
      <c r="AX581" s="27">
        <f t="shared" si="116"/>
        <v>48.730581000000001</v>
      </c>
      <c r="AY581" s="27">
        <f t="shared" si="117"/>
        <v>112.66058099999999</v>
      </c>
      <c r="AZ581" s="27">
        <f t="shared" si="118"/>
        <v>16.610581000000003</v>
      </c>
    </row>
    <row r="582" spans="1:52" ht="15" customHeight="1" x14ac:dyDescent="0.25">
      <c r="A582" s="13" t="str">
        <f>VLOOKUP(L582,[1]VALIDAÇÃO!$D$13:$E$350,2,0)</f>
        <v>INDIRETO</v>
      </c>
      <c r="B582" s="14" t="str">
        <f t="shared" si="108"/>
        <v>135RESERVA DO PAIVA SPE 03 LTDA</v>
      </c>
      <c r="C582" s="15">
        <f t="shared" si="119"/>
        <v>135</v>
      </c>
      <c r="D582" s="16" t="str">
        <f t="shared" si="109"/>
        <v>155RESERVA DO PAIVA SPE 03 LTDA</v>
      </c>
      <c r="E582" s="17">
        <f t="shared" si="112"/>
        <v>155</v>
      </c>
      <c r="F582" s="18" t="str">
        <f t="shared" si="110"/>
        <v>131RESERVA DO PAIVA SPE 03 LTDA</v>
      </c>
      <c r="G582" s="18">
        <f t="shared" si="113"/>
        <v>131</v>
      </c>
      <c r="H582" s="19" t="str">
        <f t="shared" si="111"/>
        <v>92RESERVA DO PAIVA SPE 03 LTDA</v>
      </c>
      <c r="I582" s="19">
        <f t="shared" si="114"/>
        <v>92</v>
      </c>
      <c r="J582" s="13" t="s">
        <v>52</v>
      </c>
      <c r="K582" s="13" t="s">
        <v>707</v>
      </c>
      <c r="L582" s="13" t="s">
        <v>349</v>
      </c>
      <c r="M582" s="13" t="s">
        <v>85</v>
      </c>
      <c r="N582" s="20">
        <v>835.47</v>
      </c>
      <c r="O582" s="20"/>
      <c r="P582" s="21">
        <v>45971</v>
      </c>
      <c r="Q582" s="22"/>
      <c r="R582" s="23"/>
      <c r="S582" s="24"/>
      <c r="T582" s="23"/>
      <c r="U582" s="24"/>
      <c r="V582" s="23"/>
      <c r="W582" s="23"/>
      <c r="X582" s="24"/>
      <c r="Y582" s="23"/>
      <c r="Z582" s="23"/>
      <c r="AA582" s="23"/>
      <c r="AB582" s="23"/>
      <c r="AC582" s="24"/>
      <c r="AD582" s="23"/>
      <c r="AE582" s="24"/>
      <c r="AF582" s="23"/>
      <c r="AG582" s="23"/>
      <c r="AH582" s="23"/>
      <c r="AI582" s="24"/>
      <c r="AJ582" s="25"/>
      <c r="AK582" s="23"/>
      <c r="AL582" s="23"/>
      <c r="AM582" s="24"/>
      <c r="AN582" s="23"/>
      <c r="AO582" s="24"/>
      <c r="AP582" s="23"/>
      <c r="AQ582" s="24"/>
      <c r="AR582" s="23"/>
      <c r="AS582" s="23">
        <v>-452</v>
      </c>
      <c r="AT582" s="23"/>
      <c r="AU582" s="24"/>
      <c r="AW582" s="27">
        <f t="shared" si="115"/>
        <v>5.8200000000000005E-4</v>
      </c>
      <c r="AX582" s="27">
        <f t="shared" si="116"/>
        <v>5.8200000000000005E-4</v>
      </c>
      <c r="AY582" s="27">
        <f t="shared" si="117"/>
        <v>5.8200000000000005E-4</v>
      </c>
      <c r="AZ582" s="27">
        <f t="shared" si="118"/>
        <v>5.8200000000000005E-4</v>
      </c>
    </row>
    <row r="583" spans="1:52" ht="15" customHeight="1" x14ac:dyDescent="0.25">
      <c r="A583" s="13" t="str">
        <f>VLOOKUP(L583,[1]VALIDAÇÃO!$D$13:$E$350,2,0)</f>
        <v>DIRETO</v>
      </c>
      <c r="B583" s="14" t="str">
        <f t="shared" si="108"/>
        <v>32RIO AVE 130 SPE LTDA</v>
      </c>
      <c r="C583" s="15">
        <f t="shared" si="119"/>
        <v>32</v>
      </c>
      <c r="D583" s="16" t="str">
        <f t="shared" si="109"/>
        <v>40RIO AVE 130 SPE LTDA</v>
      </c>
      <c r="E583" s="17">
        <f t="shared" si="112"/>
        <v>40</v>
      </c>
      <c r="F583" s="18" t="str">
        <f t="shared" si="110"/>
        <v>35RIO AVE 130 SPE LTDA</v>
      </c>
      <c r="G583" s="18">
        <f t="shared" si="113"/>
        <v>35</v>
      </c>
      <c r="H583" s="19" t="str">
        <f t="shared" si="111"/>
        <v>10RIO AVE 130 SPE LTDA</v>
      </c>
      <c r="I583" s="19">
        <f t="shared" si="114"/>
        <v>10</v>
      </c>
      <c r="J583" s="13" t="s">
        <v>102</v>
      </c>
      <c r="K583" s="13" t="s">
        <v>708</v>
      </c>
      <c r="L583" s="13" t="s">
        <v>92</v>
      </c>
      <c r="M583" s="13" t="s">
        <v>55</v>
      </c>
      <c r="N583" s="20">
        <v>1719.96</v>
      </c>
      <c r="O583" s="20">
        <v>2156</v>
      </c>
      <c r="P583" s="21">
        <v>45964</v>
      </c>
      <c r="Q583" s="22"/>
      <c r="R583" s="23">
        <v>2156</v>
      </c>
      <c r="S583" s="24"/>
      <c r="T583" s="23"/>
      <c r="U583" s="24"/>
      <c r="V583" s="23"/>
      <c r="W583" s="23"/>
      <c r="X583" s="24"/>
      <c r="Y583" s="23"/>
      <c r="Z583" s="23"/>
      <c r="AA583" s="23">
        <v>5.55</v>
      </c>
      <c r="AB583" s="23">
        <v>145.93</v>
      </c>
      <c r="AC583" s="24">
        <v>1053.2</v>
      </c>
      <c r="AD583" s="23">
        <v>26.75</v>
      </c>
      <c r="AE583" s="24">
        <v>184.60000000000002</v>
      </c>
      <c r="AF583" s="23"/>
      <c r="AG583" s="23"/>
      <c r="AH583" s="23">
        <v>24.73</v>
      </c>
      <c r="AI583" s="24">
        <v>0</v>
      </c>
      <c r="AJ583" s="25">
        <v>566.66999999999996</v>
      </c>
      <c r="AK583" s="23">
        <v>126.88</v>
      </c>
      <c r="AL583" s="23"/>
      <c r="AM583" s="24"/>
      <c r="AN583" s="23"/>
      <c r="AO583" s="24"/>
      <c r="AP583" s="23">
        <v>165.92</v>
      </c>
      <c r="AQ583" s="24">
        <v>1039.4000000000001</v>
      </c>
      <c r="AR583" s="23">
        <v>77.97</v>
      </c>
      <c r="AS583" s="23">
        <v>-924</v>
      </c>
      <c r="AT583" s="23"/>
      <c r="AU583" s="24"/>
      <c r="AW583" s="27">
        <f t="shared" si="115"/>
        <v>566.67058299999997</v>
      </c>
      <c r="AX583" s="27">
        <f t="shared" si="116"/>
        <v>26.750582999999999</v>
      </c>
      <c r="AY583" s="27">
        <f t="shared" si="117"/>
        <v>145.93058300000001</v>
      </c>
      <c r="AZ583" s="27">
        <f t="shared" si="118"/>
        <v>165.92058299999999</v>
      </c>
    </row>
    <row r="584" spans="1:52" ht="15" customHeight="1" x14ac:dyDescent="0.25">
      <c r="A584" s="13" t="str">
        <f>VLOOKUP(L584,[1]VALIDAÇÃO!$D$13:$E$350,2,0)</f>
        <v>DIRETO</v>
      </c>
      <c r="B584" s="14" t="str">
        <f t="shared" si="108"/>
        <v>108CONDOMINIO DO EDIFICIO EMPRESARIAL MARIE CURIE</v>
      </c>
      <c r="C584" s="15">
        <f t="shared" si="119"/>
        <v>108</v>
      </c>
      <c r="D584" s="16" t="str">
        <f t="shared" si="109"/>
        <v>49CONDOMINIO DO EDIFICIO EMPRESARIAL MARIE CURIE</v>
      </c>
      <c r="E584" s="17">
        <f t="shared" si="112"/>
        <v>49</v>
      </c>
      <c r="F584" s="18" t="str">
        <f t="shared" si="110"/>
        <v>103CONDOMINIO DO EDIFICIO EMPRESARIAL MARIE CURIE</v>
      </c>
      <c r="G584" s="18">
        <f t="shared" si="113"/>
        <v>103</v>
      </c>
      <c r="H584" s="19" t="str">
        <f t="shared" si="111"/>
        <v>60CONDOMINIO DO EDIFICIO EMPRESARIAL MARIE CURIE</v>
      </c>
      <c r="I584" s="19">
        <f t="shared" si="114"/>
        <v>60</v>
      </c>
      <c r="J584" s="13" t="s">
        <v>57</v>
      </c>
      <c r="K584" s="13" t="s">
        <v>709</v>
      </c>
      <c r="L584" s="13" t="s">
        <v>149</v>
      </c>
      <c r="M584" s="13" t="s">
        <v>60</v>
      </c>
      <c r="N584" s="20">
        <v>914.11</v>
      </c>
      <c r="O584" s="20">
        <v>1622.13</v>
      </c>
      <c r="P584" s="21">
        <v>45992</v>
      </c>
      <c r="Q584" s="22"/>
      <c r="R584" s="23">
        <v>1622.13</v>
      </c>
      <c r="S584" s="24"/>
      <c r="T584" s="23"/>
      <c r="U584" s="24"/>
      <c r="V584" s="23"/>
      <c r="W584" s="23"/>
      <c r="X584" s="24"/>
      <c r="Y584" s="23"/>
      <c r="Z584" s="23"/>
      <c r="AA584" s="23">
        <v>0.77</v>
      </c>
      <c r="AB584" s="23"/>
      <c r="AC584" s="24"/>
      <c r="AD584" s="23">
        <v>177.77</v>
      </c>
      <c r="AE584" s="24">
        <v>794.19</v>
      </c>
      <c r="AF584" s="23"/>
      <c r="AG584" s="23"/>
      <c r="AH584" s="23">
        <v>3.56</v>
      </c>
      <c r="AI584" s="24">
        <v>0</v>
      </c>
      <c r="AJ584" s="25">
        <v>84.62</v>
      </c>
      <c r="AK584" s="23">
        <v>18.399999999999999</v>
      </c>
      <c r="AL584" s="23"/>
      <c r="AM584" s="24"/>
      <c r="AN584" s="23"/>
      <c r="AO584" s="24"/>
      <c r="AP584" s="23"/>
      <c r="AQ584" s="24"/>
      <c r="AR584" s="23">
        <v>38.650000000000006</v>
      </c>
      <c r="AS584" s="23">
        <v>-695.2</v>
      </c>
      <c r="AT584" s="23"/>
      <c r="AU584" s="24"/>
      <c r="AW584" s="27">
        <f t="shared" si="115"/>
        <v>84.620584000000008</v>
      </c>
      <c r="AX584" s="27">
        <f t="shared" si="116"/>
        <v>177.77058400000001</v>
      </c>
      <c r="AY584" s="27">
        <f t="shared" si="117"/>
        <v>5.8399999999999999E-4</v>
      </c>
      <c r="AZ584" s="27">
        <f t="shared" si="118"/>
        <v>5.8399999999999999E-4</v>
      </c>
    </row>
    <row r="585" spans="1:52" ht="15" customHeight="1" x14ac:dyDescent="0.25">
      <c r="A585" s="13" t="str">
        <f>VLOOKUP(L585,[1]VALIDAÇÃO!$D$13:$E$350,2,0)</f>
        <v>INDIRETO</v>
      </c>
      <c r="B585" s="14" t="str">
        <f t="shared" si="108"/>
        <v>1RIO AVE 200 SPE LTDA.</v>
      </c>
      <c r="C585" s="15">
        <f t="shared" si="119"/>
        <v>1</v>
      </c>
      <c r="D585" s="16" t="str">
        <f t="shared" si="109"/>
        <v>1RIO AVE 200 SPE LTDA.</v>
      </c>
      <c r="E585" s="17">
        <f t="shared" si="112"/>
        <v>1</v>
      </c>
      <c r="F585" s="18" t="str">
        <f t="shared" si="110"/>
        <v>47RIO AVE 200 SPE LTDA.</v>
      </c>
      <c r="G585" s="18">
        <f t="shared" si="113"/>
        <v>47</v>
      </c>
      <c r="H585" s="19" t="str">
        <f t="shared" si="111"/>
        <v>33RIO AVE 200 SPE LTDA.</v>
      </c>
      <c r="I585" s="19">
        <f t="shared" si="114"/>
        <v>33</v>
      </c>
      <c r="J585" s="13" t="s">
        <v>48</v>
      </c>
      <c r="K585" s="13" t="s">
        <v>710</v>
      </c>
      <c r="L585" s="13" t="s">
        <v>711</v>
      </c>
      <c r="M585" s="13" t="s">
        <v>51</v>
      </c>
      <c r="N585" s="20">
        <v>1641.85</v>
      </c>
      <c r="O585" s="20">
        <v>981.23</v>
      </c>
      <c r="P585" s="21">
        <v>45184</v>
      </c>
      <c r="Q585" s="22"/>
      <c r="R585" s="23">
        <v>981.23</v>
      </c>
      <c r="S585" s="24"/>
      <c r="T585" s="23"/>
      <c r="U585" s="24"/>
      <c r="V585" s="23"/>
      <c r="W585" s="23"/>
      <c r="X585" s="24"/>
      <c r="Y585" s="23"/>
      <c r="Z585" s="23"/>
      <c r="AA585" s="23">
        <v>8.89</v>
      </c>
      <c r="AB585" s="23">
        <v>2.36</v>
      </c>
      <c r="AC585" s="24">
        <v>4.99</v>
      </c>
      <c r="AD585" s="23">
        <v>817.61</v>
      </c>
      <c r="AE585" s="24">
        <v>1725.3236666666667</v>
      </c>
      <c r="AF585" s="23"/>
      <c r="AG585" s="23"/>
      <c r="AH585" s="23">
        <v>42.72</v>
      </c>
      <c r="AI585" s="24">
        <v>0</v>
      </c>
      <c r="AJ585" s="25">
        <v>1385.98</v>
      </c>
      <c r="AK585" s="23">
        <v>252.34000000000003</v>
      </c>
      <c r="AL585" s="23"/>
      <c r="AM585" s="24"/>
      <c r="AN585" s="23"/>
      <c r="AO585" s="24"/>
      <c r="AP585" s="23"/>
      <c r="AQ585" s="24"/>
      <c r="AR585" s="23">
        <v>154.20999999999998</v>
      </c>
      <c r="AS585" s="23"/>
      <c r="AT585" s="23"/>
      <c r="AU585" s="24"/>
      <c r="AW585" s="27">
        <f t="shared" si="115"/>
        <v>1385.980585</v>
      </c>
      <c r="AX585" s="27">
        <f t="shared" si="116"/>
        <v>817.61058500000001</v>
      </c>
      <c r="AY585" s="27">
        <f t="shared" si="117"/>
        <v>2.3605849999999999</v>
      </c>
      <c r="AZ585" s="27">
        <f t="shared" si="118"/>
        <v>5.8500000000000002E-4</v>
      </c>
    </row>
    <row r="586" spans="1:52" ht="15" customHeight="1" x14ac:dyDescent="0.25">
      <c r="A586" s="13" t="str">
        <f>VLOOKUP(L586,[1]VALIDAÇÃO!$D$13:$E$350,2,0)</f>
        <v>DIRETO</v>
      </c>
      <c r="B586" s="14" t="str">
        <f t="shared" si="108"/>
        <v>61RIO AVE 200 SPE LTDA.</v>
      </c>
      <c r="C586" s="15">
        <f t="shared" si="119"/>
        <v>61</v>
      </c>
      <c r="D586" s="16" t="str">
        <f t="shared" si="109"/>
        <v>38RIO AVE 200 SPE LTDA.</v>
      </c>
      <c r="E586" s="17">
        <f t="shared" si="112"/>
        <v>38</v>
      </c>
      <c r="F586" s="18" t="str">
        <f t="shared" si="110"/>
        <v>15RIO AVE 200 SPE LTDA.</v>
      </c>
      <c r="G586" s="18">
        <f t="shared" si="113"/>
        <v>15</v>
      </c>
      <c r="H586" s="19" t="str">
        <f t="shared" si="111"/>
        <v>3RIO AVE 200 SPE LTDA.</v>
      </c>
      <c r="I586" s="19">
        <f t="shared" si="114"/>
        <v>3</v>
      </c>
      <c r="J586" s="13" t="s">
        <v>48</v>
      </c>
      <c r="K586" s="13" t="s">
        <v>712</v>
      </c>
      <c r="L586" s="13" t="s">
        <v>54</v>
      </c>
      <c r="M586" s="13" t="s">
        <v>55</v>
      </c>
      <c r="N586" s="20">
        <v>1278.78</v>
      </c>
      <c r="O586" s="20">
        <v>1448.33</v>
      </c>
      <c r="P586" s="21">
        <v>45995</v>
      </c>
      <c r="Q586" s="22"/>
      <c r="R586" s="23">
        <v>1448.33</v>
      </c>
      <c r="S586" s="24"/>
      <c r="T586" s="23"/>
      <c r="U586" s="24"/>
      <c r="V586" s="23"/>
      <c r="W586" s="23"/>
      <c r="X586" s="24"/>
      <c r="Y586" s="23"/>
      <c r="Z586" s="23"/>
      <c r="AA586" s="23"/>
      <c r="AB586" s="23">
        <v>107.44</v>
      </c>
      <c r="AC586" s="24">
        <v>480</v>
      </c>
      <c r="AD586" s="23">
        <v>108.56</v>
      </c>
      <c r="AE586" s="24">
        <v>485</v>
      </c>
      <c r="AF586" s="23"/>
      <c r="AG586" s="23"/>
      <c r="AH586" s="23"/>
      <c r="AI586" s="24"/>
      <c r="AJ586" s="25"/>
      <c r="AK586" s="23"/>
      <c r="AL586" s="23"/>
      <c r="AM586" s="24"/>
      <c r="AN586" s="23"/>
      <c r="AO586" s="24"/>
      <c r="AP586" s="23">
        <v>142.19999999999999</v>
      </c>
      <c r="AQ586" s="24">
        <v>540</v>
      </c>
      <c r="AR586" s="23">
        <v>89.55</v>
      </c>
      <c r="AS586" s="23">
        <v>-835.2</v>
      </c>
      <c r="AT586" s="23"/>
      <c r="AU586" s="24"/>
      <c r="AW586" s="27">
        <f t="shared" si="115"/>
        <v>5.8600000000000004E-4</v>
      </c>
      <c r="AX586" s="27">
        <f t="shared" si="116"/>
        <v>108.560586</v>
      </c>
      <c r="AY586" s="27">
        <f t="shared" si="117"/>
        <v>107.440586</v>
      </c>
      <c r="AZ586" s="27">
        <f t="shared" si="118"/>
        <v>142.20058599999999</v>
      </c>
    </row>
    <row r="587" spans="1:52" ht="15" customHeight="1" x14ac:dyDescent="0.25">
      <c r="A587" s="13" t="str">
        <f>VLOOKUP(L587,[1]VALIDAÇÃO!$D$13:$E$350,2,0)</f>
        <v>DIRETO</v>
      </c>
      <c r="B587" s="14" t="str">
        <f t="shared" si="108"/>
        <v>62RESERVA DO PAIVA SPE 01 LTDA.</v>
      </c>
      <c r="C587" s="15">
        <f t="shared" si="119"/>
        <v>62</v>
      </c>
      <c r="D587" s="16" t="str">
        <f t="shared" si="109"/>
        <v>75RESERVA DO PAIVA SPE 01 LTDA.</v>
      </c>
      <c r="E587" s="17">
        <f t="shared" si="112"/>
        <v>75</v>
      </c>
      <c r="F587" s="18" t="str">
        <f t="shared" si="110"/>
        <v>39RESERVA DO PAIVA SPE 01 LTDA.</v>
      </c>
      <c r="G587" s="18">
        <f t="shared" si="113"/>
        <v>39</v>
      </c>
      <c r="H587" s="19" t="str">
        <f t="shared" si="111"/>
        <v>36RESERVA DO PAIVA SPE 01 LTDA.</v>
      </c>
      <c r="I587" s="19">
        <f t="shared" si="114"/>
        <v>36</v>
      </c>
      <c r="J587" s="13" t="s">
        <v>68</v>
      </c>
      <c r="K587" s="13" t="s">
        <v>713</v>
      </c>
      <c r="L587" s="13" t="s">
        <v>92</v>
      </c>
      <c r="M587" s="13" t="s">
        <v>55</v>
      </c>
      <c r="N587" s="20">
        <v>1429.57</v>
      </c>
      <c r="O587" s="20">
        <v>2156</v>
      </c>
      <c r="P587" s="21">
        <v>45855</v>
      </c>
      <c r="Q587" s="22"/>
      <c r="R587" s="23">
        <v>2156</v>
      </c>
      <c r="S587" s="24"/>
      <c r="T587" s="23"/>
      <c r="U587" s="24"/>
      <c r="V587" s="23"/>
      <c r="W587" s="23"/>
      <c r="X587" s="24"/>
      <c r="Y587" s="23"/>
      <c r="Z587" s="23"/>
      <c r="AA587" s="23">
        <v>6.91</v>
      </c>
      <c r="AB587" s="23">
        <v>273.5</v>
      </c>
      <c r="AC587" s="24">
        <v>1545.1542857142856</v>
      </c>
      <c r="AD587" s="23">
        <v>23.169999999999998</v>
      </c>
      <c r="AE587" s="24">
        <v>95.511428571428581</v>
      </c>
      <c r="AF587" s="23"/>
      <c r="AG587" s="23"/>
      <c r="AH587" s="23">
        <v>29.699999999999996</v>
      </c>
      <c r="AI587" s="24">
        <v>0</v>
      </c>
      <c r="AJ587" s="25">
        <v>394.36</v>
      </c>
      <c r="AK587" s="23">
        <v>86.320000000000007</v>
      </c>
      <c r="AL587" s="23">
        <v>-82.97</v>
      </c>
      <c r="AM587" s="24">
        <v>474.14</v>
      </c>
      <c r="AN587" s="23"/>
      <c r="AO587" s="24"/>
      <c r="AP587" s="23">
        <v>360.99</v>
      </c>
      <c r="AQ587" s="24">
        <v>1807.8257142857142</v>
      </c>
      <c r="AR587" s="23">
        <v>153.61000000000001</v>
      </c>
      <c r="AS587" s="23">
        <v>-924</v>
      </c>
      <c r="AT587" s="23"/>
      <c r="AU587" s="24"/>
      <c r="AW587" s="27">
        <f t="shared" si="115"/>
        <v>394.36058700000001</v>
      </c>
      <c r="AX587" s="27">
        <f t="shared" si="116"/>
        <v>23.170586999999998</v>
      </c>
      <c r="AY587" s="27">
        <f t="shared" si="117"/>
        <v>273.500587</v>
      </c>
      <c r="AZ587" s="27">
        <f t="shared" si="118"/>
        <v>360.990587</v>
      </c>
    </row>
    <row r="588" spans="1:52" ht="15" customHeight="1" x14ac:dyDescent="0.25">
      <c r="A588" s="13" t="str">
        <f>VLOOKUP(L588,[1]VALIDAÇÃO!$D$13:$E$350,2,0)</f>
        <v>DIRETO</v>
      </c>
      <c r="B588" s="14" t="str">
        <f t="shared" si="108"/>
        <v>31RIO AVE CARNEIROS 01 SPE LTDA.</v>
      </c>
      <c r="C588" s="15">
        <f t="shared" si="119"/>
        <v>31</v>
      </c>
      <c r="D588" s="16" t="str">
        <f t="shared" si="109"/>
        <v>138RIO AVE CARNEIROS 01 SPE LTDA.</v>
      </c>
      <c r="E588" s="17">
        <f t="shared" si="112"/>
        <v>138</v>
      </c>
      <c r="F588" s="18" t="str">
        <f t="shared" si="110"/>
        <v>64RIO AVE CARNEIROS 01 SPE LTDA.</v>
      </c>
      <c r="G588" s="18">
        <f t="shared" si="113"/>
        <v>64</v>
      </c>
      <c r="H588" s="19" t="str">
        <f t="shared" si="111"/>
        <v>39RIO AVE CARNEIROS 01 SPE LTDA.</v>
      </c>
      <c r="I588" s="19">
        <f t="shared" si="114"/>
        <v>39</v>
      </c>
      <c r="J588" s="13" t="s">
        <v>61</v>
      </c>
      <c r="K588" s="13" t="s">
        <v>714</v>
      </c>
      <c r="L588" s="13" t="s">
        <v>63</v>
      </c>
      <c r="M588" s="13" t="s">
        <v>55</v>
      </c>
      <c r="N588" s="20">
        <v>1449.68</v>
      </c>
      <c r="O588" s="20">
        <v>2156</v>
      </c>
      <c r="P588" s="21">
        <v>45782</v>
      </c>
      <c r="Q588" s="22"/>
      <c r="R588" s="23">
        <v>2156</v>
      </c>
      <c r="S588" s="24"/>
      <c r="T588" s="23"/>
      <c r="U588" s="24"/>
      <c r="V588" s="23"/>
      <c r="W588" s="23"/>
      <c r="X588" s="24"/>
      <c r="Y588" s="23"/>
      <c r="Z588" s="23"/>
      <c r="AA588" s="23">
        <v>1.6099999999999999</v>
      </c>
      <c r="AB588" s="23">
        <v>93.679999999999993</v>
      </c>
      <c r="AC588" s="24">
        <v>586.7285714285714</v>
      </c>
      <c r="AD588" s="23">
        <v>0.94</v>
      </c>
      <c r="AE588" s="24">
        <v>5.9142857142857137</v>
      </c>
      <c r="AF588" s="23"/>
      <c r="AG588" s="23"/>
      <c r="AH588" s="23">
        <v>6.55</v>
      </c>
      <c r="AI588" s="24">
        <v>0</v>
      </c>
      <c r="AJ588" s="25">
        <v>568.45000000000005</v>
      </c>
      <c r="AK588" s="23">
        <v>124.82</v>
      </c>
      <c r="AL588" s="23"/>
      <c r="AM588" s="24"/>
      <c r="AN588" s="23"/>
      <c r="AO588" s="24"/>
      <c r="AP588" s="23">
        <v>37</v>
      </c>
      <c r="AQ588" s="24">
        <v>196.94285714285715</v>
      </c>
      <c r="AR588" s="23">
        <v>32.06</v>
      </c>
      <c r="AS588" s="23">
        <v>-1014</v>
      </c>
      <c r="AT588" s="23"/>
      <c r="AU588" s="24"/>
      <c r="AW588" s="27">
        <f t="shared" si="115"/>
        <v>568.45058800000004</v>
      </c>
      <c r="AX588" s="27">
        <f t="shared" si="116"/>
        <v>0.94058799999999998</v>
      </c>
      <c r="AY588" s="27">
        <f t="shared" si="117"/>
        <v>93.680587999999986</v>
      </c>
      <c r="AZ588" s="27">
        <f t="shared" si="118"/>
        <v>37.000588</v>
      </c>
    </row>
    <row r="589" spans="1:52" ht="15" customHeight="1" x14ac:dyDescent="0.25">
      <c r="A589" s="13" t="str">
        <f>VLOOKUP(L589,[1]VALIDAÇÃO!$D$13:$E$350,2,0)</f>
        <v>DIRETO</v>
      </c>
      <c r="B589" s="14" t="str">
        <f t="shared" si="108"/>
        <v>47RIO AVE 200 SPE LTDA.</v>
      </c>
      <c r="C589" s="15">
        <f t="shared" si="119"/>
        <v>47</v>
      </c>
      <c r="D589" s="16" t="str">
        <f t="shared" si="109"/>
        <v>50RIO AVE 200 SPE LTDA.</v>
      </c>
      <c r="E589" s="17">
        <f t="shared" si="112"/>
        <v>50</v>
      </c>
      <c r="F589" s="18" t="str">
        <f t="shared" si="110"/>
        <v>56RIO AVE 200 SPE LTDA.</v>
      </c>
      <c r="G589" s="18">
        <f t="shared" si="113"/>
        <v>56</v>
      </c>
      <c r="H589" s="19" t="str">
        <f t="shared" si="111"/>
        <v>32RIO AVE 200 SPE LTDA.</v>
      </c>
      <c r="I589" s="19">
        <f t="shared" si="114"/>
        <v>32</v>
      </c>
      <c r="J589" s="13" t="s">
        <v>48</v>
      </c>
      <c r="K589" s="13" t="s">
        <v>715</v>
      </c>
      <c r="L589" s="13" t="s">
        <v>54</v>
      </c>
      <c r="M589" s="13" t="s">
        <v>55</v>
      </c>
      <c r="N589" s="20">
        <v>1321.12</v>
      </c>
      <c r="O589" s="20">
        <v>1622.13</v>
      </c>
      <c r="P589" s="21">
        <v>45980</v>
      </c>
      <c r="Q589" s="22"/>
      <c r="R589" s="23">
        <v>1622.13</v>
      </c>
      <c r="S589" s="24"/>
      <c r="T589" s="23"/>
      <c r="U589" s="24"/>
      <c r="V589" s="23"/>
      <c r="W589" s="23"/>
      <c r="X589" s="24"/>
      <c r="Y589" s="23"/>
      <c r="Z589" s="23"/>
      <c r="AA589" s="23">
        <v>0.94</v>
      </c>
      <c r="AB589" s="23"/>
      <c r="AC589" s="24"/>
      <c r="AD589" s="23">
        <v>72.52</v>
      </c>
      <c r="AE589" s="24">
        <v>324</v>
      </c>
      <c r="AF589" s="23"/>
      <c r="AG589" s="23"/>
      <c r="AH589" s="23">
        <v>4.33</v>
      </c>
      <c r="AI589" s="24">
        <v>0</v>
      </c>
      <c r="AJ589" s="25">
        <v>252</v>
      </c>
      <c r="AK589" s="23">
        <v>54.78</v>
      </c>
      <c r="AL589" s="23"/>
      <c r="AM589" s="24"/>
      <c r="AN589" s="23"/>
      <c r="AO589" s="24"/>
      <c r="AP589" s="23"/>
      <c r="AQ589" s="24"/>
      <c r="AR589" s="23">
        <v>15.770000000000003</v>
      </c>
      <c r="AS589" s="23">
        <v>-835.2</v>
      </c>
      <c r="AT589" s="23"/>
      <c r="AU589" s="24"/>
      <c r="AW589" s="27">
        <f t="shared" si="115"/>
        <v>252.00058899999999</v>
      </c>
      <c r="AX589" s="27">
        <f t="shared" si="116"/>
        <v>72.520589000000001</v>
      </c>
      <c r="AY589" s="27">
        <f t="shared" si="117"/>
        <v>5.8900000000000001E-4</v>
      </c>
      <c r="AZ589" s="27">
        <f t="shared" si="118"/>
        <v>5.8900000000000001E-4</v>
      </c>
    </row>
    <row r="590" spans="1:52" ht="15" customHeight="1" x14ac:dyDescent="0.25">
      <c r="A590" s="13" t="str">
        <f>VLOOKUP(L590,[1]VALIDAÇÃO!$D$13:$E$350,2,0)</f>
        <v>DIRETO</v>
      </c>
      <c r="B590" s="14" t="str">
        <f t="shared" si="108"/>
        <v>60RIO AVE 200 SPE LTDA.</v>
      </c>
      <c r="C590" s="15">
        <f t="shared" si="119"/>
        <v>60</v>
      </c>
      <c r="D590" s="16" t="str">
        <f t="shared" si="109"/>
        <v>55RIO AVE 200 SPE LTDA.</v>
      </c>
      <c r="E590" s="17">
        <f t="shared" si="112"/>
        <v>55</v>
      </c>
      <c r="F590" s="18" t="str">
        <f t="shared" si="110"/>
        <v>55RIO AVE 200 SPE LTDA.</v>
      </c>
      <c r="G590" s="18">
        <f t="shared" si="113"/>
        <v>55</v>
      </c>
      <c r="H590" s="19" t="str">
        <f t="shared" si="111"/>
        <v>31RIO AVE 200 SPE LTDA.</v>
      </c>
      <c r="I590" s="19">
        <f t="shared" si="114"/>
        <v>31</v>
      </c>
      <c r="J590" s="13" t="s">
        <v>48</v>
      </c>
      <c r="K590" s="13" t="s">
        <v>716</v>
      </c>
      <c r="L590" s="13" t="s">
        <v>63</v>
      </c>
      <c r="M590" s="13" t="s">
        <v>55</v>
      </c>
      <c r="N590" s="20">
        <v>1000.19</v>
      </c>
      <c r="O590" s="20">
        <v>1925</v>
      </c>
      <c r="P590" s="21">
        <v>45995</v>
      </c>
      <c r="Q590" s="22"/>
      <c r="R590" s="23">
        <v>1925</v>
      </c>
      <c r="S590" s="24"/>
      <c r="T590" s="23"/>
      <c r="U590" s="24"/>
      <c r="V590" s="23"/>
      <c r="W590" s="23"/>
      <c r="X590" s="24"/>
      <c r="Y590" s="23"/>
      <c r="Z590" s="23"/>
      <c r="AA590" s="23"/>
      <c r="AB590" s="23"/>
      <c r="AC590" s="24"/>
      <c r="AD590" s="23">
        <v>35.700000000000003</v>
      </c>
      <c r="AE590" s="24">
        <v>120</v>
      </c>
      <c r="AF590" s="23"/>
      <c r="AG590" s="23"/>
      <c r="AH590" s="23"/>
      <c r="AI590" s="24"/>
      <c r="AJ590" s="25"/>
      <c r="AK590" s="23"/>
      <c r="AL590" s="23"/>
      <c r="AM590" s="24"/>
      <c r="AN590" s="23"/>
      <c r="AO590" s="24"/>
      <c r="AP590" s="23"/>
      <c r="AQ590" s="24"/>
      <c r="AR590" s="23">
        <v>8.9300000000000015</v>
      </c>
      <c r="AS590" s="23">
        <v>-986</v>
      </c>
      <c r="AT590" s="23"/>
      <c r="AU590" s="24"/>
      <c r="AW590" s="27">
        <f t="shared" si="115"/>
        <v>5.9000000000000003E-4</v>
      </c>
      <c r="AX590" s="27">
        <f t="shared" si="116"/>
        <v>35.700590000000005</v>
      </c>
      <c r="AY590" s="27">
        <f t="shared" si="117"/>
        <v>5.9000000000000003E-4</v>
      </c>
      <c r="AZ590" s="27">
        <f t="shared" si="118"/>
        <v>5.9000000000000003E-4</v>
      </c>
    </row>
    <row r="591" spans="1:52" ht="15" customHeight="1" x14ac:dyDescent="0.25">
      <c r="A591" s="13" t="str">
        <f>VLOOKUP(L591,[1]VALIDAÇÃO!$D$13:$E$350,2,0)</f>
        <v>DIRETO</v>
      </c>
      <c r="B591" s="14" t="str">
        <f t="shared" si="108"/>
        <v>2RIO AVE CARNEIROS 01 SPE LTDA.</v>
      </c>
      <c r="C591" s="15">
        <f t="shared" si="119"/>
        <v>2</v>
      </c>
      <c r="D591" s="16" t="str">
        <f t="shared" si="109"/>
        <v>42RIO AVE CARNEIROS 01 SPE LTDA.</v>
      </c>
      <c r="E591" s="17">
        <f t="shared" si="112"/>
        <v>42</v>
      </c>
      <c r="F591" s="18" t="str">
        <f t="shared" si="110"/>
        <v>42RIO AVE CARNEIROS 01 SPE LTDA.</v>
      </c>
      <c r="G591" s="18">
        <f t="shared" si="113"/>
        <v>42</v>
      </c>
      <c r="H591" s="19" t="str">
        <f t="shared" si="111"/>
        <v>97RIO AVE CARNEIROS 01 SPE LTDA.</v>
      </c>
      <c r="I591" s="19">
        <f t="shared" si="114"/>
        <v>97</v>
      </c>
      <c r="J591" s="13" t="s">
        <v>61</v>
      </c>
      <c r="K591" s="13" t="s">
        <v>717</v>
      </c>
      <c r="L591" s="13" t="s">
        <v>66</v>
      </c>
      <c r="M591" s="13" t="s">
        <v>55</v>
      </c>
      <c r="N591" s="20">
        <v>1897.66</v>
      </c>
      <c r="O591" s="20">
        <v>2156</v>
      </c>
      <c r="P591" s="21">
        <v>45691</v>
      </c>
      <c r="Q591" s="30"/>
      <c r="R591" s="30">
        <v>2156</v>
      </c>
      <c r="S591" s="30"/>
      <c r="T591" s="30"/>
      <c r="U591" s="30"/>
      <c r="V591" s="30"/>
      <c r="W591" s="30"/>
      <c r="X591" s="30"/>
      <c r="Y591" s="30"/>
      <c r="Z591" s="30"/>
      <c r="AA591" s="30">
        <v>8.93</v>
      </c>
      <c r="AB591" s="23">
        <v>132.11000000000001</v>
      </c>
      <c r="AC591" s="24">
        <v>618.71428571428567</v>
      </c>
      <c r="AD591" s="23">
        <v>243.06</v>
      </c>
      <c r="AE591" s="24">
        <v>891.57142857142856</v>
      </c>
      <c r="AF591" s="30"/>
      <c r="AG591" s="30"/>
      <c r="AH591" s="30">
        <v>39.159999999999997</v>
      </c>
      <c r="AI591" s="30">
        <v>0</v>
      </c>
      <c r="AJ591" s="25">
        <v>1166.73</v>
      </c>
      <c r="AK591" s="30">
        <v>255.88</v>
      </c>
      <c r="AL591" s="30">
        <v>-21.7</v>
      </c>
      <c r="AM591" s="30">
        <v>124</v>
      </c>
      <c r="AN591" s="30"/>
      <c r="AO591" s="30"/>
      <c r="AP591" s="23"/>
      <c r="AQ591" s="24"/>
      <c r="AR591" s="30">
        <v>85.62</v>
      </c>
      <c r="AS591" s="30">
        <v>-1084</v>
      </c>
      <c r="AT591" s="30"/>
      <c r="AU591" s="30"/>
      <c r="AW591" s="27">
        <f t="shared" si="115"/>
        <v>1166.730591</v>
      </c>
      <c r="AX591" s="27">
        <f t="shared" si="116"/>
        <v>243.06059099999999</v>
      </c>
      <c r="AY591" s="27">
        <f t="shared" si="117"/>
        <v>132.110591</v>
      </c>
      <c r="AZ591" s="27">
        <f t="shared" si="118"/>
        <v>5.9100000000000005E-4</v>
      </c>
    </row>
    <row r="592" spans="1:52" ht="15" customHeight="1" x14ac:dyDescent="0.25">
      <c r="A592" s="13" t="str">
        <f>VLOOKUP(L592,[1]VALIDAÇÃO!$D$13:$E$350,2,0)</f>
        <v>DIRETO</v>
      </c>
      <c r="B592" s="14" t="str">
        <f t="shared" si="108"/>
        <v>55RIO AVE 200 SPE LTDA.</v>
      </c>
      <c r="C592" s="15">
        <f t="shared" si="119"/>
        <v>55</v>
      </c>
      <c r="D592" s="16" t="str">
        <f t="shared" si="109"/>
        <v>58RIO AVE 200 SPE LTDA.</v>
      </c>
      <c r="E592" s="17">
        <f t="shared" si="112"/>
        <v>58</v>
      </c>
      <c r="F592" s="18" t="str">
        <f t="shared" si="110"/>
        <v>2RIO AVE 200 SPE LTDA.</v>
      </c>
      <c r="G592" s="18">
        <f t="shared" si="113"/>
        <v>2</v>
      </c>
      <c r="H592" s="19" t="str">
        <f t="shared" si="111"/>
        <v>30RIO AVE 200 SPE LTDA.</v>
      </c>
      <c r="I592" s="19">
        <f t="shared" si="114"/>
        <v>30</v>
      </c>
      <c r="J592" s="13" t="s">
        <v>48</v>
      </c>
      <c r="K592" s="13" t="s">
        <v>718</v>
      </c>
      <c r="L592" s="13" t="s">
        <v>87</v>
      </c>
      <c r="M592" s="13" t="s">
        <v>55</v>
      </c>
      <c r="N592" s="20">
        <v>1245.53</v>
      </c>
      <c r="O592" s="20">
        <v>2156</v>
      </c>
      <c r="P592" s="21">
        <v>45810</v>
      </c>
      <c r="Q592" s="22"/>
      <c r="R592" s="23">
        <v>2156</v>
      </c>
      <c r="S592" s="24"/>
      <c r="T592" s="23"/>
      <c r="U592" s="24"/>
      <c r="V592" s="23"/>
      <c r="W592" s="23"/>
      <c r="X592" s="24"/>
      <c r="Y592" s="23"/>
      <c r="Z592" s="23"/>
      <c r="AA592" s="23">
        <v>0.52</v>
      </c>
      <c r="AB592" s="23">
        <v>295.11</v>
      </c>
      <c r="AC592" s="24">
        <v>1045.4285714285716</v>
      </c>
      <c r="AD592" s="23">
        <v>27.04</v>
      </c>
      <c r="AE592" s="24">
        <v>190</v>
      </c>
      <c r="AF592" s="23"/>
      <c r="AG592" s="23"/>
      <c r="AH592" s="23">
        <v>1.73</v>
      </c>
      <c r="AI592" s="24">
        <v>0</v>
      </c>
      <c r="AJ592" s="25">
        <v>58.970000000000006</v>
      </c>
      <c r="AK592" s="23">
        <v>14.010000000000002</v>
      </c>
      <c r="AL592" s="23"/>
      <c r="AM592" s="24"/>
      <c r="AN592" s="23"/>
      <c r="AO592" s="24"/>
      <c r="AP592" s="23"/>
      <c r="AQ592" s="24"/>
      <c r="AR592" s="23">
        <v>72.34</v>
      </c>
      <c r="AS592" s="23">
        <v>-924</v>
      </c>
      <c r="AT592" s="23"/>
      <c r="AU592" s="24"/>
      <c r="AW592" s="27">
        <f t="shared" si="115"/>
        <v>58.970592000000003</v>
      </c>
      <c r="AX592" s="27">
        <f t="shared" si="116"/>
        <v>27.040592</v>
      </c>
      <c r="AY592" s="27">
        <f t="shared" si="117"/>
        <v>295.110592</v>
      </c>
      <c r="AZ592" s="27">
        <f t="shared" si="118"/>
        <v>5.9199999999999997E-4</v>
      </c>
    </row>
    <row r="593" spans="1:52" ht="15" customHeight="1" x14ac:dyDescent="0.25">
      <c r="A593" s="13" t="str">
        <f>VLOOKUP(L593,[1]VALIDAÇÃO!$D$13:$E$350,2,0)</f>
        <v>DIRETO</v>
      </c>
      <c r="B593" s="14" t="str">
        <f t="shared" si="108"/>
        <v>14CONDOMINIO DO EDIFICIO EMPRESARIAL MARIE CURIE</v>
      </c>
      <c r="C593" s="15">
        <f t="shared" si="119"/>
        <v>14</v>
      </c>
      <c r="D593" s="16" t="str">
        <f t="shared" si="109"/>
        <v>67CONDOMINIO DO EDIFICIO EMPRESARIAL MARIE CURIE</v>
      </c>
      <c r="E593" s="17">
        <f t="shared" si="112"/>
        <v>67</v>
      </c>
      <c r="F593" s="18" t="str">
        <f t="shared" si="110"/>
        <v>59CONDOMINIO DO EDIFICIO EMPRESARIAL MARIE CURIE</v>
      </c>
      <c r="G593" s="18">
        <f t="shared" si="113"/>
        <v>59</v>
      </c>
      <c r="H593" s="19" t="str">
        <f t="shared" si="111"/>
        <v>59CONDOMINIO DO EDIFICIO EMPRESARIAL MARIE CURIE</v>
      </c>
      <c r="I593" s="19">
        <f t="shared" si="114"/>
        <v>59</v>
      </c>
      <c r="J593" s="13" t="s">
        <v>57</v>
      </c>
      <c r="K593" s="13" t="s">
        <v>719</v>
      </c>
      <c r="L593" s="13" t="s">
        <v>66</v>
      </c>
      <c r="M593" s="13" t="s">
        <v>60</v>
      </c>
      <c r="N593" s="20">
        <v>1823.28</v>
      </c>
      <c r="O593" s="20">
        <v>2156</v>
      </c>
      <c r="P593" s="21">
        <v>45839</v>
      </c>
      <c r="Q593" s="29"/>
      <c r="R593" s="30">
        <v>2156</v>
      </c>
      <c r="S593" s="30"/>
      <c r="T593" s="30"/>
      <c r="U593" s="30"/>
      <c r="V593" s="30"/>
      <c r="W593" s="30"/>
      <c r="X593" s="30"/>
      <c r="Y593" s="30"/>
      <c r="Z593" s="30"/>
      <c r="AA593" s="30">
        <v>4.2699999999999996</v>
      </c>
      <c r="AB593" s="23">
        <v>51.9</v>
      </c>
      <c r="AC593" s="24">
        <v>415.4</v>
      </c>
      <c r="AD593" s="23">
        <v>95.919999999999987</v>
      </c>
      <c r="AE593" s="24">
        <v>450.12857142857138</v>
      </c>
      <c r="AF593" s="30"/>
      <c r="AG593" s="30"/>
      <c r="AH593" s="30">
        <v>21.26</v>
      </c>
      <c r="AI593" s="30">
        <v>0</v>
      </c>
      <c r="AJ593" s="25">
        <v>1256.31</v>
      </c>
      <c r="AK593" s="30">
        <v>268.89</v>
      </c>
      <c r="AL593" s="30">
        <v>-20.11</v>
      </c>
      <c r="AM593" s="30">
        <v>114.9</v>
      </c>
      <c r="AN593" s="30"/>
      <c r="AO593" s="30"/>
      <c r="AP593" s="23"/>
      <c r="AQ593" s="24"/>
      <c r="AR593" s="30">
        <v>29.560000000000002</v>
      </c>
      <c r="AS593" s="30">
        <v>-924</v>
      </c>
      <c r="AT593" s="30"/>
      <c r="AU593" s="30"/>
      <c r="AW593" s="27">
        <f t="shared" si="115"/>
        <v>1256.3105929999999</v>
      </c>
      <c r="AX593" s="27">
        <f t="shared" si="116"/>
        <v>95.920592999999982</v>
      </c>
      <c r="AY593" s="27">
        <f t="shared" si="117"/>
        <v>51.900593000000001</v>
      </c>
      <c r="AZ593" s="27">
        <f t="shared" si="118"/>
        <v>5.9299999999999999E-4</v>
      </c>
    </row>
    <row r="594" spans="1:52" ht="15" customHeight="1" x14ac:dyDescent="0.25">
      <c r="A594" s="13" t="str">
        <f>VLOOKUP(L594,[1]VALIDAÇÃO!$D$13:$E$350,2,0)</f>
        <v>DIRETO</v>
      </c>
      <c r="B594" s="14" t="str">
        <f t="shared" si="108"/>
        <v>85RESERVA DO PAIVA SPE 03 LTDA</v>
      </c>
      <c r="C594" s="15">
        <f t="shared" si="119"/>
        <v>85</v>
      </c>
      <c r="D594" s="16" t="str">
        <f t="shared" si="109"/>
        <v>60RESERVA DO PAIVA SPE 03 LTDA</v>
      </c>
      <c r="E594" s="17">
        <f t="shared" si="112"/>
        <v>60</v>
      </c>
      <c r="F594" s="18" t="str">
        <f t="shared" si="110"/>
        <v>22RESERVA DO PAIVA SPE 03 LTDA</v>
      </c>
      <c r="G594" s="18">
        <f t="shared" si="113"/>
        <v>22</v>
      </c>
      <c r="H594" s="19" t="str">
        <f t="shared" si="111"/>
        <v>6RESERVA DO PAIVA SPE 03 LTDA</v>
      </c>
      <c r="I594" s="19">
        <f t="shared" si="114"/>
        <v>6</v>
      </c>
      <c r="J594" s="13" t="s">
        <v>52</v>
      </c>
      <c r="K594" s="13" t="s">
        <v>720</v>
      </c>
      <c r="L594" s="13" t="s">
        <v>131</v>
      </c>
      <c r="M594" s="13" t="s">
        <v>55</v>
      </c>
      <c r="N594" s="20">
        <v>2321.67</v>
      </c>
      <c r="O594" s="20">
        <v>2156</v>
      </c>
      <c r="P594" s="21">
        <v>45978</v>
      </c>
      <c r="Q594" s="22"/>
      <c r="R594" s="23">
        <v>2156</v>
      </c>
      <c r="S594" s="24"/>
      <c r="T594" s="23"/>
      <c r="U594" s="24"/>
      <c r="V594" s="23"/>
      <c r="W594" s="23"/>
      <c r="X594" s="24"/>
      <c r="Y594" s="23"/>
      <c r="Z594" s="23"/>
      <c r="AA594" s="23">
        <v>7.3</v>
      </c>
      <c r="AB594" s="23">
        <v>308.81</v>
      </c>
      <c r="AC594" s="24">
        <v>1038</v>
      </c>
      <c r="AD594" s="23">
        <v>263.29000000000002</v>
      </c>
      <c r="AE594" s="24">
        <v>885</v>
      </c>
      <c r="AF594" s="23"/>
      <c r="AG594" s="23"/>
      <c r="AH594" s="23">
        <v>33.58</v>
      </c>
      <c r="AI594" s="24">
        <v>0</v>
      </c>
      <c r="AJ594" s="25">
        <v>164.29</v>
      </c>
      <c r="AK594" s="23">
        <v>35.720000000000006</v>
      </c>
      <c r="AL594" s="23">
        <v>-47.43</v>
      </c>
      <c r="AM594" s="24">
        <v>271</v>
      </c>
      <c r="AN594" s="23"/>
      <c r="AO594" s="24"/>
      <c r="AP594" s="23">
        <v>675.85</v>
      </c>
      <c r="AQ594" s="24">
        <v>1931</v>
      </c>
      <c r="AR594" s="23">
        <v>271.29000000000002</v>
      </c>
      <c r="AS594" s="23">
        <v>-924</v>
      </c>
      <c r="AT594" s="23"/>
      <c r="AU594" s="24"/>
      <c r="AW594" s="27">
        <f t="shared" si="115"/>
        <v>164.290594</v>
      </c>
      <c r="AX594" s="27">
        <f t="shared" si="116"/>
        <v>263.290594</v>
      </c>
      <c r="AY594" s="27">
        <f t="shared" si="117"/>
        <v>308.81059399999998</v>
      </c>
      <c r="AZ594" s="27">
        <f t="shared" si="118"/>
        <v>675.850594</v>
      </c>
    </row>
    <row r="595" spans="1:52" ht="15" customHeight="1" x14ac:dyDescent="0.25">
      <c r="A595" s="13" t="str">
        <f>VLOOKUP(L595,[1]VALIDAÇÃO!$D$13:$E$350,2,0)</f>
        <v>DIRETO</v>
      </c>
      <c r="B595" s="14" t="str">
        <f t="shared" si="108"/>
        <v>27RIO AVE CARNEIROS 01 SPE LTDA.</v>
      </c>
      <c r="C595" s="15">
        <f t="shared" si="119"/>
        <v>27</v>
      </c>
      <c r="D595" s="16" t="str">
        <f t="shared" si="109"/>
        <v>81RIO AVE CARNEIROS 01 SPE LTDA.</v>
      </c>
      <c r="E595" s="17">
        <f t="shared" si="112"/>
        <v>81</v>
      </c>
      <c r="F595" s="18" t="str">
        <f t="shared" si="110"/>
        <v>77RIO AVE CARNEIROS 01 SPE LTDA.</v>
      </c>
      <c r="G595" s="18">
        <f t="shared" si="113"/>
        <v>77</v>
      </c>
      <c r="H595" s="19" t="str">
        <f t="shared" si="111"/>
        <v>73RIO AVE CARNEIROS 01 SPE LTDA.</v>
      </c>
      <c r="I595" s="19">
        <f t="shared" si="114"/>
        <v>73</v>
      </c>
      <c r="J595" s="13" t="s">
        <v>61</v>
      </c>
      <c r="K595" s="13" t="s">
        <v>721</v>
      </c>
      <c r="L595" s="13" t="s">
        <v>722</v>
      </c>
      <c r="M595" s="13" t="s">
        <v>55</v>
      </c>
      <c r="N595" s="20">
        <v>1225.29</v>
      </c>
      <c r="O595" s="20">
        <v>2156</v>
      </c>
      <c r="P595" s="21">
        <v>45488</v>
      </c>
      <c r="Q595" s="29"/>
      <c r="R595" s="30">
        <v>2156</v>
      </c>
      <c r="S595" s="30"/>
      <c r="T595" s="30"/>
      <c r="U595" s="30"/>
      <c r="V595" s="30"/>
      <c r="W595" s="30"/>
      <c r="X595" s="30"/>
      <c r="Y595" s="30"/>
      <c r="Z595" s="30"/>
      <c r="AA595" s="30">
        <v>2.11</v>
      </c>
      <c r="AB595" s="23">
        <v>73.739999999999995</v>
      </c>
      <c r="AC595" s="24">
        <v>273.9185714285714</v>
      </c>
      <c r="AD595" s="23">
        <v>45.99</v>
      </c>
      <c r="AE595" s="24">
        <v>172.34714285714284</v>
      </c>
      <c r="AF595" s="30"/>
      <c r="AG595" s="30"/>
      <c r="AH595" s="30">
        <v>9.2799999999999994</v>
      </c>
      <c r="AI595" s="30">
        <v>0</v>
      </c>
      <c r="AJ595" s="25">
        <v>603.54999999999995</v>
      </c>
      <c r="AK595" s="30">
        <v>134.91</v>
      </c>
      <c r="AL595" s="30"/>
      <c r="AM595" s="30"/>
      <c r="AN595" s="30"/>
      <c r="AO595" s="30"/>
      <c r="AP595" s="23">
        <v>14.03</v>
      </c>
      <c r="AQ595" s="24">
        <v>40.08</v>
      </c>
      <c r="AR595" s="30">
        <v>29.64</v>
      </c>
      <c r="AS595" s="30">
        <v>-924</v>
      </c>
      <c r="AT595" s="30"/>
      <c r="AU595" s="30"/>
      <c r="AW595" s="27">
        <f t="shared" si="115"/>
        <v>603.55059499999993</v>
      </c>
      <c r="AX595" s="27">
        <f t="shared" si="116"/>
        <v>45.990594999999999</v>
      </c>
      <c r="AY595" s="27">
        <f t="shared" si="117"/>
        <v>73.740594999999999</v>
      </c>
      <c r="AZ595" s="27">
        <f t="shared" si="118"/>
        <v>14.030595</v>
      </c>
    </row>
    <row r="596" spans="1:52" ht="15" customHeight="1" x14ac:dyDescent="0.25">
      <c r="A596" s="13" t="str">
        <f>VLOOKUP(L596,[1]VALIDAÇÃO!$D$13:$E$350,2,0)</f>
        <v>DIRETO</v>
      </c>
      <c r="B596" s="14" t="str">
        <f t="shared" ref="B596:B659" si="120">C596&amp;J596</f>
        <v>72RIO AVE CARNEIROS 01 SPE LTDA.</v>
      </c>
      <c r="C596" s="15">
        <f t="shared" si="119"/>
        <v>72</v>
      </c>
      <c r="D596" s="16" t="str">
        <f t="shared" ref="D596:D659" si="121">E596&amp;J596</f>
        <v>98RIO AVE CARNEIROS 01 SPE LTDA.</v>
      </c>
      <c r="E596" s="17">
        <f t="shared" si="112"/>
        <v>98</v>
      </c>
      <c r="F596" s="18" t="str">
        <f t="shared" ref="F596:F659" si="122">G596&amp;J596</f>
        <v>33RIO AVE CARNEIROS 01 SPE LTDA.</v>
      </c>
      <c r="G596" s="18">
        <f t="shared" si="113"/>
        <v>33</v>
      </c>
      <c r="H596" s="19" t="str">
        <f t="shared" ref="H596:H659" si="123">I596&amp;J596</f>
        <v>37RIO AVE CARNEIROS 01 SPE LTDA.</v>
      </c>
      <c r="I596" s="19">
        <f t="shared" si="114"/>
        <v>37</v>
      </c>
      <c r="J596" s="13" t="s">
        <v>61</v>
      </c>
      <c r="K596" s="13" t="s">
        <v>723</v>
      </c>
      <c r="L596" s="13" t="s">
        <v>54</v>
      </c>
      <c r="M596" s="13" t="s">
        <v>55</v>
      </c>
      <c r="N596" s="20">
        <v>1175.67</v>
      </c>
      <c r="O596" s="20">
        <v>1622.13</v>
      </c>
      <c r="P596" s="21">
        <v>45901</v>
      </c>
      <c r="Q596" s="22"/>
      <c r="R596" s="23">
        <v>1622.13</v>
      </c>
      <c r="S596" s="24"/>
      <c r="T596" s="23"/>
      <c r="U596" s="24"/>
      <c r="V596" s="23"/>
      <c r="W596" s="23"/>
      <c r="X596" s="24"/>
      <c r="Y596" s="23"/>
      <c r="Z596" s="23"/>
      <c r="AA596" s="23">
        <v>2.74</v>
      </c>
      <c r="AB596" s="23">
        <v>159.94000000000003</v>
      </c>
      <c r="AC596" s="24">
        <v>1193.6142857142856</v>
      </c>
      <c r="AD596" s="23">
        <v>27.599999999999998</v>
      </c>
      <c r="AE596" s="24">
        <v>367.47142857142859</v>
      </c>
      <c r="AF596" s="23"/>
      <c r="AG596" s="23"/>
      <c r="AH596" s="23">
        <v>12.48</v>
      </c>
      <c r="AI596" s="24">
        <v>0</v>
      </c>
      <c r="AJ596" s="25">
        <v>359.40999999999997</v>
      </c>
      <c r="AK596" s="23">
        <v>78.759999999999991</v>
      </c>
      <c r="AL596" s="23">
        <v>-8.82</v>
      </c>
      <c r="AM596" s="24">
        <v>67</v>
      </c>
      <c r="AN596" s="23"/>
      <c r="AO596" s="24"/>
      <c r="AP596" s="23">
        <v>37.049999999999997</v>
      </c>
      <c r="AQ596" s="24">
        <v>463.81428571428569</v>
      </c>
      <c r="AR596" s="23">
        <v>49.959999999999994</v>
      </c>
      <c r="AS596" s="23">
        <v>-695.2</v>
      </c>
      <c r="AT596" s="23"/>
      <c r="AU596" s="24"/>
      <c r="AW596" s="27">
        <f t="shared" si="115"/>
        <v>359.41059599999994</v>
      </c>
      <c r="AX596" s="27">
        <f t="shared" si="116"/>
        <v>27.600595999999999</v>
      </c>
      <c r="AY596" s="27">
        <f t="shared" si="117"/>
        <v>159.94059600000003</v>
      </c>
      <c r="AZ596" s="27">
        <f t="shared" si="118"/>
        <v>37.050595999999999</v>
      </c>
    </row>
    <row r="597" spans="1:52" ht="15" customHeight="1" x14ac:dyDescent="0.25">
      <c r="A597" s="13" t="str">
        <f>VLOOKUP(L597,[1]VALIDAÇÃO!$D$13:$E$350,2,0)</f>
        <v>DIRETO</v>
      </c>
      <c r="B597" s="14" t="str">
        <f t="shared" si="120"/>
        <v>13RIO AVE 200 SPE LTDA.</v>
      </c>
      <c r="C597" s="15">
        <f t="shared" si="119"/>
        <v>13</v>
      </c>
      <c r="D597" s="16" t="str">
        <f t="shared" si="121"/>
        <v>40RIO AVE 200 SPE LTDA.</v>
      </c>
      <c r="E597" s="17">
        <f t="shared" si="112"/>
        <v>40</v>
      </c>
      <c r="F597" s="18" t="str">
        <f t="shared" si="122"/>
        <v>54RIO AVE 200 SPE LTDA.</v>
      </c>
      <c r="G597" s="18">
        <f t="shared" si="113"/>
        <v>54</v>
      </c>
      <c r="H597" s="19" t="str">
        <f t="shared" si="123"/>
        <v>29RIO AVE 200 SPE LTDA.</v>
      </c>
      <c r="I597" s="19">
        <f t="shared" si="114"/>
        <v>29</v>
      </c>
      <c r="J597" s="13" t="s">
        <v>48</v>
      </c>
      <c r="K597" s="13" t="s">
        <v>724</v>
      </c>
      <c r="L597" s="13" t="s">
        <v>66</v>
      </c>
      <c r="M597" s="13" t="s">
        <v>55</v>
      </c>
      <c r="N597" s="20">
        <v>1801.07</v>
      </c>
      <c r="O597" s="20">
        <v>2156</v>
      </c>
      <c r="P597" s="21">
        <v>45888</v>
      </c>
      <c r="Q597" s="29"/>
      <c r="R597" s="30">
        <v>2156</v>
      </c>
      <c r="S597" s="30"/>
      <c r="T597" s="30"/>
      <c r="U597" s="30"/>
      <c r="V597" s="30"/>
      <c r="W597" s="30"/>
      <c r="X597" s="30"/>
      <c r="Y597" s="30"/>
      <c r="Z597" s="30"/>
      <c r="AA597" s="30">
        <v>2.83</v>
      </c>
      <c r="AB597" s="23"/>
      <c r="AC597" s="24"/>
      <c r="AD597" s="23">
        <v>107.67999999999999</v>
      </c>
      <c r="AE597" s="24">
        <v>674.21428571428567</v>
      </c>
      <c r="AF597" s="30"/>
      <c r="AG597" s="30"/>
      <c r="AH597" s="30">
        <v>13.33</v>
      </c>
      <c r="AI597" s="30">
        <v>0</v>
      </c>
      <c r="AJ597" s="25">
        <v>977.65000000000009</v>
      </c>
      <c r="AK597" s="30">
        <v>213.52</v>
      </c>
      <c r="AL597" s="30"/>
      <c r="AM597" s="30"/>
      <c r="AN597" s="30"/>
      <c r="AO597" s="30"/>
      <c r="AP597" s="23"/>
      <c r="AQ597" s="24"/>
      <c r="AR597" s="30">
        <v>22.57</v>
      </c>
      <c r="AS597" s="30">
        <v>-924</v>
      </c>
      <c r="AT597" s="30"/>
      <c r="AU597" s="30"/>
      <c r="AW597" s="27">
        <f t="shared" si="115"/>
        <v>977.65059700000006</v>
      </c>
      <c r="AX597" s="27">
        <f t="shared" si="116"/>
        <v>107.68059699999999</v>
      </c>
      <c r="AY597" s="27">
        <f t="shared" si="117"/>
        <v>5.9699999999999998E-4</v>
      </c>
      <c r="AZ597" s="27">
        <f t="shared" si="118"/>
        <v>5.9699999999999998E-4</v>
      </c>
    </row>
    <row r="598" spans="1:52" ht="14.25" customHeight="1" x14ac:dyDescent="0.25">
      <c r="A598" s="13" t="str">
        <f>VLOOKUP(L598,[1]VALIDAÇÃO!$D$13:$E$350,2,0)</f>
        <v>DIRETO</v>
      </c>
      <c r="B598" s="14" t="str">
        <f t="shared" si="120"/>
        <v>54CONDOMINIO DO EDIFICIO EMPRESARIAL MARIE CURIE</v>
      </c>
      <c r="C598" s="15">
        <f t="shared" si="119"/>
        <v>54</v>
      </c>
      <c r="D598" s="16" t="str">
        <f t="shared" si="121"/>
        <v>72CONDOMINIO DO EDIFICIO EMPRESARIAL MARIE CURIE</v>
      </c>
      <c r="E598" s="17">
        <f t="shared" si="112"/>
        <v>72</v>
      </c>
      <c r="F598" s="18" t="str">
        <f t="shared" si="122"/>
        <v>86CONDOMINIO DO EDIFICIO EMPRESARIAL MARIE CURIE</v>
      </c>
      <c r="G598" s="18">
        <f t="shared" si="113"/>
        <v>86</v>
      </c>
      <c r="H598" s="19" t="str">
        <f t="shared" si="123"/>
        <v>58CONDOMINIO DO EDIFICIO EMPRESARIAL MARIE CURIE</v>
      </c>
      <c r="I598" s="19">
        <f t="shared" si="114"/>
        <v>58</v>
      </c>
      <c r="J598" s="13" t="s">
        <v>57</v>
      </c>
      <c r="K598" s="13" t="s">
        <v>725</v>
      </c>
      <c r="L598" s="13" t="s">
        <v>54</v>
      </c>
      <c r="M598" s="13" t="s">
        <v>60</v>
      </c>
      <c r="N598" s="20">
        <v>799.57</v>
      </c>
      <c r="O598" s="20">
        <v>1622.13</v>
      </c>
      <c r="P598" s="21">
        <v>45603</v>
      </c>
      <c r="Q598" s="29"/>
      <c r="R598" s="30">
        <v>1622.13</v>
      </c>
      <c r="S598" s="30"/>
      <c r="T598" s="30"/>
      <c r="U598" s="30"/>
      <c r="V598" s="30"/>
      <c r="W598" s="30"/>
      <c r="X598" s="30"/>
      <c r="Y598" s="30"/>
      <c r="Z598" s="30"/>
      <c r="AA598" s="30">
        <v>1.2000000000000002</v>
      </c>
      <c r="AB598" s="23">
        <v>8.8699999999999992</v>
      </c>
      <c r="AC598" s="24">
        <v>50.548571428571428</v>
      </c>
      <c r="AD598" s="23">
        <v>89.09</v>
      </c>
      <c r="AE598" s="24">
        <v>461.01285714285711</v>
      </c>
      <c r="AF598" s="30"/>
      <c r="AG598" s="30"/>
      <c r="AH598" s="30">
        <v>5.48</v>
      </c>
      <c r="AI598" s="30">
        <v>0</v>
      </c>
      <c r="AJ598" s="25">
        <v>489.65</v>
      </c>
      <c r="AK598" s="30">
        <v>103.67</v>
      </c>
      <c r="AL598" s="30">
        <v>-4.7699999999999996</v>
      </c>
      <c r="AM598" s="30">
        <v>36.19</v>
      </c>
      <c r="AN598" s="30">
        <v>-57.93</v>
      </c>
      <c r="AO598" s="30">
        <v>1</v>
      </c>
      <c r="AP598" s="23"/>
      <c r="AQ598" s="24"/>
      <c r="AR598" s="30">
        <v>21.16</v>
      </c>
      <c r="AS598" s="30">
        <v>-695.2</v>
      </c>
      <c r="AT598" s="30">
        <v>-57.93</v>
      </c>
      <c r="AU598" s="30">
        <v>1</v>
      </c>
      <c r="AW598" s="27">
        <f t="shared" si="115"/>
        <v>489.650598</v>
      </c>
      <c r="AX598" s="27">
        <f t="shared" si="116"/>
        <v>89.090598</v>
      </c>
      <c r="AY598" s="27">
        <f t="shared" si="117"/>
        <v>8.8705979999999993</v>
      </c>
      <c r="AZ598" s="27">
        <f t="shared" si="118"/>
        <v>5.9800000000000001E-4</v>
      </c>
    </row>
    <row r="599" spans="1:52" ht="15" customHeight="1" x14ac:dyDescent="0.25">
      <c r="A599" s="13" t="str">
        <f>VLOOKUP(L599,[1]VALIDAÇÃO!$D$13:$E$350,2,0)</f>
        <v>DIRETO</v>
      </c>
      <c r="B599" s="14" t="str">
        <f t="shared" si="120"/>
        <v>9RESERVA DO PAIVA SPE 01 LTDA.</v>
      </c>
      <c r="C599" s="15">
        <f t="shared" si="119"/>
        <v>9</v>
      </c>
      <c r="D599" s="16" t="str">
        <f t="shared" si="121"/>
        <v>49RESERVA DO PAIVA SPE 01 LTDA.</v>
      </c>
      <c r="E599" s="17">
        <f t="shared" si="112"/>
        <v>49</v>
      </c>
      <c r="F599" s="18" t="str">
        <f t="shared" si="122"/>
        <v>47RESERVA DO PAIVA SPE 01 LTDA.</v>
      </c>
      <c r="G599" s="18">
        <f t="shared" si="113"/>
        <v>47</v>
      </c>
      <c r="H599" s="19" t="str">
        <f t="shared" si="123"/>
        <v>24RESERVA DO PAIVA SPE 01 LTDA.</v>
      </c>
      <c r="I599" s="19">
        <f t="shared" si="114"/>
        <v>24</v>
      </c>
      <c r="J599" s="13" t="s">
        <v>68</v>
      </c>
      <c r="K599" s="13" t="s">
        <v>726</v>
      </c>
      <c r="L599" s="13" t="s">
        <v>92</v>
      </c>
      <c r="M599" s="13" t="s">
        <v>55</v>
      </c>
      <c r="N599" s="20">
        <v>2551.94</v>
      </c>
      <c r="O599" s="20">
        <v>2156</v>
      </c>
      <c r="P599" s="21">
        <v>45908</v>
      </c>
      <c r="Q599" s="22"/>
      <c r="R599" s="23">
        <v>2156</v>
      </c>
      <c r="S599" s="24"/>
      <c r="T599" s="23"/>
      <c r="U599" s="24"/>
      <c r="V599" s="23"/>
      <c r="W599" s="23"/>
      <c r="X599" s="24"/>
      <c r="Y599" s="23"/>
      <c r="Z599" s="23"/>
      <c r="AA599" s="23">
        <v>25.96</v>
      </c>
      <c r="AB599" s="23">
        <v>216.85</v>
      </c>
      <c r="AC599" s="24">
        <v>1312.1428571428571</v>
      </c>
      <c r="AD599" s="23">
        <v>148.76</v>
      </c>
      <c r="AE599" s="24">
        <v>920.32857142857142</v>
      </c>
      <c r="AF599" s="23"/>
      <c r="AG599" s="23"/>
      <c r="AH599" s="23">
        <v>114.15</v>
      </c>
      <c r="AI599" s="24">
        <v>0</v>
      </c>
      <c r="AJ599" s="25">
        <v>1167.56</v>
      </c>
      <c r="AK599" s="23">
        <v>259.58</v>
      </c>
      <c r="AL599" s="23"/>
      <c r="AM599" s="24"/>
      <c r="AN599" s="23"/>
      <c r="AO599" s="24"/>
      <c r="AP599" s="23">
        <v>449.61999999999995</v>
      </c>
      <c r="AQ599" s="24">
        <v>1864.8571428571429</v>
      </c>
      <c r="AR599" s="23">
        <v>190.7</v>
      </c>
      <c r="AS599" s="23">
        <v>-924</v>
      </c>
      <c r="AT599" s="23"/>
      <c r="AU599" s="24"/>
      <c r="AW599" s="27">
        <f t="shared" si="115"/>
        <v>1167.5605989999999</v>
      </c>
      <c r="AX599" s="27">
        <f t="shared" si="116"/>
        <v>148.76059899999998</v>
      </c>
      <c r="AY599" s="27">
        <f t="shared" si="117"/>
        <v>216.85059899999999</v>
      </c>
      <c r="AZ599" s="27">
        <f t="shared" si="118"/>
        <v>449.62059899999997</v>
      </c>
    </row>
    <row r="600" spans="1:52" ht="15" customHeight="1" x14ac:dyDescent="0.25">
      <c r="A600" s="13" t="str">
        <f>VLOOKUP(L600,[1]VALIDAÇÃO!$D$13:$E$350,2,0)</f>
        <v>DIRETO</v>
      </c>
      <c r="B600" s="14" t="str">
        <f t="shared" si="120"/>
        <v>135RIO AVE CARNEIROS 01 SPE LTDA.</v>
      </c>
      <c r="C600" s="15">
        <f t="shared" si="119"/>
        <v>135</v>
      </c>
      <c r="D600" s="16" t="str">
        <f t="shared" si="121"/>
        <v>38RIO AVE CARNEIROS 01 SPE LTDA.</v>
      </c>
      <c r="E600" s="17">
        <f t="shared" si="112"/>
        <v>38</v>
      </c>
      <c r="F600" s="18" t="str">
        <f t="shared" si="122"/>
        <v>53RIO AVE CARNEIROS 01 SPE LTDA.</v>
      </c>
      <c r="G600" s="18">
        <f t="shared" si="113"/>
        <v>53</v>
      </c>
      <c r="H600" s="19" t="str">
        <f t="shared" si="123"/>
        <v>43RIO AVE CARNEIROS 01 SPE LTDA.</v>
      </c>
      <c r="I600" s="19">
        <f t="shared" si="114"/>
        <v>43</v>
      </c>
      <c r="J600" s="13" t="s">
        <v>61</v>
      </c>
      <c r="K600" s="13" t="s">
        <v>727</v>
      </c>
      <c r="L600" s="13" t="s">
        <v>54</v>
      </c>
      <c r="M600" s="13" t="s">
        <v>55</v>
      </c>
      <c r="N600" s="20">
        <v>1115.23</v>
      </c>
      <c r="O600" s="20">
        <v>1622.13</v>
      </c>
      <c r="P600" s="21">
        <v>45964</v>
      </c>
      <c r="Q600" s="22"/>
      <c r="R600" s="23">
        <v>1622.13</v>
      </c>
      <c r="S600" s="24"/>
      <c r="T600" s="23"/>
      <c r="U600" s="24"/>
      <c r="V600" s="23"/>
      <c r="W600" s="23"/>
      <c r="X600" s="24"/>
      <c r="Y600" s="23"/>
      <c r="Z600" s="23"/>
      <c r="AA600" s="23"/>
      <c r="AB600" s="23">
        <v>109.68</v>
      </c>
      <c r="AC600" s="24">
        <v>490</v>
      </c>
      <c r="AD600" s="23">
        <v>250.25</v>
      </c>
      <c r="AE600" s="24">
        <v>1118</v>
      </c>
      <c r="AF600" s="23"/>
      <c r="AG600" s="23"/>
      <c r="AH600" s="23"/>
      <c r="AI600" s="24"/>
      <c r="AJ600" s="25"/>
      <c r="AK600" s="23"/>
      <c r="AL600" s="23"/>
      <c r="AM600" s="24"/>
      <c r="AN600" s="23"/>
      <c r="AO600" s="24"/>
      <c r="AP600" s="23">
        <v>34.270000000000003</v>
      </c>
      <c r="AQ600" s="24">
        <v>780.80000000000007</v>
      </c>
      <c r="AR600" s="23">
        <v>87.59</v>
      </c>
      <c r="AS600" s="23">
        <v>-695.2</v>
      </c>
      <c r="AT600" s="23"/>
      <c r="AU600" s="24"/>
      <c r="AW600" s="27">
        <f t="shared" si="115"/>
        <v>5.9999999999999995E-4</v>
      </c>
      <c r="AX600" s="27">
        <f t="shared" si="116"/>
        <v>250.25059999999999</v>
      </c>
      <c r="AY600" s="27">
        <f t="shared" si="117"/>
        <v>109.68060000000001</v>
      </c>
      <c r="AZ600" s="27">
        <f t="shared" si="118"/>
        <v>34.270600000000002</v>
      </c>
    </row>
    <row r="601" spans="1:52" ht="15" customHeight="1" x14ac:dyDescent="0.25">
      <c r="A601" s="13" t="str">
        <f>VLOOKUP(L601,[1]VALIDAÇÃO!$D$13:$E$350,2,0)</f>
        <v>DIRETO</v>
      </c>
      <c r="B601" s="14" t="str">
        <f t="shared" si="120"/>
        <v>6RESERVA DO PAIVA SPE 03 LTDA</v>
      </c>
      <c r="C601" s="15">
        <f t="shared" si="119"/>
        <v>6</v>
      </c>
      <c r="D601" s="16" t="str">
        <f t="shared" si="121"/>
        <v>81RESERVA DO PAIVA SPE 03 LTDA</v>
      </c>
      <c r="E601" s="17">
        <f t="shared" si="112"/>
        <v>81</v>
      </c>
      <c r="F601" s="18" t="str">
        <f t="shared" si="122"/>
        <v>97RESERVA DO PAIVA SPE 03 LTDA</v>
      </c>
      <c r="G601" s="18">
        <f t="shared" si="113"/>
        <v>97</v>
      </c>
      <c r="H601" s="19" t="str">
        <f t="shared" si="123"/>
        <v>91RESERVA DO PAIVA SPE 03 LTDA</v>
      </c>
      <c r="I601" s="19">
        <f t="shared" si="114"/>
        <v>91</v>
      </c>
      <c r="J601" s="13" t="s">
        <v>52</v>
      </c>
      <c r="K601" s="13" t="s">
        <v>728</v>
      </c>
      <c r="L601" s="13" t="s">
        <v>59</v>
      </c>
      <c r="M601" s="13" t="s">
        <v>55</v>
      </c>
      <c r="N601" s="20">
        <v>1723.04</v>
      </c>
      <c r="O601" s="20">
        <v>2156</v>
      </c>
      <c r="P601" s="21">
        <v>45699</v>
      </c>
      <c r="Q601" s="30"/>
      <c r="R601" s="30">
        <v>2156</v>
      </c>
      <c r="S601" s="30"/>
      <c r="T601" s="30"/>
      <c r="U601" s="30"/>
      <c r="V601" s="30"/>
      <c r="W601" s="30"/>
      <c r="X601" s="30"/>
      <c r="Y601" s="30"/>
      <c r="Z601" s="30"/>
      <c r="AA601" s="30">
        <v>4.3600000000000003</v>
      </c>
      <c r="AB601" s="23">
        <v>52.739999999999995</v>
      </c>
      <c r="AC601" s="24">
        <v>249.10000000000002</v>
      </c>
      <c r="AD601" s="23">
        <v>178.44</v>
      </c>
      <c r="AE601" s="24">
        <v>816.81285714285718</v>
      </c>
      <c r="AF601" s="30"/>
      <c r="AG601" s="30"/>
      <c r="AH601" s="30">
        <v>19.21</v>
      </c>
      <c r="AI601" s="30">
        <v>0</v>
      </c>
      <c r="AJ601" s="25">
        <v>1421</v>
      </c>
      <c r="AK601" s="30">
        <v>317.67</v>
      </c>
      <c r="AL601" s="30">
        <v>-81.72999999999999</v>
      </c>
      <c r="AM601" s="30">
        <v>467</v>
      </c>
      <c r="AN601" s="30"/>
      <c r="AO601" s="30"/>
      <c r="AP601" s="23"/>
      <c r="AQ601" s="24"/>
      <c r="AR601" s="30">
        <v>49.62</v>
      </c>
      <c r="AS601" s="30">
        <v>-924</v>
      </c>
      <c r="AT601" s="30"/>
      <c r="AU601" s="30"/>
      <c r="AW601" s="27">
        <f t="shared" si="115"/>
        <v>1421.000601</v>
      </c>
      <c r="AX601" s="27">
        <f t="shared" si="116"/>
        <v>178.44060099999999</v>
      </c>
      <c r="AY601" s="27">
        <f t="shared" si="117"/>
        <v>52.740600999999998</v>
      </c>
      <c r="AZ601" s="27">
        <f t="shared" si="118"/>
        <v>6.0099999999999997E-4</v>
      </c>
    </row>
    <row r="602" spans="1:52" ht="15" customHeight="1" x14ac:dyDescent="0.25">
      <c r="A602" s="13" t="str">
        <f>VLOOKUP(L602,[1]VALIDAÇÃO!$D$13:$E$350,2,0)</f>
        <v>DIRETO</v>
      </c>
      <c r="B602" s="14" t="str">
        <f t="shared" si="120"/>
        <v>1RIO AVE 130 SPE LTDA</v>
      </c>
      <c r="C602" s="15">
        <f t="shared" si="119"/>
        <v>1</v>
      </c>
      <c r="D602" s="16" t="str">
        <f t="shared" si="121"/>
        <v>19RIO AVE 130 SPE LTDA</v>
      </c>
      <c r="E602" s="17">
        <f t="shared" si="112"/>
        <v>19</v>
      </c>
      <c r="F602" s="18" t="str">
        <f t="shared" si="122"/>
        <v>54RIO AVE 130 SPE LTDA</v>
      </c>
      <c r="G602" s="18">
        <f t="shared" si="113"/>
        <v>54</v>
      </c>
      <c r="H602" s="19" t="str">
        <f t="shared" si="123"/>
        <v>44RIO AVE 130 SPE LTDA</v>
      </c>
      <c r="I602" s="19">
        <f t="shared" si="114"/>
        <v>44</v>
      </c>
      <c r="J602" s="13" t="s">
        <v>102</v>
      </c>
      <c r="K602" s="13" t="s">
        <v>729</v>
      </c>
      <c r="L602" s="13" t="s">
        <v>63</v>
      </c>
      <c r="M602" s="13" t="s">
        <v>55</v>
      </c>
      <c r="N602" s="20">
        <v>2287.9</v>
      </c>
      <c r="O602" s="20">
        <v>2156</v>
      </c>
      <c r="P602" s="21">
        <v>45341</v>
      </c>
      <c r="Q602" s="30"/>
      <c r="R602" s="30">
        <v>2156</v>
      </c>
      <c r="S602" s="30"/>
      <c r="T602" s="30"/>
      <c r="U602" s="30"/>
      <c r="V602" s="30"/>
      <c r="W602" s="30"/>
      <c r="X602" s="30"/>
      <c r="Y602" s="30"/>
      <c r="Z602" s="30"/>
      <c r="AA602" s="30">
        <v>13.120000000000001</v>
      </c>
      <c r="AB602" s="23">
        <v>0.15</v>
      </c>
      <c r="AC602" s="24">
        <v>0.49</v>
      </c>
      <c r="AD602" s="23">
        <v>492.54999999999995</v>
      </c>
      <c r="AE602" s="24">
        <v>1771.2085714285715</v>
      </c>
      <c r="AF602" s="30"/>
      <c r="AG602" s="30"/>
      <c r="AH602" s="30">
        <v>59.93</v>
      </c>
      <c r="AI602" s="30">
        <v>0</v>
      </c>
      <c r="AJ602" s="25">
        <v>1423.23</v>
      </c>
      <c r="AK602" s="30">
        <v>313.51</v>
      </c>
      <c r="AL602" s="30">
        <v>-16.100000000000001</v>
      </c>
      <c r="AM602" s="30">
        <v>92</v>
      </c>
      <c r="AN602" s="30"/>
      <c r="AO602" s="30"/>
      <c r="AP602" s="23"/>
      <c r="AQ602" s="24"/>
      <c r="AR602" s="30">
        <v>107.44</v>
      </c>
      <c r="AS602" s="30">
        <v>-1048</v>
      </c>
      <c r="AT602" s="30"/>
      <c r="AU602" s="30"/>
      <c r="AW602" s="27">
        <f t="shared" si="115"/>
        <v>1423.2306020000001</v>
      </c>
      <c r="AX602" s="27">
        <f t="shared" si="116"/>
        <v>492.55060199999997</v>
      </c>
      <c r="AY602" s="27">
        <f t="shared" si="117"/>
        <v>0.15060199999999999</v>
      </c>
      <c r="AZ602" s="27">
        <f t="shared" si="118"/>
        <v>6.02E-4</v>
      </c>
    </row>
    <row r="603" spans="1:52" ht="15" customHeight="1" x14ac:dyDescent="0.25">
      <c r="A603" s="13" t="str">
        <f>VLOOKUP(L603,[1]VALIDAÇÃO!$D$13:$E$350,2,0)</f>
        <v>INDIRETO</v>
      </c>
      <c r="B603" s="14" t="str">
        <f t="shared" si="120"/>
        <v>22RIO AVE PRAIA HOTEL SPE LTDA.</v>
      </c>
      <c r="C603" s="15">
        <f t="shared" si="119"/>
        <v>22</v>
      </c>
      <c r="D603" s="16" t="str">
        <f t="shared" si="121"/>
        <v>1RIO AVE PRAIA HOTEL SPE LTDA.</v>
      </c>
      <c r="E603" s="17">
        <f t="shared" si="112"/>
        <v>1</v>
      </c>
      <c r="F603" s="18" t="str">
        <f t="shared" si="122"/>
        <v>1RIO AVE PRAIA HOTEL SPE LTDA.</v>
      </c>
      <c r="G603" s="18">
        <f t="shared" si="113"/>
        <v>1</v>
      </c>
      <c r="H603" s="19" t="str">
        <f t="shared" si="123"/>
        <v>5RIO AVE PRAIA HOTEL SPE LTDA.</v>
      </c>
      <c r="I603" s="19">
        <f t="shared" si="114"/>
        <v>5</v>
      </c>
      <c r="J603" s="13" t="s">
        <v>80</v>
      </c>
      <c r="K603" s="13" t="s">
        <v>730</v>
      </c>
      <c r="L603" s="13" t="s">
        <v>162</v>
      </c>
      <c r="M603" s="13" t="s">
        <v>82</v>
      </c>
      <c r="N603" s="20">
        <v>3324.98</v>
      </c>
      <c r="O603" s="20">
        <v>3548.19</v>
      </c>
      <c r="P603" s="21">
        <v>45432</v>
      </c>
      <c r="Q603" s="29"/>
      <c r="R603" s="30">
        <v>3548.19</v>
      </c>
      <c r="S603" s="30"/>
      <c r="T603" s="30"/>
      <c r="U603" s="30"/>
      <c r="V603" s="30"/>
      <c r="W603" s="30"/>
      <c r="X603" s="30"/>
      <c r="Y603" s="30"/>
      <c r="Z603" s="30"/>
      <c r="AA603" s="30"/>
      <c r="AB603" s="23">
        <v>981.16</v>
      </c>
      <c r="AC603" s="24">
        <v>2063.7399999999998</v>
      </c>
      <c r="AD603" s="23">
        <v>1689.25</v>
      </c>
      <c r="AE603" s="24">
        <v>3647.8057142857142</v>
      </c>
      <c r="AF603" s="30"/>
      <c r="AG603" s="30"/>
      <c r="AH603" s="30"/>
      <c r="AI603" s="30"/>
      <c r="AJ603" s="25"/>
      <c r="AK603" s="30"/>
      <c r="AL603" s="30">
        <v>-82.13</v>
      </c>
      <c r="AM603" s="30">
        <v>275</v>
      </c>
      <c r="AN603" s="30"/>
      <c r="AO603" s="30"/>
      <c r="AP603" s="23">
        <v>704.36999999999989</v>
      </c>
      <c r="AQ603" s="24">
        <v>1179.18</v>
      </c>
      <c r="AR603" s="30">
        <v>717.44999999999993</v>
      </c>
      <c r="AS603" s="30">
        <v>-1576.97</v>
      </c>
      <c r="AT603" s="30"/>
      <c r="AU603" s="30"/>
      <c r="AW603" s="27">
        <f t="shared" si="115"/>
        <v>6.0300000000000002E-4</v>
      </c>
      <c r="AX603" s="27">
        <f t="shared" si="116"/>
        <v>1689.250603</v>
      </c>
      <c r="AY603" s="27">
        <f t="shared" si="117"/>
        <v>981.16060299999992</v>
      </c>
      <c r="AZ603" s="27">
        <f t="shared" si="118"/>
        <v>704.37060299999985</v>
      </c>
    </row>
    <row r="604" spans="1:52" ht="15" customHeight="1" x14ac:dyDescent="0.25">
      <c r="A604" s="13" t="str">
        <f>VLOOKUP(L604,[1]VALIDAÇÃO!$D$13:$E$350,2,0)</f>
        <v>DIRETO</v>
      </c>
      <c r="B604" s="14" t="str">
        <f t="shared" si="120"/>
        <v>75RESERVA DO PAIVA SPE 03 LTDA</v>
      </c>
      <c r="C604" s="15">
        <f t="shared" si="119"/>
        <v>75</v>
      </c>
      <c r="D604" s="16" t="str">
        <f t="shared" si="121"/>
        <v>114RESERVA DO PAIVA SPE 03 LTDA</v>
      </c>
      <c r="E604" s="17">
        <f t="shared" si="112"/>
        <v>114</v>
      </c>
      <c r="F604" s="18" t="str">
        <f t="shared" si="122"/>
        <v>29RESERVA DO PAIVA SPE 03 LTDA</v>
      </c>
      <c r="G604" s="18">
        <f t="shared" si="113"/>
        <v>29</v>
      </c>
      <c r="H604" s="19" t="str">
        <f t="shared" si="123"/>
        <v>16RESERVA DO PAIVA SPE 03 LTDA</v>
      </c>
      <c r="I604" s="19">
        <f t="shared" si="114"/>
        <v>16</v>
      </c>
      <c r="J604" s="13" t="s">
        <v>52</v>
      </c>
      <c r="K604" s="13" t="s">
        <v>731</v>
      </c>
      <c r="L604" s="13" t="s">
        <v>54</v>
      </c>
      <c r="M604" s="13" t="s">
        <v>55</v>
      </c>
      <c r="N604" s="20">
        <v>1545.72</v>
      </c>
      <c r="O604" s="20">
        <v>1622.13</v>
      </c>
      <c r="P604" s="21">
        <v>45931</v>
      </c>
      <c r="Q604" s="30"/>
      <c r="R604" s="30">
        <v>1622.13</v>
      </c>
      <c r="S604" s="30"/>
      <c r="T604" s="30"/>
      <c r="U604" s="30"/>
      <c r="V604" s="30"/>
      <c r="W604" s="30"/>
      <c r="X604" s="30"/>
      <c r="Y604" s="30"/>
      <c r="Z604" s="30"/>
      <c r="AA604" s="30">
        <v>5.3599999999999994</v>
      </c>
      <c r="AB604" s="23">
        <v>272.15000000000003</v>
      </c>
      <c r="AC604" s="23">
        <v>1995.1428571428571</v>
      </c>
      <c r="AD604" s="23">
        <v>81.010000000000005</v>
      </c>
      <c r="AE604" s="23">
        <v>367.85714285714283</v>
      </c>
      <c r="AF604" s="23"/>
      <c r="AG604" s="23"/>
      <c r="AH604" s="23">
        <v>24.06</v>
      </c>
      <c r="AI604" s="23">
        <v>0</v>
      </c>
      <c r="AJ604" s="25">
        <v>178.52999999999997</v>
      </c>
      <c r="AK604" s="23">
        <v>40.060000000000009</v>
      </c>
      <c r="AL604" s="23"/>
      <c r="AM604" s="23"/>
      <c r="AN604" s="23"/>
      <c r="AO604" s="23"/>
      <c r="AP604" s="23">
        <v>377.6</v>
      </c>
      <c r="AQ604" s="23">
        <v>1914.4285714285716</v>
      </c>
      <c r="AR604" s="30">
        <v>166.17</v>
      </c>
      <c r="AS604" s="30">
        <v>-695.2</v>
      </c>
      <c r="AT604" s="30"/>
      <c r="AU604" s="30"/>
      <c r="AW604" s="27">
        <f t="shared" si="115"/>
        <v>178.53060399999998</v>
      </c>
      <c r="AX604" s="27">
        <f t="shared" si="116"/>
        <v>81.010604000000001</v>
      </c>
      <c r="AY604" s="27">
        <f t="shared" si="117"/>
        <v>272.15060400000004</v>
      </c>
      <c r="AZ604" s="27">
        <f t="shared" si="118"/>
        <v>377.60060400000003</v>
      </c>
    </row>
    <row r="605" spans="1:52" ht="15" customHeight="1" x14ac:dyDescent="0.25">
      <c r="A605" s="13" t="str">
        <f>VLOOKUP(L605,[1]VALIDAÇÃO!$D$13:$E$350,2,0)</f>
        <v>DIRETO</v>
      </c>
      <c r="B605" s="14" t="str">
        <f t="shared" si="120"/>
        <v>18RIO AVE PRAIA HOTEL SPE LTDA.</v>
      </c>
      <c r="C605" s="15">
        <f t="shared" si="119"/>
        <v>18</v>
      </c>
      <c r="D605" s="16" t="str">
        <f t="shared" si="121"/>
        <v>10RIO AVE PRAIA HOTEL SPE LTDA.</v>
      </c>
      <c r="E605" s="17">
        <f t="shared" si="112"/>
        <v>10</v>
      </c>
      <c r="F605" s="18" t="str">
        <f t="shared" si="122"/>
        <v>12RIO AVE PRAIA HOTEL SPE LTDA.</v>
      </c>
      <c r="G605" s="18">
        <f t="shared" si="113"/>
        <v>12</v>
      </c>
      <c r="H605" s="19" t="str">
        <f t="shared" si="123"/>
        <v>7RIO AVE PRAIA HOTEL SPE LTDA.</v>
      </c>
      <c r="I605" s="19">
        <f t="shared" si="114"/>
        <v>7</v>
      </c>
      <c r="J605" s="13" t="s">
        <v>80</v>
      </c>
      <c r="K605" s="13" t="s">
        <v>732</v>
      </c>
      <c r="L605" s="13" t="s">
        <v>54</v>
      </c>
      <c r="M605" s="13" t="s">
        <v>82</v>
      </c>
      <c r="N605" s="20">
        <v>1445.85</v>
      </c>
      <c r="O605" s="20">
        <v>1564.2</v>
      </c>
      <c r="P605" s="21">
        <v>44797</v>
      </c>
      <c r="Q605" s="30"/>
      <c r="R605" s="30">
        <v>1564.2</v>
      </c>
      <c r="S605" s="30"/>
      <c r="T605" s="30"/>
      <c r="U605" s="30"/>
      <c r="V605" s="30"/>
      <c r="W605" s="30"/>
      <c r="X605" s="30"/>
      <c r="Y605" s="30"/>
      <c r="Z605" s="30"/>
      <c r="AA605" s="30">
        <v>1.45</v>
      </c>
      <c r="AB605" s="23">
        <v>340.51</v>
      </c>
      <c r="AC605" s="23">
        <v>1787.7942857142857</v>
      </c>
      <c r="AD605" s="23">
        <v>342.74</v>
      </c>
      <c r="AE605" s="23">
        <v>1823.9342857142858</v>
      </c>
      <c r="AF605" s="23"/>
      <c r="AG605" s="23"/>
      <c r="AH605" s="23">
        <v>6.83</v>
      </c>
      <c r="AI605" s="23">
        <v>0</v>
      </c>
      <c r="AJ605" s="25">
        <v>64.540000000000006</v>
      </c>
      <c r="AK605" s="23">
        <v>13.479999999999999</v>
      </c>
      <c r="AL605" s="23"/>
      <c r="AM605" s="23"/>
      <c r="AN605" s="23"/>
      <c r="AO605" s="23"/>
      <c r="AP605" s="23">
        <v>615.37</v>
      </c>
      <c r="AQ605" s="23">
        <v>2385</v>
      </c>
      <c r="AR605" s="30">
        <v>271.89</v>
      </c>
      <c r="AS605" s="30">
        <v>-695.2</v>
      </c>
      <c r="AT605" s="30"/>
      <c r="AU605" s="30"/>
      <c r="AW605" s="27">
        <f t="shared" si="115"/>
        <v>64.540604999999999</v>
      </c>
      <c r="AX605" s="27">
        <f t="shared" si="116"/>
        <v>342.74060500000002</v>
      </c>
      <c r="AY605" s="27">
        <f t="shared" si="117"/>
        <v>340.510605</v>
      </c>
      <c r="AZ605" s="27">
        <f t="shared" si="118"/>
        <v>615.37060499999995</v>
      </c>
    </row>
    <row r="606" spans="1:52" ht="15" customHeight="1" x14ac:dyDescent="0.25">
      <c r="A606" s="13" t="str">
        <f>VLOOKUP(L606,[1]VALIDAÇÃO!$D$13:$E$350,2,0)</f>
        <v>INDIRETO</v>
      </c>
      <c r="B606" s="14" t="str">
        <f t="shared" si="120"/>
        <v>75RESERVA DO PAIVA SPE 01 LTDA.</v>
      </c>
      <c r="C606" s="15">
        <f t="shared" si="119"/>
        <v>75</v>
      </c>
      <c r="D606" s="16" t="str">
        <f t="shared" si="121"/>
        <v>5RESERVA DO PAIVA SPE 01 LTDA.</v>
      </c>
      <c r="E606" s="17">
        <f t="shared" si="112"/>
        <v>5</v>
      </c>
      <c r="F606" s="18" t="str">
        <f t="shared" si="122"/>
        <v>4RESERVA DO PAIVA SPE 01 LTDA.</v>
      </c>
      <c r="G606" s="18">
        <f t="shared" si="113"/>
        <v>4</v>
      </c>
      <c r="H606" s="19" t="str">
        <f t="shared" si="123"/>
        <v>1RESERVA DO PAIVA SPE 01 LTDA.</v>
      </c>
      <c r="I606" s="19">
        <f t="shared" si="114"/>
        <v>1</v>
      </c>
      <c r="J606" s="13" t="s">
        <v>68</v>
      </c>
      <c r="K606" s="13" t="s">
        <v>733</v>
      </c>
      <c r="L606" s="13" t="s">
        <v>162</v>
      </c>
      <c r="M606" s="13" t="s">
        <v>85</v>
      </c>
      <c r="N606" s="20">
        <v>3772.78</v>
      </c>
      <c r="O606" s="20">
        <v>3679.6</v>
      </c>
      <c r="P606" s="21">
        <v>45446</v>
      </c>
      <c r="Q606" s="30"/>
      <c r="R606" s="30">
        <v>3679.6</v>
      </c>
      <c r="S606" s="30"/>
      <c r="T606" s="30"/>
      <c r="U606" s="30"/>
      <c r="V606" s="30"/>
      <c r="W606" s="30"/>
      <c r="X606" s="30"/>
      <c r="Y606" s="30"/>
      <c r="Z606" s="30"/>
      <c r="AA606" s="30"/>
      <c r="AB606" s="23">
        <v>937.2</v>
      </c>
      <c r="AC606" s="23">
        <v>1994.3757142857144</v>
      </c>
      <c r="AD606" s="23">
        <v>1145.3</v>
      </c>
      <c r="AE606" s="23">
        <v>2428.005714285714</v>
      </c>
      <c r="AF606" s="23"/>
      <c r="AG606" s="23"/>
      <c r="AH606" s="23"/>
      <c r="AI606" s="23"/>
      <c r="AJ606" s="25"/>
      <c r="AK606" s="23"/>
      <c r="AL606" s="23">
        <v>-40.36</v>
      </c>
      <c r="AM606" s="24">
        <v>135.13999999999999</v>
      </c>
      <c r="AN606" s="23"/>
      <c r="AO606" s="23"/>
      <c r="AP606" s="23">
        <v>1274.27</v>
      </c>
      <c r="AQ606" s="23">
        <v>2160.5542857142859</v>
      </c>
      <c r="AR606" s="30">
        <v>724.05</v>
      </c>
      <c r="AS606" s="30">
        <v>-1576.97</v>
      </c>
      <c r="AT606" s="30"/>
      <c r="AU606" s="30"/>
      <c r="AW606" s="27">
        <f t="shared" si="115"/>
        <v>6.0599999999999998E-4</v>
      </c>
      <c r="AX606" s="27">
        <f t="shared" si="116"/>
        <v>1145.300606</v>
      </c>
      <c r="AY606" s="27">
        <f t="shared" si="117"/>
        <v>937.20060599999999</v>
      </c>
      <c r="AZ606" s="27">
        <f t="shared" si="118"/>
        <v>1274.270606</v>
      </c>
    </row>
    <row r="607" spans="1:52" ht="15" customHeight="1" x14ac:dyDescent="0.25">
      <c r="A607" s="13" t="str">
        <f>VLOOKUP(L607,[1]VALIDAÇÃO!$D$13:$E$350,2,0)</f>
        <v>DIRETO</v>
      </c>
      <c r="B607" s="14" t="str">
        <f t="shared" si="120"/>
        <v>37RESERVA DO PAIVA SPE 03 LTDA</v>
      </c>
      <c r="C607" s="15">
        <f t="shared" si="119"/>
        <v>37</v>
      </c>
      <c r="D607" s="16" t="str">
        <f t="shared" si="121"/>
        <v>123RESERVA DO PAIVA SPE 03 LTDA</v>
      </c>
      <c r="E607" s="17">
        <f t="shared" si="112"/>
        <v>123</v>
      </c>
      <c r="F607" s="18" t="str">
        <f t="shared" si="122"/>
        <v>130RESERVA DO PAIVA SPE 03 LTDA</v>
      </c>
      <c r="G607" s="18">
        <f t="shared" si="113"/>
        <v>130</v>
      </c>
      <c r="H607" s="19" t="str">
        <f t="shared" si="123"/>
        <v>90RESERVA DO PAIVA SPE 03 LTDA</v>
      </c>
      <c r="I607" s="19">
        <f t="shared" si="114"/>
        <v>90</v>
      </c>
      <c r="J607" s="13" t="s">
        <v>52</v>
      </c>
      <c r="K607" s="13" t="s">
        <v>734</v>
      </c>
      <c r="L607" s="13" t="s">
        <v>63</v>
      </c>
      <c r="M607" s="13" t="s">
        <v>55</v>
      </c>
      <c r="N607" s="20">
        <v>1483.87</v>
      </c>
      <c r="O607" s="20">
        <v>2156</v>
      </c>
      <c r="P607" s="21">
        <v>45943</v>
      </c>
      <c r="Q607" s="29"/>
      <c r="R607" s="30">
        <v>2156</v>
      </c>
      <c r="S607" s="30"/>
      <c r="T607" s="30"/>
      <c r="U607" s="30"/>
      <c r="V607" s="30"/>
      <c r="W607" s="30"/>
      <c r="X607" s="30"/>
      <c r="Y607" s="30"/>
      <c r="Z607" s="30"/>
      <c r="AA607" s="30">
        <v>0.69</v>
      </c>
      <c r="AB607" s="23"/>
      <c r="AC607" s="23"/>
      <c r="AD607" s="23">
        <v>54.680000000000007</v>
      </c>
      <c r="AE607" s="23">
        <v>257.14285714285711</v>
      </c>
      <c r="AF607" s="23"/>
      <c r="AG607" s="23"/>
      <c r="AH607" s="23">
        <v>3.08</v>
      </c>
      <c r="AI607" s="23">
        <v>0</v>
      </c>
      <c r="AJ607" s="25">
        <v>371.61999999999995</v>
      </c>
      <c r="AK607" s="23">
        <v>84.25</v>
      </c>
      <c r="AL607" s="23"/>
      <c r="AM607" s="23"/>
      <c r="AN607" s="23"/>
      <c r="AO607" s="23"/>
      <c r="AP607" s="23"/>
      <c r="AQ607" s="23"/>
      <c r="AR607" s="30">
        <v>12.48</v>
      </c>
      <c r="AS607" s="30">
        <v>-924</v>
      </c>
      <c r="AT607" s="30"/>
      <c r="AU607" s="30"/>
      <c r="AW607" s="27">
        <f t="shared" si="115"/>
        <v>371.62060699999995</v>
      </c>
      <c r="AX607" s="27">
        <f t="shared" si="116"/>
        <v>54.680607000000009</v>
      </c>
      <c r="AY607" s="27">
        <f t="shared" si="117"/>
        <v>6.0700000000000001E-4</v>
      </c>
      <c r="AZ607" s="27">
        <f t="shared" si="118"/>
        <v>6.0700000000000001E-4</v>
      </c>
    </row>
    <row r="608" spans="1:52" ht="15" customHeight="1" x14ac:dyDescent="0.25">
      <c r="A608" s="13" t="str">
        <f>VLOOKUP(L608,[1]VALIDAÇÃO!$D$13:$E$350,2,0)</f>
        <v>DIRETO</v>
      </c>
      <c r="B608" s="14" t="str">
        <f t="shared" si="120"/>
        <v>70RESERVA DO PAIVA SPE 01 LTDA.</v>
      </c>
      <c r="C608" s="15">
        <f t="shared" si="119"/>
        <v>70</v>
      </c>
      <c r="D608" s="16" t="str">
        <f t="shared" si="121"/>
        <v>52RESERVA DO PAIVA SPE 01 LTDA.</v>
      </c>
      <c r="E608" s="17">
        <f t="shared" si="112"/>
        <v>52</v>
      </c>
      <c r="F608" s="18" t="str">
        <f t="shared" si="122"/>
        <v>76RESERVA DO PAIVA SPE 01 LTDA.</v>
      </c>
      <c r="G608" s="18">
        <f t="shared" si="113"/>
        <v>76</v>
      </c>
      <c r="H608" s="19" t="str">
        <f t="shared" si="123"/>
        <v>76RESERVA DO PAIVA SPE 01 LTDA.</v>
      </c>
      <c r="I608" s="19">
        <f t="shared" si="114"/>
        <v>76</v>
      </c>
      <c r="J608" s="13" t="s">
        <v>68</v>
      </c>
      <c r="K608" s="13" t="s">
        <v>735</v>
      </c>
      <c r="L608" s="13" t="s">
        <v>435</v>
      </c>
      <c r="M608" s="13" t="s">
        <v>55</v>
      </c>
      <c r="N608" s="20">
        <v>918.57</v>
      </c>
      <c r="O608" s="20">
        <v>770</v>
      </c>
      <c r="P608" s="21">
        <v>45670</v>
      </c>
      <c r="Q608" s="30"/>
      <c r="R608" s="30">
        <v>770</v>
      </c>
      <c r="S608" s="30"/>
      <c r="T608" s="30"/>
      <c r="U608" s="30"/>
      <c r="V608" s="30"/>
      <c r="W608" s="30"/>
      <c r="X608" s="30"/>
      <c r="Y608" s="30"/>
      <c r="Z608" s="30"/>
      <c r="AA608" s="30">
        <v>1.97</v>
      </c>
      <c r="AB608" s="23">
        <v>12.200000000000001</v>
      </c>
      <c r="AC608" s="23">
        <v>62.742857142857147</v>
      </c>
      <c r="AD608" s="23">
        <v>136.26</v>
      </c>
      <c r="AE608" s="23">
        <v>701.05714285714282</v>
      </c>
      <c r="AF608" s="23"/>
      <c r="AG608" s="23"/>
      <c r="AH608" s="23">
        <v>9.89</v>
      </c>
      <c r="AI608" s="23">
        <v>0</v>
      </c>
      <c r="AJ608" s="25">
        <v>255.26999999999998</v>
      </c>
      <c r="AK608" s="23">
        <v>55.699999999999996</v>
      </c>
      <c r="AL608" s="23"/>
      <c r="AM608" s="23"/>
      <c r="AN608" s="23"/>
      <c r="AO608" s="23"/>
      <c r="AP608" s="23">
        <v>16.27</v>
      </c>
      <c r="AQ608" s="23">
        <v>71.185714285714283</v>
      </c>
      <c r="AR608" s="30">
        <v>32.18</v>
      </c>
      <c r="AS608" s="30"/>
      <c r="AT608" s="30"/>
      <c r="AU608" s="30"/>
      <c r="AW608" s="27">
        <f t="shared" si="115"/>
        <v>255.27060799999998</v>
      </c>
      <c r="AX608" s="27">
        <f t="shared" si="116"/>
        <v>136.26060799999999</v>
      </c>
      <c r="AY608" s="27">
        <f t="shared" si="117"/>
        <v>12.200608000000001</v>
      </c>
      <c r="AZ608" s="27">
        <f t="shared" si="118"/>
        <v>16.270607999999999</v>
      </c>
    </row>
    <row r="609" spans="1:52" ht="15" customHeight="1" x14ac:dyDescent="0.25">
      <c r="A609" s="13" t="str">
        <f>VLOOKUP(L609,[1]VALIDAÇÃO!$D$13:$E$350,2,0)</f>
        <v>DIRETO</v>
      </c>
      <c r="B609" s="14" t="str">
        <f t="shared" si="120"/>
        <v>42RIO AVE CARNEIROS 01 SPE LTDA.</v>
      </c>
      <c r="C609" s="15">
        <f t="shared" si="119"/>
        <v>42</v>
      </c>
      <c r="D609" s="16" t="str">
        <f t="shared" si="121"/>
        <v>76RIO AVE CARNEIROS 01 SPE LTDA.</v>
      </c>
      <c r="E609" s="17">
        <f t="shared" si="112"/>
        <v>76</v>
      </c>
      <c r="F609" s="18" t="str">
        <f t="shared" si="122"/>
        <v>121RIO AVE CARNEIROS 01 SPE LTDA.</v>
      </c>
      <c r="G609" s="18">
        <f t="shared" si="113"/>
        <v>121</v>
      </c>
      <c r="H609" s="19" t="str">
        <f t="shared" si="123"/>
        <v>96RIO AVE CARNEIROS 01 SPE LTDA.</v>
      </c>
      <c r="I609" s="19">
        <f t="shared" si="114"/>
        <v>96</v>
      </c>
      <c r="J609" s="13" t="s">
        <v>61</v>
      </c>
      <c r="K609" s="13" t="s">
        <v>736</v>
      </c>
      <c r="L609" s="13" t="s">
        <v>66</v>
      </c>
      <c r="M609" s="13" t="s">
        <v>55</v>
      </c>
      <c r="N609" s="20">
        <v>130</v>
      </c>
      <c r="O609" s="20">
        <v>2156</v>
      </c>
      <c r="P609" s="21">
        <v>45810</v>
      </c>
      <c r="Q609" s="29"/>
      <c r="R609" s="30">
        <v>2156</v>
      </c>
      <c r="S609" s="30"/>
      <c r="T609" s="30"/>
      <c r="U609" s="30"/>
      <c r="V609" s="30"/>
      <c r="W609" s="30"/>
      <c r="X609" s="30"/>
      <c r="Y609" s="30"/>
      <c r="Z609" s="30"/>
      <c r="AA609" s="30">
        <v>1.45</v>
      </c>
      <c r="AB609" s="23">
        <v>14.74</v>
      </c>
      <c r="AC609" s="23">
        <v>103.57142857142857</v>
      </c>
      <c r="AD609" s="23">
        <v>56.31</v>
      </c>
      <c r="AE609" s="23">
        <v>321.57142857142856</v>
      </c>
      <c r="AF609" s="23"/>
      <c r="AG609" s="23"/>
      <c r="AH609" s="23">
        <v>7.45</v>
      </c>
      <c r="AI609" s="23">
        <v>0</v>
      </c>
      <c r="AJ609" s="25">
        <v>494.06</v>
      </c>
      <c r="AK609" s="23">
        <v>99.839999999999975</v>
      </c>
      <c r="AL609" s="23">
        <v>-76.47999999999999</v>
      </c>
      <c r="AM609" s="23">
        <v>437</v>
      </c>
      <c r="AN609" s="23">
        <v>-539</v>
      </c>
      <c r="AO609" s="23">
        <v>7</v>
      </c>
      <c r="AP609" s="23"/>
      <c r="AQ609" s="23"/>
      <c r="AR609" s="30">
        <v>14.879999999999999</v>
      </c>
      <c r="AS609" s="30">
        <v>-1048</v>
      </c>
      <c r="AT609" s="30">
        <v>-308</v>
      </c>
      <c r="AU609" s="30">
        <v>4</v>
      </c>
      <c r="AW609" s="27">
        <f t="shared" si="115"/>
        <v>494.060609</v>
      </c>
      <c r="AX609" s="27">
        <f t="shared" si="116"/>
        <v>56.310608999999999</v>
      </c>
      <c r="AY609" s="27">
        <f t="shared" si="117"/>
        <v>14.740609000000001</v>
      </c>
      <c r="AZ609" s="27">
        <f t="shared" si="118"/>
        <v>6.0899999999999995E-4</v>
      </c>
    </row>
    <row r="610" spans="1:52" ht="15" customHeight="1" x14ac:dyDescent="0.25">
      <c r="A610" s="13" t="str">
        <f>VLOOKUP(L610,[1]VALIDAÇÃO!$D$13:$E$350,2,0)</f>
        <v>DIRETO</v>
      </c>
      <c r="B610" s="14" t="str">
        <f t="shared" si="120"/>
        <v>59RESERVA DO PAIVA SPE 03 LTDA</v>
      </c>
      <c r="C610" s="15">
        <f t="shared" si="119"/>
        <v>59</v>
      </c>
      <c r="D610" s="16" t="str">
        <f t="shared" si="121"/>
        <v>95RESERVA DO PAIVA SPE 03 LTDA</v>
      </c>
      <c r="E610" s="17">
        <f t="shared" si="112"/>
        <v>95</v>
      </c>
      <c r="F610" s="18" t="str">
        <f t="shared" si="122"/>
        <v>77RESERVA DO PAIVA SPE 03 LTDA</v>
      </c>
      <c r="G610" s="18">
        <f t="shared" si="113"/>
        <v>77</v>
      </c>
      <c r="H610" s="19" t="str">
        <f t="shared" si="123"/>
        <v>50RESERVA DO PAIVA SPE 03 LTDA</v>
      </c>
      <c r="I610" s="19">
        <f t="shared" si="114"/>
        <v>50</v>
      </c>
      <c r="J610" s="13" t="s">
        <v>52</v>
      </c>
      <c r="K610" s="13" t="s">
        <v>737</v>
      </c>
      <c r="L610" s="13" t="s">
        <v>63</v>
      </c>
      <c r="M610" s="13" t="s">
        <v>55</v>
      </c>
      <c r="N610" s="20">
        <v>664.35</v>
      </c>
      <c r="O610" s="20">
        <v>2156</v>
      </c>
      <c r="P610" s="21">
        <v>45791</v>
      </c>
      <c r="Q610" s="30"/>
      <c r="R610" s="30">
        <v>2156</v>
      </c>
      <c r="S610" s="30"/>
      <c r="T610" s="30"/>
      <c r="U610" s="30"/>
      <c r="V610" s="30"/>
      <c r="W610" s="30">
        <v>0.56000000000000005</v>
      </c>
      <c r="X610" s="30">
        <v>20.91</v>
      </c>
      <c r="Y610" s="30"/>
      <c r="Z610" s="30"/>
      <c r="AA610" s="30">
        <v>2.0499999999999998</v>
      </c>
      <c r="AB610" s="23">
        <v>95.210000000000008</v>
      </c>
      <c r="AC610" s="23">
        <v>596.30000000000007</v>
      </c>
      <c r="AD610" s="23">
        <v>148.98999999999998</v>
      </c>
      <c r="AE610" s="23">
        <v>881.19857142857143</v>
      </c>
      <c r="AF610" s="23"/>
      <c r="AG610" s="23"/>
      <c r="AH610" s="23">
        <v>9.27</v>
      </c>
      <c r="AI610" s="23">
        <v>0</v>
      </c>
      <c r="AJ610" s="25">
        <v>239.88</v>
      </c>
      <c r="AK610" s="23">
        <v>52.970000000000006</v>
      </c>
      <c r="AL610" s="23"/>
      <c r="AM610" s="23"/>
      <c r="AN610" s="23">
        <v>-231</v>
      </c>
      <c r="AO610" s="23">
        <v>3</v>
      </c>
      <c r="AP610" s="23">
        <v>71.39</v>
      </c>
      <c r="AQ610" s="23">
        <v>380.07142857142856</v>
      </c>
      <c r="AR610" s="30">
        <v>72.89</v>
      </c>
      <c r="AS610" s="30">
        <v>-924</v>
      </c>
      <c r="AT610" s="30">
        <v>-308</v>
      </c>
      <c r="AU610" s="30">
        <v>4</v>
      </c>
      <c r="AW610" s="27">
        <f t="shared" si="115"/>
        <v>239.88060999999999</v>
      </c>
      <c r="AX610" s="27">
        <f t="shared" si="116"/>
        <v>148.99060999999998</v>
      </c>
      <c r="AY610" s="27">
        <f t="shared" si="117"/>
        <v>95.210610000000003</v>
      </c>
      <c r="AZ610" s="27">
        <f t="shared" si="118"/>
        <v>71.390609999999995</v>
      </c>
    </row>
    <row r="611" spans="1:52" ht="15" customHeight="1" x14ac:dyDescent="0.25">
      <c r="A611" s="13" t="str">
        <f>VLOOKUP(L611,[1]VALIDAÇÃO!$D$13:$E$350,2,0)</f>
        <v>DIRETO</v>
      </c>
      <c r="B611" s="14" t="str">
        <f t="shared" si="120"/>
        <v>40RIO AVE 130 SPE LTDA</v>
      </c>
      <c r="C611" s="15">
        <f t="shared" si="119"/>
        <v>40</v>
      </c>
      <c r="D611" s="16" t="str">
        <f t="shared" si="121"/>
        <v>14RIO AVE 130 SPE LTDA</v>
      </c>
      <c r="E611" s="17">
        <f t="shared" si="112"/>
        <v>14</v>
      </c>
      <c r="F611" s="18" t="str">
        <f t="shared" si="122"/>
        <v>42RIO AVE 130 SPE LTDA</v>
      </c>
      <c r="G611" s="18">
        <f t="shared" si="113"/>
        <v>42</v>
      </c>
      <c r="H611" s="19" t="str">
        <f t="shared" si="123"/>
        <v>43RIO AVE 130 SPE LTDA</v>
      </c>
      <c r="I611" s="19">
        <f t="shared" si="114"/>
        <v>43</v>
      </c>
      <c r="J611" s="13" t="s">
        <v>102</v>
      </c>
      <c r="K611" s="13" t="s">
        <v>738</v>
      </c>
      <c r="L611" s="13" t="s">
        <v>54</v>
      </c>
      <c r="M611" s="13" t="s">
        <v>55</v>
      </c>
      <c r="N611" s="20">
        <v>1585.78</v>
      </c>
      <c r="O611" s="20">
        <v>1622.13</v>
      </c>
      <c r="P611" s="21">
        <v>45236</v>
      </c>
      <c r="Q611" s="30"/>
      <c r="R611" s="30">
        <v>1622.13</v>
      </c>
      <c r="S611" s="30"/>
      <c r="T611" s="30"/>
      <c r="U611" s="30"/>
      <c r="V611" s="30"/>
      <c r="W611" s="30"/>
      <c r="X611" s="30"/>
      <c r="Y611" s="30"/>
      <c r="Z611" s="30"/>
      <c r="AA611" s="30">
        <v>8.0299999999999994</v>
      </c>
      <c r="AB611" s="23">
        <v>86.41</v>
      </c>
      <c r="AC611" s="23">
        <v>386.05</v>
      </c>
      <c r="AD611" s="23">
        <v>664.56</v>
      </c>
      <c r="AE611" s="23">
        <v>3309.7414285714285</v>
      </c>
      <c r="AF611" s="23"/>
      <c r="AG611" s="23"/>
      <c r="AH611" s="23">
        <v>36.950000000000003</v>
      </c>
      <c r="AI611" s="23">
        <v>0</v>
      </c>
      <c r="AJ611" s="25">
        <v>431.40999999999997</v>
      </c>
      <c r="AK611" s="23">
        <v>93.6</v>
      </c>
      <c r="AL611" s="23">
        <v>-11.32</v>
      </c>
      <c r="AM611" s="23">
        <v>86</v>
      </c>
      <c r="AN611" s="23"/>
      <c r="AO611" s="23"/>
      <c r="AP611" s="23"/>
      <c r="AQ611" s="23"/>
      <c r="AR611" s="30">
        <v>154.63000000000002</v>
      </c>
      <c r="AS611" s="30">
        <v>-890.2</v>
      </c>
      <c r="AT611" s="30"/>
      <c r="AU611" s="30"/>
      <c r="AW611" s="27">
        <f t="shared" si="115"/>
        <v>431.41061099999996</v>
      </c>
      <c r="AX611" s="27">
        <f t="shared" si="116"/>
        <v>664.56061099999999</v>
      </c>
      <c r="AY611" s="27">
        <f t="shared" si="117"/>
        <v>86.410611000000003</v>
      </c>
      <c r="AZ611" s="27">
        <f t="shared" si="118"/>
        <v>6.11E-4</v>
      </c>
    </row>
    <row r="612" spans="1:52" ht="15" customHeight="1" x14ac:dyDescent="0.25">
      <c r="A612" s="13" t="str">
        <f>VLOOKUP(L612,[1]VALIDAÇÃO!$D$13:$E$350,2,0)</f>
        <v>INDIRETO</v>
      </c>
      <c r="B612" s="14" t="str">
        <f t="shared" si="120"/>
        <v>21RIO AVE PRAIA HOTEL SPE LTDA.</v>
      </c>
      <c r="C612" s="15">
        <f t="shared" si="119"/>
        <v>21</v>
      </c>
      <c r="D612" s="16" t="str">
        <f t="shared" si="121"/>
        <v>2RIO AVE PRAIA HOTEL SPE LTDA.</v>
      </c>
      <c r="E612" s="17">
        <f t="shared" si="112"/>
        <v>2</v>
      </c>
      <c r="F612" s="18" t="str">
        <f t="shared" si="122"/>
        <v>2RIO AVE PRAIA HOTEL SPE LTDA.</v>
      </c>
      <c r="G612" s="18">
        <f t="shared" si="113"/>
        <v>2</v>
      </c>
      <c r="H612" s="19" t="str">
        <f t="shared" si="123"/>
        <v>2RIO AVE PRAIA HOTEL SPE LTDA.</v>
      </c>
      <c r="I612" s="19">
        <f t="shared" si="114"/>
        <v>2</v>
      </c>
      <c r="J612" s="13" t="s">
        <v>80</v>
      </c>
      <c r="K612" s="13" t="s">
        <v>739</v>
      </c>
      <c r="L612" s="13" t="s">
        <v>162</v>
      </c>
      <c r="M612" s="13" t="s">
        <v>82</v>
      </c>
      <c r="N612" s="20">
        <v>3681.93</v>
      </c>
      <c r="O612" s="20">
        <v>3942.43</v>
      </c>
      <c r="P612" s="21">
        <v>45313</v>
      </c>
      <c r="Q612" s="30"/>
      <c r="R612" s="30">
        <v>3942.43</v>
      </c>
      <c r="S612" s="30"/>
      <c r="T612" s="30"/>
      <c r="U612" s="30"/>
      <c r="V612" s="30"/>
      <c r="W612" s="30"/>
      <c r="X612" s="30"/>
      <c r="Y612" s="30"/>
      <c r="Z612" s="30"/>
      <c r="AA612" s="30"/>
      <c r="AB612" s="23">
        <v>717.34</v>
      </c>
      <c r="AC612" s="23">
        <v>1412.81</v>
      </c>
      <c r="AD612" s="23">
        <v>1148.9100000000001</v>
      </c>
      <c r="AE612" s="23">
        <v>2262.8000000000002</v>
      </c>
      <c r="AF612" s="23"/>
      <c r="AG612" s="23"/>
      <c r="AH612" s="23"/>
      <c r="AI612" s="23"/>
      <c r="AJ612" s="25"/>
      <c r="AK612" s="23"/>
      <c r="AL612" s="23"/>
      <c r="AM612" s="23"/>
      <c r="AN612" s="23"/>
      <c r="AO612" s="23"/>
      <c r="AP612" s="23">
        <v>736.36</v>
      </c>
      <c r="AQ612" s="23">
        <v>1232.73</v>
      </c>
      <c r="AR612" s="30">
        <v>505.35</v>
      </c>
      <c r="AS612" s="30">
        <v>-1051.31</v>
      </c>
      <c r="AT612" s="30"/>
      <c r="AU612" s="30"/>
      <c r="AW612" s="27">
        <f t="shared" si="115"/>
        <v>6.1200000000000002E-4</v>
      </c>
      <c r="AX612" s="27">
        <f t="shared" si="116"/>
        <v>1148.9106120000001</v>
      </c>
      <c r="AY612" s="27">
        <f t="shared" si="117"/>
        <v>717.34061200000008</v>
      </c>
      <c r="AZ612" s="27">
        <f t="shared" si="118"/>
        <v>736.36061200000006</v>
      </c>
    </row>
    <row r="613" spans="1:52" ht="15" customHeight="1" x14ac:dyDescent="0.25">
      <c r="A613" s="13" t="str">
        <f>VLOOKUP(L613,[1]VALIDAÇÃO!$D$13:$E$350,2,0)</f>
        <v>DIRETO</v>
      </c>
      <c r="B613" s="14" t="str">
        <f t="shared" si="120"/>
        <v>52RIO AVE 130 SPE LTDA</v>
      </c>
      <c r="C613" s="15">
        <f t="shared" si="119"/>
        <v>52</v>
      </c>
      <c r="D613" s="16" t="str">
        <f t="shared" si="121"/>
        <v>43RIO AVE 130 SPE LTDA</v>
      </c>
      <c r="E613" s="17">
        <f t="shared" si="112"/>
        <v>43</v>
      </c>
      <c r="F613" s="18" t="str">
        <f t="shared" si="122"/>
        <v>59RIO AVE 130 SPE LTDA</v>
      </c>
      <c r="G613" s="18">
        <f t="shared" si="113"/>
        <v>59</v>
      </c>
      <c r="H613" s="19" t="str">
        <f t="shared" si="123"/>
        <v>42RIO AVE 130 SPE LTDA</v>
      </c>
      <c r="I613" s="19">
        <f t="shared" si="114"/>
        <v>42</v>
      </c>
      <c r="J613" s="13" t="s">
        <v>102</v>
      </c>
      <c r="K613" s="13" t="s">
        <v>740</v>
      </c>
      <c r="L613" s="13" t="s">
        <v>153</v>
      </c>
      <c r="M613" s="13" t="s">
        <v>55</v>
      </c>
      <c r="N613" s="20">
        <v>9.42</v>
      </c>
      <c r="O613" s="20"/>
      <c r="P613" s="21">
        <v>45691</v>
      </c>
      <c r="Q613" s="29"/>
      <c r="R613" s="30"/>
      <c r="S613" s="30"/>
      <c r="T613" s="30"/>
      <c r="U613" s="30"/>
      <c r="V613" s="30"/>
      <c r="W613" s="30"/>
      <c r="X613" s="30"/>
      <c r="Y613" s="30"/>
      <c r="Z613" s="30"/>
      <c r="AA613" s="30">
        <v>0.2</v>
      </c>
      <c r="AB613" s="23"/>
      <c r="AC613" s="23"/>
      <c r="AD613" s="23">
        <v>14.94</v>
      </c>
      <c r="AE613" s="23">
        <v>86.1</v>
      </c>
      <c r="AF613" s="23"/>
      <c r="AG613" s="23"/>
      <c r="AH613" s="23">
        <v>1.07</v>
      </c>
      <c r="AI613" s="23">
        <v>0</v>
      </c>
      <c r="AJ613" s="25">
        <v>168.58</v>
      </c>
      <c r="AK613" s="23">
        <v>34.979999999999997</v>
      </c>
      <c r="AL613" s="23">
        <v>0</v>
      </c>
      <c r="AM613" s="23">
        <v>8520</v>
      </c>
      <c r="AN613" s="23"/>
      <c r="AO613" s="23"/>
      <c r="AP613" s="23"/>
      <c r="AQ613" s="23"/>
      <c r="AR613" s="30">
        <v>2.85</v>
      </c>
      <c r="AS613" s="30"/>
      <c r="AT613" s="30"/>
      <c r="AU613" s="30"/>
      <c r="AW613" s="27">
        <f t="shared" si="115"/>
        <v>168.580613</v>
      </c>
      <c r="AX613" s="27">
        <f t="shared" si="116"/>
        <v>14.940612999999999</v>
      </c>
      <c r="AY613" s="27">
        <f t="shared" si="117"/>
        <v>6.1300000000000005E-4</v>
      </c>
      <c r="AZ613" s="27">
        <f t="shared" si="118"/>
        <v>6.1300000000000005E-4</v>
      </c>
    </row>
    <row r="614" spans="1:52" ht="15" customHeight="1" x14ac:dyDescent="0.25">
      <c r="A614" s="13" t="str">
        <f>VLOOKUP(L614,[1]VALIDAÇÃO!$D$13:$E$350,2,0)</f>
        <v>INDIRETO</v>
      </c>
      <c r="B614" s="14" t="str">
        <f t="shared" si="120"/>
        <v>115CONDOMINIO DO EDIFICIO EMPRESARIAL MARIE CURIE</v>
      </c>
      <c r="C614" s="15">
        <f t="shared" si="119"/>
        <v>115</v>
      </c>
      <c r="D614" s="16" t="str">
        <f t="shared" si="121"/>
        <v>123CONDOMINIO DO EDIFICIO EMPRESARIAL MARIE CURIE</v>
      </c>
      <c r="E614" s="17">
        <f t="shared" si="112"/>
        <v>123</v>
      </c>
      <c r="F614" s="18" t="str">
        <f t="shared" si="122"/>
        <v>102CONDOMINIO DO EDIFICIO EMPRESARIAL MARIE CURIE</v>
      </c>
      <c r="G614" s="18">
        <f t="shared" si="113"/>
        <v>102</v>
      </c>
      <c r="H614" s="19" t="str">
        <f t="shared" si="123"/>
        <v>57CONDOMINIO DO EDIFICIO EMPRESARIAL MARIE CURIE</v>
      </c>
      <c r="I614" s="19">
        <f t="shared" si="114"/>
        <v>57</v>
      </c>
      <c r="J614" s="13" t="s">
        <v>57</v>
      </c>
      <c r="K614" s="13" t="s">
        <v>741</v>
      </c>
      <c r="L614" s="13" t="s">
        <v>116</v>
      </c>
      <c r="M614" s="13" t="s">
        <v>60</v>
      </c>
      <c r="N614" s="20">
        <v>290.42</v>
      </c>
      <c r="O614" s="20">
        <v>665.46</v>
      </c>
      <c r="P614" s="21">
        <v>45628</v>
      </c>
      <c r="Q614" s="30"/>
      <c r="R614" s="30">
        <v>665.46</v>
      </c>
      <c r="S614" s="30"/>
      <c r="T614" s="30"/>
      <c r="U614" s="30"/>
      <c r="V614" s="30"/>
      <c r="W614" s="30"/>
      <c r="X614" s="30"/>
      <c r="Y614" s="30"/>
      <c r="Z614" s="30"/>
      <c r="AA614" s="30"/>
      <c r="AB614" s="23"/>
      <c r="AC614" s="23"/>
      <c r="AD614" s="23"/>
      <c r="AE614" s="23"/>
      <c r="AF614" s="23"/>
      <c r="AG614" s="23"/>
      <c r="AH614" s="23"/>
      <c r="AI614" s="23"/>
      <c r="AJ614" s="25"/>
      <c r="AK614" s="23"/>
      <c r="AL614" s="23"/>
      <c r="AM614" s="23"/>
      <c r="AN614" s="23"/>
      <c r="AO614" s="23"/>
      <c r="AP614" s="23"/>
      <c r="AQ614" s="23"/>
      <c r="AR614" s="30"/>
      <c r="AS614" s="30">
        <v>-285.2</v>
      </c>
      <c r="AT614" s="30"/>
      <c r="AU614" s="30"/>
      <c r="AW614" s="27">
        <f t="shared" si="115"/>
        <v>6.1399999999999996E-4</v>
      </c>
      <c r="AX614" s="27">
        <f t="shared" si="116"/>
        <v>6.1399999999999996E-4</v>
      </c>
      <c r="AY614" s="27">
        <f t="shared" si="117"/>
        <v>6.1399999999999996E-4</v>
      </c>
      <c r="AZ614" s="27">
        <f t="shared" si="118"/>
        <v>6.1399999999999996E-4</v>
      </c>
    </row>
    <row r="615" spans="1:52" ht="15" customHeight="1" x14ac:dyDescent="0.25">
      <c r="A615" s="13" t="str">
        <f>VLOOKUP(L615,[1]VALIDAÇÃO!$D$13:$E$350,2,0)</f>
        <v>DIRETO</v>
      </c>
      <c r="B615" s="14" t="str">
        <f t="shared" si="120"/>
        <v>106RESERVA DO PAIVA SPE 03 LTDA</v>
      </c>
      <c r="C615" s="15">
        <f t="shared" si="119"/>
        <v>106</v>
      </c>
      <c r="D615" s="16" t="str">
        <f t="shared" si="121"/>
        <v>30RESERVA DO PAIVA SPE 03 LTDA</v>
      </c>
      <c r="E615" s="17">
        <f t="shared" si="112"/>
        <v>30</v>
      </c>
      <c r="F615" s="18" t="str">
        <f t="shared" si="122"/>
        <v>49RESERVA DO PAIVA SPE 03 LTDA</v>
      </c>
      <c r="G615" s="18">
        <f t="shared" si="113"/>
        <v>49</v>
      </c>
      <c r="H615" s="19" t="str">
        <f t="shared" si="123"/>
        <v>33RESERVA DO PAIVA SPE 03 LTDA</v>
      </c>
      <c r="I615" s="19">
        <f t="shared" si="114"/>
        <v>33</v>
      </c>
      <c r="J615" s="13" t="s">
        <v>52</v>
      </c>
      <c r="K615" s="13" t="s">
        <v>742</v>
      </c>
      <c r="L615" s="13" t="s">
        <v>54</v>
      </c>
      <c r="M615" s="13" t="s">
        <v>55</v>
      </c>
      <c r="N615" s="20">
        <v>1113.94</v>
      </c>
      <c r="O615" s="20">
        <v>1622.13</v>
      </c>
      <c r="P615" s="21">
        <v>45839</v>
      </c>
      <c r="Q615" s="29"/>
      <c r="R615" s="30">
        <v>1622.13</v>
      </c>
      <c r="S615" s="30"/>
      <c r="T615" s="30"/>
      <c r="U615" s="30"/>
      <c r="V615" s="30"/>
      <c r="W615" s="30">
        <v>0.49</v>
      </c>
      <c r="X615" s="30">
        <v>31.07</v>
      </c>
      <c r="Y615" s="30"/>
      <c r="Z615" s="30"/>
      <c r="AA615" s="30">
        <v>3.1300000000000003</v>
      </c>
      <c r="AB615" s="23">
        <v>195.77</v>
      </c>
      <c r="AC615" s="23">
        <v>1426.227142857143</v>
      </c>
      <c r="AD615" s="23">
        <v>464.19</v>
      </c>
      <c r="AE615" s="23">
        <v>3455.6985714285715</v>
      </c>
      <c r="AF615" s="23"/>
      <c r="AG615" s="23"/>
      <c r="AH615" s="23">
        <v>13.940000000000001</v>
      </c>
      <c r="AI615" s="23">
        <v>0</v>
      </c>
      <c r="AJ615" s="25">
        <v>106.88000000000001</v>
      </c>
      <c r="AK615" s="23">
        <v>23.96</v>
      </c>
      <c r="AL615" s="23"/>
      <c r="AM615" s="23"/>
      <c r="AN615" s="23">
        <v>-115.87</v>
      </c>
      <c r="AO615" s="23">
        <v>2</v>
      </c>
      <c r="AP615" s="23">
        <v>178.72</v>
      </c>
      <c r="AQ615" s="23">
        <v>952.88428571428574</v>
      </c>
      <c r="AR615" s="30">
        <v>183.98000000000002</v>
      </c>
      <c r="AS615" s="30">
        <v>-695.2</v>
      </c>
      <c r="AT615" s="30">
        <v>-115.87</v>
      </c>
      <c r="AU615" s="30">
        <v>2</v>
      </c>
      <c r="AW615" s="27">
        <f t="shared" si="115"/>
        <v>106.88061500000001</v>
      </c>
      <c r="AX615" s="27">
        <f t="shared" si="116"/>
        <v>464.19061499999998</v>
      </c>
      <c r="AY615" s="27">
        <f t="shared" si="117"/>
        <v>195.77061500000002</v>
      </c>
      <c r="AZ615" s="27">
        <f t="shared" si="118"/>
        <v>178.72061500000001</v>
      </c>
    </row>
    <row r="616" spans="1:52" ht="15" customHeight="1" x14ac:dyDescent="0.25">
      <c r="A616" s="13" t="str">
        <f>VLOOKUP(L616,[1]VALIDAÇÃO!$D$13:$E$350,2,0)</f>
        <v>DIRETO</v>
      </c>
      <c r="B616" s="14" t="str">
        <f t="shared" si="120"/>
        <v>107RESERVA DO PAIVA SPE 03 LTDA</v>
      </c>
      <c r="C616" s="15">
        <f t="shared" si="119"/>
        <v>107</v>
      </c>
      <c r="D616" s="16" t="str">
        <f t="shared" si="121"/>
        <v>88RESERVA DO PAIVA SPE 03 LTDA</v>
      </c>
      <c r="E616" s="17">
        <f t="shared" si="112"/>
        <v>88</v>
      </c>
      <c r="F616" s="18" t="str">
        <f t="shared" si="122"/>
        <v>100RESERVA DO PAIVA SPE 03 LTDA</v>
      </c>
      <c r="G616" s="18">
        <f t="shared" si="113"/>
        <v>100</v>
      </c>
      <c r="H616" s="19" t="str">
        <f t="shared" si="123"/>
        <v>89RESERVA DO PAIVA SPE 03 LTDA</v>
      </c>
      <c r="I616" s="19">
        <f t="shared" si="114"/>
        <v>89</v>
      </c>
      <c r="J616" s="13" t="s">
        <v>52</v>
      </c>
      <c r="K616" s="13" t="s">
        <v>743</v>
      </c>
      <c r="L616" s="13" t="s">
        <v>54</v>
      </c>
      <c r="M616" s="13" t="s">
        <v>55</v>
      </c>
      <c r="N616" s="20">
        <v>887.24</v>
      </c>
      <c r="O616" s="20">
        <v>1622.13</v>
      </c>
      <c r="P616" s="21">
        <v>45887</v>
      </c>
      <c r="Q616" s="29"/>
      <c r="R616" s="30">
        <v>1622.13</v>
      </c>
      <c r="S616" s="30"/>
      <c r="T616" s="30"/>
      <c r="U616" s="30"/>
      <c r="V616" s="30"/>
      <c r="W616" s="30"/>
      <c r="X616" s="30"/>
      <c r="Y616" s="30"/>
      <c r="Z616" s="30"/>
      <c r="AA616" s="30">
        <v>0.97000000000000008</v>
      </c>
      <c r="AB616" s="23">
        <v>46.07</v>
      </c>
      <c r="AC616" s="23">
        <v>678.57142857142856</v>
      </c>
      <c r="AD616" s="23">
        <v>160.43</v>
      </c>
      <c r="AE616" s="23">
        <v>1336.2857142857142</v>
      </c>
      <c r="AF616" s="23"/>
      <c r="AG616" s="23"/>
      <c r="AH616" s="23">
        <v>4.1399999999999997</v>
      </c>
      <c r="AI616" s="23">
        <v>0</v>
      </c>
      <c r="AJ616" s="25">
        <v>103.39</v>
      </c>
      <c r="AK616" s="23">
        <v>23.12</v>
      </c>
      <c r="AL616" s="23">
        <v>-24.23</v>
      </c>
      <c r="AM616" s="23">
        <v>184</v>
      </c>
      <c r="AN616" s="23"/>
      <c r="AO616" s="23"/>
      <c r="AP616" s="23"/>
      <c r="AQ616" s="23"/>
      <c r="AR616" s="30">
        <v>47.61</v>
      </c>
      <c r="AS616" s="30">
        <v>-695.2</v>
      </c>
      <c r="AT616" s="30"/>
      <c r="AU616" s="30"/>
      <c r="AW616" s="27">
        <f t="shared" si="115"/>
        <v>103.39061599999999</v>
      </c>
      <c r="AX616" s="27">
        <f t="shared" si="116"/>
        <v>160.43061600000001</v>
      </c>
      <c r="AY616" s="27">
        <f t="shared" si="117"/>
        <v>46.070616000000001</v>
      </c>
      <c r="AZ616" s="27">
        <f t="shared" si="118"/>
        <v>6.1600000000000001E-4</v>
      </c>
    </row>
    <row r="617" spans="1:52" ht="15" customHeight="1" x14ac:dyDescent="0.25">
      <c r="A617" s="13" t="str">
        <f>VLOOKUP(L617,[1]VALIDAÇÃO!$D$13:$E$350,2,0)</f>
        <v>DIRETO</v>
      </c>
      <c r="B617" s="14" t="str">
        <f t="shared" si="120"/>
        <v>21CONDOMINIO DO EDIFICIO EMPRESARIAL MARIE CURIE</v>
      </c>
      <c r="C617" s="15">
        <f t="shared" si="119"/>
        <v>21</v>
      </c>
      <c r="D617" s="16" t="str">
        <f t="shared" si="121"/>
        <v>117CONDOMINIO DO EDIFICIO EMPRESARIAL MARIE CURIE</v>
      </c>
      <c r="E617" s="17">
        <f t="shared" si="112"/>
        <v>117</v>
      </c>
      <c r="F617" s="18" t="str">
        <f t="shared" si="122"/>
        <v>101CONDOMINIO DO EDIFICIO EMPRESARIAL MARIE CURIE</v>
      </c>
      <c r="G617" s="18">
        <f t="shared" si="113"/>
        <v>101</v>
      </c>
      <c r="H617" s="19" t="str">
        <f t="shared" si="123"/>
        <v>56CONDOMINIO DO EDIFICIO EMPRESARIAL MARIE CURIE</v>
      </c>
      <c r="I617" s="19">
        <f t="shared" si="114"/>
        <v>56</v>
      </c>
      <c r="J617" s="13" t="s">
        <v>57</v>
      </c>
      <c r="K617" s="13" t="s">
        <v>744</v>
      </c>
      <c r="L617" s="13" t="s">
        <v>63</v>
      </c>
      <c r="M617" s="13" t="s">
        <v>60</v>
      </c>
      <c r="N617" s="20">
        <v>3.96</v>
      </c>
      <c r="O617" s="20">
        <v>2156</v>
      </c>
      <c r="P617" s="21">
        <v>45905</v>
      </c>
      <c r="Q617" s="29"/>
      <c r="R617" s="30">
        <v>2156</v>
      </c>
      <c r="S617" s="30"/>
      <c r="T617" s="30"/>
      <c r="U617" s="30"/>
      <c r="V617" s="30"/>
      <c r="W617" s="30"/>
      <c r="X617" s="30"/>
      <c r="Y617" s="30"/>
      <c r="Z617" s="30"/>
      <c r="AA617" s="30">
        <v>0.09</v>
      </c>
      <c r="AB617" s="23"/>
      <c r="AC617" s="23"/>
      <c r="AD617" s="23">
        <v>3.27</v>
      </c>
      <c r="AE617" s="23">
        <v>11</v>
      </c>
      <c r="AF617" s="23"/>
      <c r="AG617" s="23"/>
      <c r="AH617" s="23">
        <v>0.43</v>
      </c>
      <c r="AI617" s="23">
        <v>0</v>
      </c>
      <c r="AJ617" s="25">
        <v>916.54</v>
      </c>
      <c r="AK617" s="23">
        <v>206.89</v>
      </c>
      <c r="AL617" s="23"/>
      <c r="AM617" s="23"/>
      <c r="AN617" s="23"/>
      <c r="AO617" s="23"/>
      <c r="AP617" s="23"/>
      <c r="AQ617" s="23"/>
      <c r="AR617" s="30">
        <v>0.71</v>
      </c>
      <c r="AS617" s="30">
        <v>-924</v>
      </c>
      <c r="AT617" s="30"/>
      <c r="AU617" s="30"/>
      <c r="AW617" s="27">
        <f t="shared" si="115"/>
        <v>916.540617</v>
      </c>
      <c r="AX617" s="27">
        <f t="shared" si="116"/>
        <v>3.2706170000000001</v>
      </c>
      <c r="AY617" s="27">
        <f t="shared" si="117"/>
        <v>6.1700000000000004E-4</v>
      </c>
      <c r="AZ617" s="27">
        <f t="shared" si="118"/>
        <v>6.1700000000000004E-4</v>
      </c>
    </row>
    <row r="618" spans="1:52" ht="15" customHeight="1" x14ac:dyDescent="0.25">
      <c r="A618" s="13" t="str">
        <f>VLOOKUP(L618,[1]VALIDAÇÃO!$D$13:$E$350,2,0)</f>
        <v>DIRETO</v>
      </c>
      <c r="B618" s="14" t="str">
        <f t="shared" si="120"/>
        <v>56RESERVA DO PAIVA SPE 03 LTDA</v>
      </c>
      <c r="C618" s="15">
        <f t="shared" si="119"/>
        <v>56</v>
      </c>
      <c r="D618" s="16" t="str">
        <f t="shared" si="121"/>
        <v>72RESERVA DO PAIVA SPE 03 LTDA</v>
      </c>
      <c r="E618" s="17">
        <f t="shared" si="112"/>
        <v>72</v>
      </c>
      <c r="F618" s="18" t="str">
        <f t="shared" si="122"/>
        <v>71RESERVA DO PAIVA SPE 03 LTDA</v>
      </c>
      <c r="G618" s="18">
        <f t="shared" si="113"/>
        <v>71</v>
      </c>
      <c r="H618" s="19" t="str">
        <f t="shared" si="123"/>
        <v>88RESERVA DO PAIVA SPE 03 LTDA</v>
      </c>
      <c r="I618" s="19">
        <f t="shared" si="114"/>
        <v>88</v>
      </c>
      <c r="J618" s="13" t="s">
        <v>52</v>
      </c>
      <c r="K618" s="13" t="s">
        <v>745</v>
      </c>
      <c r="L618" s="13" t="s">
        <v>54</v>
      </c>
      <c r="M618" s="13" t="s">
        <v>55</v>
      </c>
      <c r="N618" s="20">
        <v>1279.6099999999999</v>
      </c>
      <c r="O618" s="20">
        <v>1622.13</v>
      </c>
      <c r="P618" s="21">
        <v>45903</v>
      </c>
      <c r="Q618" s="30"/>
      <c r="R618" s="30">
        <v>1622.13</v>
      </c>
      <c r="S618" s="30"/>
      <c r="T618" s="30"/>
      <c r="U618" s="30"/>
      <c r="V618" s="30"/>
      <c r="W618" s="30"/>
      <c r="X618" s="30"/>
      <c r="Y618" s="30"/>
      <c r="Z618" s="30"/>
      <c r="AA618" s="30">
        <v>3.36</v>
      </c>
      <c r="AB618" s="23">
        <v>110.5</v>
      </c>
      <c r="AC618" s="23">
        <v>633</v>
      </c>
      <c r="AD618" s="23">
        <v>207.60000000000002</v>
      </c>
      <c r="AE618" s="23">
        <v>1087.0428571428572</v>
      </c>
      <c r="AF618" s="23"/>
      <c r="AG618" s="23"/>
      <c r="AH618" s="23">
        <v>15.06</v>
      </c>
      <c r="AI618" s="23">
        <v>0</v>
      </c>
      <c r="AJ618" s="25">
        <v>246.22000000000003</v>
      </c>
      <c r="AK618" s="23">
        <v>55.78</v>
      </c>
      <c r="AL618" s="23"/>
      <c r="AM618" s="23"/>
      <c r="AN618" s="23"/>
      <c r="AO618" s="23"/>
      <c r="AP618" s="23"/>
      <c r="AQ618" s="23"/>
      <c r="AR618" s="30">
        <v>71.680000000000007</v>
      </c>
      <c r="AS618" s="30">
        <v>-695.2</v>
      </c>
      <c r="AT618" s="30"/>
      <c r="AU618" s="30"/>
      <c r="AW618" s="27">
        <f t="shared" si="115"/>
        <v>246.22061800000003</v>
      </c>
      <c r="AX618" s="27">
        <f t="shared" si="116"/>
        <v>207.60061800000003</v>
      </c>
      <c r="AY618" s="27">
        <f t="shared" si="117"/>
        <v>110.500618</v>
      </c>
      <c r="AZ618" s="27">
        <f t="shared" si="118"/>
        <v>6.1799999999999995E-4</v>
      </c>
    </row>
    <row r="619" spans="1:52" ht="15" customHeight="1" x14ac:dyDescent="0.25">
      <c r="A619" s="13" t="str">
        <f>VLOOKUP(L619,[1]VALIDAÇÃO!$D$13:$E$350,2,0)</f>
        <v>DIRETO</v>
      </c>
      <c r="B619" s="14" t="str">
        <f t="shared" si="120"/>
        <v>7RESERVA DO PAIVA SPE 01 LTDA.</v>
      </c>
      <c r="C619" s="15">
        <f t="shared" si="119"/>
        <v>7</v>
      </c>
      <c r="D619" s="16" t="str">
        <f t="shared" si="121"/>
        <v>59RESERVA DO PAIVA SPE 01 LTDA.</v>
      </c>
      <c r="E619" s="17">
        <f t="shared" si="112"/>
        <v>59</v>
      </c>
      <c r="F619" s="18" t="str">
        <f t="shared" si="122"/>
        <v>15RESERVA DO PAIVA SPE 01 LTDA.</v>
      </c>
      <c r="G619" s="18">
        <f t="shared" si="113"/>
        <v>15</v>
      </c>
      <c r="H619" s="19" t="str">
        <f t="shared" si="123"/>
        <v>12RESERVA DO PAIVA SPE 01 LTDA.</v>
      </c>
      <c r="I619" s="19">
        <f t="shared" si="114"/>
        <v>12</v>
      </c>
      <c r="J619" s="13" t="s">
        <v>68</v>
      </c>
      <c r="K619" s="13" t="s">
        <v>746</v>
      </c>
      <c r="L619" s="13" t="s">
        <v>153</v>
      </c>
      <c r="M619" s="13" t="s">
        <v>55</v>
      </c>
      <c r="N619" s="20">
        <v>2985.97</v>
      </c>
      <c r="O619" s="20">
        <v>2156</v>
      </c>
      <c r="P619" s="21">
        <v>45852</v>
      </c>
      <c r="Q619" s="29"/>
      <c r="R619" s="30">
        <v>2156</v>
      </c>
      <c r="S619" s="30"/>
      <c r="T619" s="30"/>
      <c r="U619" s="30"/>
      <c r="V619" s="30"/>
      <c r="W619" s="30"/>
      <c r="X619" s="30"/>
      <c r="Y619" s="30"/>
      <c r="Z619" s="30"/>
      <c r="AA619" s="30">
        <v>38.010000000000005</v>
      </c>
      <c r="AB619" s="23">
        <v>463.5</v>
      </c>
      <c r="AC619" s="23">
        <v>2199.8685714285716</v>
      </c>
      <c r="AD619" s="23">
        <v>81.75</v>
      </c>
      <c r="AE619" s="23">
        <v>307.54000000000002</v>
      </c>
      <c r="AF619" s="23"/>
      <c r="AG619" s="23"/>
      <c r="AH619" s="23">
        <v>171.82000000000002</v>
      </c>
      <c r="AI619" s="23">
        <v>0</v>
      </c>
      <c r="AJ619" s="25">
        <v>1212.98</v>
      </c>
      <c r="AK619" s="23">
        <v>265.74</v>
      </c>
      <c r="AL619" s="23"/>
      <c r="AM619" s="23"/>
      <c r="AN619" s="23"/>
      <c r="AO619" s="23"/>
      <c r="AP619" s="23">
        <v>670.21</v>
      </c>
      <c r="AQ619" s="23">
        <v>2371.6828571428573</v>
      </c>
      <c r="AR619" s="30">
        <v>270.89999999999998</v>
      </c>
      <c r="AS619" s="30">
        <v>-924</v>
      </c>
      <c r="AT619" s="30"/>
      <c r="AU619" s="30"/>
      <c r="AW619" s="27">
        <f t="shared" si="115"/>
        <v>1212.9806189999999</v>
      </c>
      <c r="AX619" s="27">
        <f t="shared" si="116"/>
        <v>81.750619</v>
      </c>
      <c r="AY619" s="27">
        <f t="shared" si="117"/>
        <v>463.50061899999997</v>
      </c>
      <c r="AZ619" s="27">
        <f t="shared" si="118"/>
        <v>670.21061900000007</v>
      </c>
    </row>
    <row r="620" spans="1:52" ht="15" customHeight="1" x14ac:dyDescent="0.25">
      <c r="A620" s="13" t="str">
        <f>VLOOKUP(L620,[1]VALIDAÇÃO!$D$13:$E$350,2,0)</f>
        <v>DIRETO</v>
      </c>
      <c r="B620" s="14" t="str">
        <f t="shared" si="120"/>
        <v>89RIO AVE CARNEIROS 01 SPE LTDA.</v>
      </c>
      <c r="C620" s="15">
        <f t="shared" si="119"/>
        <v>89</v>
      </c>
      <c r="D620" s="16" t="str">
        <f t="shared" si="121"/>
        <v>9RIO AVE CARNEIROS 01 SPE LTDA.</v>
      </c>
      <c r="E620" s="17">
        <f t="shared" si="112"/>
        <v>9</v>
      </c>
      <c r="F620" s="18" t="str">
        <f t="shared" si="122"/>
        <v>15RIO AVE CARNEIROS 01 SPE LTDA.</v>
      </c>
      <c r="G620" s="18">
        <f t="shared" si="113"/>
        <v>15</v>
      </c>
      <c r="H620" s="19" t="str">
        <f t="shared" si="123"/>
        <v>11RIO AVE CARNEIROS 01 SPE LTDA.</v>
      </c>
      <c r="I620" s="19">
        <f t="shared" si="114"/>
        <v>11</v>
      </c>
      <c r="J620" s="13" t="s">
        <v>61</v>
      </c>
      <c r="K620" s="13" t="s">
        <v>747</v>
      </c>
      <c r="L620" s="13" t="s">
        <v>54</v>
      </c>
      <c r="M620" s="13" t="s">
        <v>55</v>
      </c>
      <c r="N620" s="20">
        <v>1559.68</v>
      </c>
      <c r="O620" s="20">
        <v>1622.13</v>
      </c>
      <c r="P620" s="21">
        <v>45839</v>
      </c>
      <c r="Q620" s="30"/>
      <c r="R620" s="30">
        <v>1622.13</v>
      </c>
      <c r="S620" s="30"/>
      <c r="T620" s="30"/>
      <c r="U620" s="30"/>
      <c r="V620" s="30"/>
      <c r="W620" s="30"/>
      <c r="X620" s="30"/>
      <c r="Y620" s="30"/>
      <c r="Z620" s="30"/>
      <c r="AA620" s="30">
        <v>7.74</v>
      </c>
      <c r="AB620" s="23">
        <v>201.07</v>
      </c>
      <c r="AC620" s="23">
        <v>1469</v>
      </c>
      <c r="AD620" s="23">
        <v>659.22</v>
      </c>
      <c r="AE620" s="23">
        <v>4385.7142857142853</v>
      </c>
      <c r="AF620" s="23"/>
      <c r="AG620" s="23"/>
      <c r="AH620" s="23">
        <v>37.64</v>
      </c>
      <c r="AI620" s="23">
        <v>0</v>
      </c>
      <c r="AJ620" s="25">
        <v>270.2</v>
      </c>
      <c r="AK620" s="23">
        <v>56.89</v>
      </c>
      <c r="AL620" s="23"/>
      <c r="AM620" s="23"/>
      <c r="AN620" s="23"/>
      <c r="AO620" s="23"/>
      <c r="AP620" s="23">
        <v>76.400000000000006</v>
      </c>
      <c r="AQ620" s="23">
        <v>690.85714285714289</v>
      </c>
      <c r="AR620" s="30">
        <v>199.67</v>
      </c>
      <c r="AS620" s="30">
        <v>-695.2</v>
      </c>
      <c r="AT620" s="30"/>
      <c r="AU620" s="30"/>
      <c r="AW620" s="27">
        <f t="shared" si="115"/>
        <v>270.20062000000001</v>
      </c>
      <c r="AX620" s="27">
        <f t="shared" si="116"/>
        <v>659.22062000000005</v>
      </c>
      <c r="AY620" s="27">
        <f t="shared" si="117"/>
        <v>201.07061999999999</v>
      </c>
      <c r="AZ620" s="27">
        <f t="shared" si="118"/>
        <v>76.400620000000004</v>
      </c>
    </row>
    <row r="621" spans="1:52" ht="15" customHeight="1" x14ac:dyDescent="0.25">
      <c r="A621" s="13" t="str">
        <f>VLOOKUP(L621,[1]VALIDAÇÃO!$D$13:$E$350,2,0)</f>
        <v>DIRETO</v>
      </c>
      <c r="B621" s="14" t="str">
        <f t="shared" si="120"/>
        <v>30CONDOMINIO DO EDIFICIO EMPRESARIAL MARIE CURIE</v>
      </c>
      <c r="C621" s="15">
        <f t="shared" si="119"/>
        <v>30</v>
      </c>
      <c r="D621" s="16" t="str">
        <f t="shared" si="121"/>
        <v>92CONDOMINIO DO EDIFICIO EMPRESARIAL MARIE CURIE</v>
      </c>
      <c r="E621" s="17">
        <f t="shared" si="112"/>
        <v>92</v>
      </c>
      <c r="F621" s="18" t="str">
        <f t="shared" si="122"/>
        <v>100CONDOMINIO DO EDIFICIO EMPRESARIAL MARIE CURIE</v>
      </c>
      <c r="G621" s="18">
        <f t="shared" si="113"/>
        <v>100</v>
      </c>
      <c r="H621" s="19" t="str">
        <f t="shared" si="123"/>
        <v>55CONDOMINIO DO EDIFICIO EMPRESARIAL MARIE CURIE</v>
      </c>
      <c r="I621" s="19">
        <f t="shared" si="114"/>
        <v>55</v>
      </c>
      <c r="J621" s="13" t="s">
        <v>57</v>
      </c>
      <c r="K621" s="13" t="s">
        <v>748</v>
      </c>
      <c r="L621" s="13" t="s">
        <v>59</v>
      </c>
      <c r="M621" s="13" t="s">
        <v>60</v>
      </c>
      <c r="N621" s="20">
        <v>1703.33</v>
      </c>
      <c r="O621" s="20">
        <v>2156</v>
      </c>
      <c r="P621" s="21">
        <v>45853</v>
      </c>
      <c r="Q621" s="30"/>
      <c r="R621" s="30">
        <v>2156</v>
      </c>
      <c r="S621" s="30"/>
      <c r="T621" s="30"/>
      <c r="U621" s="30"/>
      <c r="V621" s="30"/>
      <c r="W621" s="30"/>
      <c r="X621" s="30"/>
      <c r="Y621" s="30"/>
      <c r="Z621" s="30"/>
      <c r="AA621" s="30">
        <v>0.61</v>
      </c>
      <c r="AB621" s="23"/>
      <c r="AC621" s="23"/>
      <c r="AD621" s="23">
        <v>42.83</v>
      </c>
      <c r="AE621" s="23">
        <v>342.78571428571428</v>
      </c>
      <c r="AF621" s="23"/>
      <c r="AG621" s="23"/>
      <c r="AH621" s="23">
        <v>3.52</v>
      </c>
      <c r="AI621" s="23">
        <v>0</v>
      </c>
      <c r="AJ621" s="25">
        <v>733.36</v>
      </c>
      <c r="AK621" s="23">
        <v>157.15</v>
      </c>
      <c r="AL621" s="23"/>
      <c r="AM621" s="23"/>
      <c r="AN621" s="23"/>
      <c r="AO621" s="23"/>
      <c r="AP621" s="23"/>
      <c r="AQ621" s="23"/>
      <c r="AR621" s="30">
        <v>7.71</v>
      </c>
      <c r="AS621" s="30">
        <v>-985</v>
      </c>
      <c r="AT621" s="30"/>
      <c r="AU621" s="30"/>
      <c r="AW621" s="27">
        <f t="shared" si="115"/>
        <v>733.36062100000004</v>
      </c>
      <c r="AX621" s="27">
        <f t="shared" si="116"/>
        <v>42.830621000000001</v>
      </c>
      <c r="AY621" s="27">
        <f t="shared" si="117"/>
        <v>6.2100000000000002E-4</v>
      </c>
      <c r="AZ621" s="27">
        <f t="shared" si="118"/>
        <v>6.2100000000000002E-4</v>
      </c>
    </row>
    <row r="622" spans="1:52" ht="15" customHeight="1" x14ac:dyDescent="0.25">
      <c r="A622" s="13" t="str">
        <f>VLOOKUP(L622,[1]VALIDAÇÃO!$D$13:$E$350,2,0)</f>
        <v>DIRETO</v>
      </c>
      <c r="B622" s="14" t="str">
        <f t="shared" si="120"/>
        <v>91RESERVA DO PAIVA SPE 03 LTDA</v>
      </c>
      <c r="C622" s="15">
        <f t="shared" si="119"/>
        <v>91</v>
      </c>
      <c r="D622" s="16" t="str">
        <f t="shared" si="121"/>
        <v>45RESERVA DO PAIVA SPE 03 LTDA</v>
      </c>
      <c r="E622" s="17">
        <f t="shared" si="112"/>
        <v>45</v>
      </c>
      <c r="F622" s="18" t="str">
        <f t="shared" si="122"/>
        <v>41RESERVA DO PAIVA SPE 03 LTDA</v>
      </c>
      <c r="G622" s="18">
        <f t="shared" si="113"/>
        <v>41</v>
      </c>
      <c r="H622" s="19" t="str">
        <f t="shared" si="123"/>
        <v>30RESERVA DO PAIVA SPE 03 LTDA</v>
      </c>
      <c r="I622" s="19">
        <f t="shared" si="114"/>
        <v>30</v>
      </c>
      <c r="J622" s="13" t="s">
        <v>52</v>
      </c>
      <c r="K622" s="13" t="s">
        <v>749</v>
      </c>
      <c r="L622" s="13" t="s">
        <v>54</v>
      </c>
      <c r="M622" s="13" t="s">
        <v>55</v>
      </c>
      <c r="N622" s="20">
        <v>1234.08</v>
      </c>
      <c r="O622" s="20">
        <v>1622.13</v>
      </c>
      <c r="P622" s="21">
        <v>45817</v>
      </c>
      <c r="Q622" s="29"/>
      <c r="R622" s="30">
        <v>1622.13</v>
      </c>
      <c r="S622" s="30"/>
      <c r="T622" s="30"/>
      <c r="U622" s="30"/>
      <c r="V622" s="30"/>
      <c r="W622" s="30">
        <v>0.24</v>
      </c>
      <c r="X622" s="30">
        <v>13.7</v>
      </c>
      <c r="Y622" s="30"/>
      <c r="Z622" s="30"/>
      <c r="AA622" s="30">
        <v>3.61</v>
      </c>
      <c r="AB622" s="23">
        <v>222.66</v>
      </c>
      <c r="AC622" s="23">
        <v>1538.5128571428572</v>
      </c>
      <c r="AD622" s="23">
        <v>336.53999999999996</v>
      </c>
      <c r="AE622" s="23">
        <v>2258.5557142857142</v>
      </c>
      <c r="AF622" s="23"/>
      <c r="AG622" s="23"/>
      <c r="AH622" s="23">
        <v>17.22</v>
      </c>
      <c r="AI622" s="23">
        <v>0</v>
      </c>
      <c r="AJ622" s="25">
        <v>163.12</v>
      </c>
      <c r="AK622" s="23">
        <v>34.880000000000003</v>
      </c>
      <c r="AL622" s="23">
        <v>-5.42</v>
      </c>
      <c r="AM622" s="23">
        <v>41.17</v>
      </c>
      <c r="AN622" s="23">
        <v>-57.93</v>
      </c>
      <c r="AO622" s="23">
        <v>1</v>
      </c>
      <c r="AP622" s="23">
        <v>193.42000000000002</v>
      </c>
      <c r="AQ622" s="23">
        <v>999.87</v>
      </c>
      <c r="AR622" s="30">
        <v>159.20000000000002</v>
      </c>
      <c r="AS622" s="30">
        <v>-695.2</v>
      </c>
      <c r="AT622" s="30">
        <v>-57.93</v>
      </c>
      <c r="AU622" s="30">
        <v>1</v>
      </c>
      <c r="AW622" s="27">
        <f t="shared" si="115"/>
        <v>163.120622</v>
      </c>
      <c r="AX622" s="27">
        <f t="shared" si="116"/>
        <v>336.54062199999998</v>
      </c>
      <c r="AY622" s="27">
        <f t="shared" si="117"/>
        <v>222.66062199999999</v>
      </c>
      <c r="AZ622" s="27">
        <f t="shared" si="118"/>
        <v>193.42062200000001</v>
      </c>
    </row>
    <row r="623" spans="1:52" ht="15" customHeight="1" x14ac:dyDescent="0.25">
      <c r="A623" s="13" t="str">
        <f>VLOOKUP(L623,[1]VALIDAÇÃO!$D$13:$E$350,2,0)</f>
        <v>DIRETO</v>
      </c>
      <c r="B623" s="14" t="str">
        <f t="shared" si="120"/>
        <v>102CONDOMINIO DO EDIFICIO EMPRESARIAL MARIE CURIE</v>
      </c>
      <c r="C623" s="15">
        <f t="shared" si="119"/>
        <v>102</v>
      </c>
      <c r="D623" s="16" t="str">
        <f t="shared" si="121"/>
        <v>17CONDOMINIO DO EDIFICIO EMPRESARIAL MARIE CURIE</v>
      </c>
      <c r="E623" s="17">
        <f t="shared" si="112"/>
        <v>17</v>
      </c>
      <c r="F623" s="18" t="str">
        <f t="shared" si="122"/>
        <v>19CONDOMINIO DO EDIFICIO EMPRESARIAL MARIE CURIE</v>
      </c>
      <c r="G623" s="18">
        <f t="shared" si="113"/>
        <v>19</v>
      </c>
      <c r="H623" s="19" t="str">
        <f t="shared" si="123"/>
        <v>6CONDOMINIO DO EDIFICIO EMPRESARIAL MARIE CURIE</v>
      </c>
      <c r="I623" s="19">
        <f t="shared" si="114"/>
        <v>6</v>
      </c>
      <c r="J623" s="13" t="s">
        <v>57</v>
      </c>
      <c r="K623" s="13" t="s">
        <v>750</v>
      </c>
      <c r="L623" s="13" t="s">
        <v>54</v>
      </c>
      <c r="M623" s="13" t="s">
        <v>60</v>
      </c>
      <c r="N623" s="20">
        <v>1521.57</v>
      </c>
      <c r="O623" s="20">
        <v>1622.13</v>
      </c>
      <c r="P623" s="21">
        <v>45876</v>
      </c>
      <c r="Q623" s="30"/>
      <c r="R623" s="30">
        <v>1622.13</v>
      </c>
      <c r="S623" s="30"/>
      <c r="T623" s="30"/>
      <c r="U623" s="30"/>
      <c r="V623" s="30"/>
      <c r="W623" s="30"/>
      <c r="X623" s="30"/>
      <c r="Y623" s="30"/>
      <c r="Z623" s="30"/>
      <c r="AA623" s="30">
        <v>5.1499999999999995</v>
      </c>
      <c r="AB623" s="23">
        <v>238.97</v>
      </c>
      <c r="AC623" s="23">
        <v>1435.4614285714285</v>
      </c>
      <c r="AD623" s="23">
        <v>319.12</v>
      </c>
      <c r="AE623" s="23">
        <v>1841.5328571428572</v>
      </c>
      <c r="AF623" s="23"/>
      <c r="AG623" s="23"/>
      <c r="AH623" s="23">
        <v>22.95</v>
      </c>
      <c r="AI623" s="23">
        <v>0</v>
      </c>
      <c r="AJ623" s="25">
        <v>168.05</v>
      </c>
      <c r="AK623" s="23">
        <v>36.630000000000003</v>
      </c>
      <c r="AL623" s="23">
        <v>-33.6</v>
      </c>
      <c r="AM623" s="23">
        <v>255.19</v>
      </c>
      <c r="AN623" s="23"/>
      <c r="AO623" s="23"/>
      <c r="AP623" s="23">
        <v>271.01</v>
      </c>
      <c r="AQ623" s="23">
        <v>1325.5471428571429</v>
      </c>
      <c r="AR623" s="30">
        <v>186.51</v>
      </c>
      <c r="AS623" s="30">
        <v>-695.2</v>
      </c>
      <c r="AT623" s="30"/>
      <c r="AU623" s="30"/>
      <c r="AW623" s="27">
        <f t="shared" si="115"/>
        <v>168.050623</v>
      </c>
      <c r="AX623" s="27">
        <f t="shared" si="116"/>
        <v>319.12062300000002</v>
      </c>
      <c r="AY623" s="27">
        <f t="shared" si="117"/>
        <v>238.97062299999999</v>
      </c>
      <c r="AZ623" s="27">
        <f t="shared" si="118"/>
        <v>271.01062300000001</v>
      </c>
    </row>
    <row r="624" spans="1:52" ht="15" customHeight="1" x14ac:dyDescent="0.25">
      <c r="A624" s="13" t="str">
        <f>VLOOKUP(L624,[1]VALIDAÇÃO!$D$13:$E$350,2,0)</f>
        <v>DIRETO</v>
      </c>
      <c r="B624" s="14" t="str">
        <f t="shared" si="120"/>
        <v>34RESERVA DO PAIVA SPE 01 LTDA.</v>
      </c>
      <c r="C624" s="15">
        <f t="shared" si="119"/>
        <v>34</v>
      </c>
      <c r="D624" s="16" t="str">
        <f t="shared" si="121"/>
        <v>70RESERVA DO PAIVA SPE 01 LTDA.</v>
      </c>
      <c r="E624" s="17">
        <f t="shared" si="112"/>
        <v>70</v>
      </c>
      <c r="F624" s="18" t="str">
        <f t="shared" si="122"/>
        <v>34RESERVA DO PAIVA SPE 01 LTDA.</v>
      </c>
      <c r="G624" s="18">
        <f t="shared" si="113"/>
        <v>34</v>
      </c>
      <c r="H624" s="19" t="str">
        <f t="shared" si="123"/>
        <v>56RESERVA DO PAIVA SPE 01 LTDA.</v>
      </c>
      <c r="I624" s="19">
        <f t="shared" si="114"/>
        <v>56</v>
      </c>
      <c r="J624" s="13" t="s">
        <v>68</v>
      </c>
      <c r="K624" s="13" t="s">
        <v>751</v>
      </c>
      <c r="L624" s="13" t="s">
        <v>54</v>
      </c>
      <c r="M624" s="13" t="s">
        <v>55</v>
      </c>
      <c r="N624" s="20">
        <v>1459.84</v>
      </c>
      <c r="O624" s="20">
        <v>1622.13</v>
      </c>
      <c r="P624" s="21">
        <v>44907</v>
      </c>
      <c r="Q624" s="29"/>
      <c r="R624" s="30">
        <v>1622.13</v>
      </c>
      <c r="S624" s="30"/>
      <c r="T624" s="30"/>
      <c r="U624" s="30"/>
      <c r="V624" s="30"/>
      <c r="W624" s="30"/>
      <c r="X624" s="30"/>
      <c r="Y624" s="30"/>
      <c r="Z624" s="30"/>
      <c r="AA624" s="30">
        <v>8.9700000000000006</v>
      </c>
      <c r="AB624" s="23">
        <v>313.73</v>
      </c>
      <c r="AC624" s="23">
        <v>1653.54</v>
      </c>
      <c r="AD624" s="23">
        <v>58.03</v>
      </c>
      <c r="AE624" s="23">
        <v>357.17142857142852</v>
      </c>
      <c r="AF624" s="23"/>
      <c r="AG624" s="23"/>
      <c r="AH624" s="23">
        <v>40.42</v>
      </c>
      <c r="AI624" s="23">
        <v>0</v>
      </c>
      <c r="AJ624" s="25">
        <v>745.04</v>
      </c>
      <c r="AK624" s="23">
        <v>162.28</v>
      </c>
      <c r="AL624" s="23">
        <v>-27.14</v>
      </c>
      <c r="AM624" s="23">
        <v>206.14</v>
      </c>
      <c r="AN624" s="23"/>
      <c r="AO624" s="23"/>
      <c r="AP624" s="23">
        <v>210.85</v>
      </c>
      <c r="AQ624" s="23">
        <v>880.82571428571418</v>
      </c>
      <c r="AR624" s="30">
        <v>128.76999999999998</v>
      </c>
      <c r="AS624" s="30">
        <v>-695.2</v>
      </c>
      <c r="AT624" s="30"/>
      <c r="AU624" s="30"/>
      <c r="AW624" s="27">
        <f t="shared" si="115"/>
        <v>745.04062399999998</v>
      </c>
      <c r="AX624" s="27">
        <f t="shared" si="116"/>
        <v>58.030624000000003</v>
      </c>
      <c r="AY624" s="27">
        <f t="shared" si="117"/>
        <v>313.73062400000003</v>
      </c>
      <c r="AZ624" s="27">
        <f t="shared" si="118"/>
        <v>210.85062399999998</v>
      </c>
    </row>
    <row r="625" spans="1:52" ht="15" customHeight="1" x14ac:dyDescent="0.25">
      <c r="A625" s="13" t="str">
        <f>VLOOKUP(L625,[1]VALIDAÇÃO!$D$13:$E$350,2,0)</f>
        <v>DIRETO</v>
      </c>
      <c r="B625" s="14" t="str">
        <f t="shared" si="120"/>
        <v>134RESERVA DO PAIVA SPE 03 LTDA</v>
      </c>
      <c r="C625" s="15">
        <f t="shared" si="119"/>
        <v>134</v>
      </c>
      <c r="D625" s="16" t="str">
        <f t="shared" si="121"/>
        <v>66RESERVA DO PAIVA SPE 03 LTDA</v>
      </c>
      <c r="E625" s="17">
        <f t="shared" si="112"/>
        <v>66</v>
      </c>
      <c r="F625" s="18" t="str">
        <f t="shared" si="122"/>
        <v>129RESERVA DO PAIVA SPE 03 LTDA</v>
      </c>
      <c r="G625" s="18">
        <f t="shared" si="113"/>
        <v>129</v>
      </c>
      <c r="H625" s="19" t="str">
        <f t="shared" si="123"/>
        <v>87RESERVA DO PAIVA SPE 03 LTDA</v>
      </c>
      <c r="I625" s="19">
        <f t="shared" si="114"/>
        <v>87</v>
      </c>
      <c r="J625" s="13" t="s">
        <v>52</v>
      </c>
      <c r="K625" s="13" t="s">
        <v>752</v>
      </c>
      <c r="L625" s="13" t="s">
        <v>71</v>
      </c>
      <c r="M625" s="13" t="s">
        <v>55</v>
      </c>
      <c r="N625" s="20">
        <v>881.4</v>
      </c>
      <c r="O625" s="20">
        <v>1622.13</v>
      </c>
      <c r="P625" s="21">
        <v>45978</v>
      </c>
      <c r="Q625" s="30"/>
      <c r="R625" s="30">
        <v>1622.13</v>
      </c>
      <c r="S625" s="30"/>
      <c r="T625" s="30"/>
      <c r="U625" s="30"/>
      <c r="V625" s="30"/>
      <c r="W625" s="30"/>
      <c r="X625" s="30"/>
      <c r="Y625" s="30"/>
      <c r="Z625" s="30"/>
      <c r="AA625" s="30"/>
      <c r="AB625" s="23"/>
      <c r="AC625" s="23"/>
      <c r="AD625" s="23">
        <v>251.14</v>
      </c>
      <c r="AE625" s="23">
        <v>1122</v>
      </c>
      <c r="AF625" s="23"/>
      <c r="AG625" s="23"/>
      <c r="AH625" s="23"/>
      <c r="AI625" s="23"/>
      <c r="AJ625" s="25"/>
      <c r="AK625" s="23"/>
      <c r="AL625" s="23">
        <v>-17.91</v>
      </c>
      <c r="AM625" s="23">
        <v>136</v>
      </c>
      <c r="AN625" s="23"/>
      <c r="AO625" s="23"/>
      <c r="AP625" s="23"/>
      <c r="AQ625" s="23"/>
      <c r="AR625" s="30">
        <v>54.6</v>
      </c>
      <c r="AS625" s="30">
        <v>-695.2</v>
      </c>
      <c r="AT625" s="30"/>
      <c r="AU625" s="30"/>
      <c r="AW625" s="27">
        <f t="shared" si="115"/>
        <v>6.2500000000000001E-4</v>
      </c>
      <c r="AX625" s="27">
        <f t="shared" si="116"/>
        <v>251.140625</v>
      </c>
      <c r="AY625" s="27">
        <f t="shared" si="117"/>
        <v>6.2500000000000001E-4</v>
      </c>
      <c r="AZ625" s="27">
        <f t="shared" si="118"/>
        <v>6.2500000000000001E-4</v>
      </c>
    </row>
    <row r="626" spans="1:52" ht="15" customHeight="1" x14ac:dyDescent="0.25">
      <c r="A626" s="13" t="str">
        <f>VLOOKUP(L626,[1]VALIDAÇÃO!$D$13:$E$350,2,0)</f>
        <v>DIRETO</v>
      </c>
      <c r="B626" s="14" t="str">
        <f t="shared" si="120"/>
        <v>4RESERVA DO PAIVA SPE 01 LTDA.</v>
      </c>
      <c r="C626" s="15">
        <f t="shared" si="119"/>
        <v>4</v>
      </c>
      <c r="D626" s="16" t="str">
        <f t="shared" si="121"/>
        <v>13RESERVA DO PAIVA SPE 01 LTDA.</v>
      </c>
      <c r="E626" s="17">
        <f t="shared" si="112"/>
        <v>13</v>
      </c>
      <c r="F626" s="18" t="str">
        <f t="shared" si="122"/>
        <v>6RESERVA DO PAIVA SPE 01 LTDA.</v>
      </c>
      <c r="G626" s="18">
        <f t="shared" si="113"/>
        <v>6</v>
      </c>
      <c r="H626" s="19" t="str">
        <f t="shared" si="123"/>
        <v>17RESERVA DO PAIVA SPE 01 LTDA.</v>
      </c>
      <c r="I626" s="19">
        <f t="shared" si="114"/>
        <v>17</v>
      </c>
      <c r="J626" s="13" t="s">
        <v>68</v>
      </c>
      <c r="K626" s="13" t="s">
        <v>753</v>
      </c>
      <c r="L626" s="13" t="s">
        <v>63</v>
      </c>
      <c r="M626" s="13" t="s">
        <v>55</v>
      </c>
      <c r="N626" s="20">
        <v>2375.62</v>
      </c>
      <c r="O626" s="20">
        <v>1617</v>
      </c>
      <c r="P626" s="21">
        <v>44942</v>
      </c>
      <c r="Q626" s="30"/>
      <c r="R626" s="30">
        <v>1617</v>
      </c>
      <c r="S626" s="30"/>
      <c r="T626" s="30"/>
      <c r="U626" s="30"/>
      <c r="V626" s="30"/>
      <c r="W626" s="30">
        <v>0.68</v>
      </c>
      <c r="X626" s="30">
        <v>19.47</v>
      </c>
      <c r="Y626" s="30"/>
      <c r="Z626" s="30"/>
      <c r="AA626" s="30">
        <v>37.769999999999996</v>
      </c>
      <c r="AB626" s="23">
        <v>580.08000000000004</v>
      </c>
      <c r="AC626" s="23">
        <v>1949.88</v>
      </c>
      <c r="AD626" s="23">
        <v>791.27</v>
      </c>
      <c r="AE626" s="23">
        <v>2659.7599999999998</v>
      </c>
      <c r="AF626" s="23"/>
      <c r="AG626" s="23"/>
      <c r="AH626" s="23">
        <v>198.28</v>
      </c>
      <c r="AI626" s="23">
        <v>0</v>
      </c>
      <c r="AJ626" s="25">
        <v>1269.04</v>
      </c>
      <c r="AK626" s="23">
        <v>235.11</v>
      </c>
      <c r="AL626" s="23"/>
      <c r="AM626" s="23"/>
      <c r="AN626" s="23"/>
      <c r="AO626" s="23"/>
      <c r="AP626" s="23">
        <v>576.04999999999995</v>
      </c>
      <c r="AQ626" s="23">
        <v>1645.8500000000001</v>
      </c>
      <c r="AR626" s="30">
        <v>368.09000000000003</v>
      </c>
      <c r="AS626" s="30">
        <v>-924</v>
      </c>
      <c r="AT626" s="30"/>
      <c r="AU626" s="30"/>
      <c r="AW626" s="27">
        <f t="shared" si="115"/>
        <v>1269.040626</v>
      </c>
      <c r="AX626" s="27">
        <f t="shared" si="116"/>
        <v>791.27062599999999</v>
      </c>
      <c r="AY626" s="27">
        <f t="shared" si="117"/>
        <v>580.08062600000005</v>
      </c>
      <c r="AZ626" s="27">
        <f t="shared" si="118"/>
        <v>576.05062599999997</v>
      </c>
    </row>
    <row r="627" spans="1:52" ht="15" customHeight="1" x14ac:dyDescent="0.25">
      <c r="A627" s="13" t="str">
        <f>VLOOKUP(L627,[1]VALIDAÇÃO!$D$13:$E$350,2,0)</f>
        <v>DIRETO</v>
      </c>
      <c r="B627" s="14" t="str">
        <f t="shared" si="120"/>
        <v>17RIO AVE 200 SPE LTDA.</v>
      </c>
      <c r="C627" s="15">
        <f t="shared" si="119"/>
        <v>17</v>
      </c>
      <c r="D627" s="16" t="str">
        <f t="shared" si="121"/>
        <v>35RIO AVE 200 SPE LTDA.</v>
      </c>
      <c r="E627" s="17">
        <f t="shared" si="112"/>
        <v>35</v>
      </c>
      <c r="F627" s="18" t="str">
        <f t="shared" si="122"/>
        <v>38RIO AVE 200 SPE LTDA.</v>
      </c>
      <c r="G627" s="18">
        <f t="shared" si="113"/>
        <v>38</v>
      </c>
      <c r="H627" s="19" t="str">
        <f t="shared" si="123"/>
        <v>28RIO AVE 200 SPE LTDA.</v>
      </c>
      <c r="I627" s="19">
        <f t="shared" si="114"/>
        <v>28</v>
      </c>
      <c r="J627" s="13" t="s">
        <v>48</v>
      </c>
      <c r="K627" s="13" t="s">
        <v>754</v>
      </c>
      <c r="L627" s="13" t="s">
        <v>59</v>
      </c>
      <c r="M627" s="13" t="s">
        <v>55</v>
      </c>
      <c r="N627" s="20">
        <v>2091.38</v>
      </c>
      <c r="O627" s="20">
        <v>2156</v>
      </c>
      <c r="P627" s="21">
        <v>45938</v>
      </c>
      <c r="Q627" s="30"/>
      <c r="R627" s="30">
        <v>2156</v>
      </c>
      <c r="S627" s="30"/>
      <c r="T627" s="30"/>
      <c r="U627" s="30"/>
      <c r="V627" s="30"/>
      <c r="W627" s="30"/>
      <c r="X627" s="30"/>
      <c r="Y627" s="30"/>
      <c r="Z627" s="30"/>
      <c r="AA627" s="30">
        <v>3.43</v>
      </c>
      <c r="AB627" s="23">
        <v>14.059999999999999</v>
      </c>
      <c r="AC627" s="23">
        <v>192.85714285714286</v>
      </c>
      <c r="AD627" s="23">
        <v>119.61</v>
      </c>
      <c r="AE627" s="23">
        <v>565.42857142857144</v>
      </c>
      <c r="AF627" s="23"/>
      <c r="AG627" s="23"/>
      <c r="AH627" s="23">
        <v>15.49</v>
      </c>
      <c r="AI627" s="23">
        <v>0</v>
      </c>
      <c r="AJ627" s="25">
        <v>911.07999999999993</v>
      </c>
      <c r="AK627" s="23">
        <v>208.89999999999998</v>
      </c>
      <c r="AL627" s="23"/>
      <c r="AM627" s="24"/>
      <c r="AN627" s="23"/>
      <c r="AO627" s="23"/>
      <c r="AP627" s="23"/>
      <c r="AQ627" s="23"/>
      <c r="AR627" s="30">
        <v>29.23</v>
      </c>
      <c r="AS627" s="30">
        <v>-998</v>
      </c>
      <c r="AT627" s="30"/>
      <c r="AU627" s="30"/>
      <c r="AW627" s="27">
        <f t="shared" si="115"/>
        <v>911.08062699999994</v>
      </c>
      <c r="AX627" s="27">
        <f t="shared" si="116"/>
        <v>119.61062699999999</v>
      </c>
      <c r="AY627" s="27">
        <f t="shared" si="117"/>
        <v>14.060626999999998</v>
      </c>
      <c r="AZ627" s="27">
        <f t="shared" si="118"/>
        <v>6.2699999999999995E-4</v>
      </c>
    </row>
    <row r="628" spans="1:52" ht="15" customHeight="1" x14ac:dyDescent="0.25">
      <c r="A628" s="13" t="str">
        <f>VLOOKUP(L628,[1]VALIDAÇÃO!$D$13:$E$350,2,0)</f>
        <v>DIRETO</v>
      </c>
      <c r="B628" s="14" t="str">
        <f t="shared" si="120"/>
        <v>92CONDOMINIO DO EDIFICIO EMPRESARIAL MARIE CURIE</v>
      </c>
      <c r="C628" s="15">
        <f t="shared" si="119"/>
        <v>92</v>
      </c>
      <c r="D628" s="16" t="str">
        <f t="shared" si="121"/>
        <v>81CONDOMINIO DO EDIFICIO EMPRESARIAL MARIE CURIE</v>
      </c>
      <c r="E628" s="17">
        <f t="shared" si="112"/>
        <v>81</v>
      </c>
      <c r="F628" s="18" t="str">
        <f t="shared" si="122"/>
        <v>26CONDOMINIO DO EDIFICIO EMPRESARIAL MARIE CURIE</v>
      </c>
      <c r="G628" s="18">
        <f t="shared" si="113"/>
        <v>26</v>
      </c>
      <c r="H628" s="19" t="str">
        <f t="shared" si="123"/>
        <v>14CONDOMINIO DO EDIFICIO EMPRESARIAL MARIE CURIE</v>
      </c>
      <c r="I628" s="19">
        <f t="shared" si="114"/>
        <v>14</v>
      </c>
      <c r="J628" s="13" t="s">
        <v>57</v>
      </c>
      <c r="K628" s="13" t="s">
        <v>755</v>
      </c>
      <c r="L628" s="13" t="s">
        <v>114</v>
      </c>
      <c r="M628" s="13" t="s">
        <v>60</v>
      </c>
      <c r="N628" s="20">
        <v>913.86</v>
      </c>
      <c r="O628" s="20">
        <v>1622.13</v>
      </c>
      <c r="P628" s="21">
        <v>45762</v>
      </c>
      <c r="Q628" s="30"/>
      <c r="R628" s="30">
        <v>1622.13</v>
      </c>
      <c r="S628" s="30"/>
      <c r="T628" s="30"/>
      <c r="U628" s="30"/>
      <c r="V628" s="30"/>
      <c r="W628" s="30"/>
      <c r="X628" s="30"/>
      <c r="Y628" s="30"/>
      <c r="Z628" s="30"/>
      <c r="AA628" s="30">
        <v>2.06</v>
      </c>
      <c r="AB628" s="23">
        <v>156.38</v>
      </c>
      <c r="AC628" s="23">
        <v>884.79</v>
      </c>
      <c r="AD628" s="23">
        <v>64.17</v>
      </c>
      <c r="AE628" s="23">
        <v>481.84285714285716</v>
      </c>
      <c r="AF628" s="23"/>
      <c r="AG628" s="23"/>
      <c r="AH628" s="23">
        <v>9.39</v>
      </c>
      <c r="AI628" s="23">
        <v>0</v>
      </c>
      <c r="AJ628" s="25">
        <v>192.83999999999997</v>
      </c>
      <c r="AK628" s="23">
        <v>41.59</v>
      </c>
      <c r="AL628" s="23"/>
      <c r="AM628" s="23"/>
      <c r="AN628" s="23">
        <v>-57.93</v>
      </c>
      <c r="AO628" s="23">
        <v>1</v>
      </c>
      <c r="AP628" s="23">
        <v>149.59</v>
      </c>
      <c r="AQ628" s="23">
        <v>631.29</v>
      </c>
      <c r="AR628" s="30">
        <v>80.92</v>
      </c>
      <c r="AS628" s="30">
        <v>-695.2</v>
      </c>
      <c r="AT628" s="30">
        <v>-57.93</v>
      </c>
      <c r="AU628" s="30">
        <v>1</v>
      </c>
      <c r="AW628" s="27">
        <f t="shared" si="115"/>
        <v>192.84062799999998</v>
      </c>
      <c r="AX628" s="27">
        <f t="shared" si="116"/>
        <v>64.170628000000008</v>
      </c>
      <c r="AY628" s="27">
        <f t="shared" si="117"/>
        <v>156.380628</v>
      </c>
      <c r="AZ628" s="27">
        <f t="shared" si="118"/>
        <v>149.59062800000001</v>
      </c>
    </row>
    <row r="629" spans="1:52" ht="15" customHeight="1" x14ac:dyDescent="0.25">
      <c r="A629" s="13" t="str">
        <f>VLOOKUP(L629,[1]VALIDAÇÃO!$D$13:$E$350,2,0)</f>
        <v>DIRETO</v>
      </c>
      <c r="B629" s="14" t="str">
        <f t="shared" si="120"/>
        <v>61RESERVA DO PAIVA SPE 03 LTDA</v>
      </c>
      <c r="C629" s="15">
        <f t="shared" si="119"/>
        <v>61</v>
      </c>
      <c r="D629" s="16" t="str">
        <f t="shared" si="121"/>
        <v>63RESERVA DO PAIVA SPE 03 LTDA</v>
      </c>
      <c r="E629" s="17">
        <f t="shared" si="112"/>
        <v>63</v>
      </c>
      <c r="F629" s="18" t="str">
        <f t="shared" si="122"/>
        <v>116RESERVA DO PAIVA SPE 03 LTDA</v>
      </c>
      <c r="G629" s="18">
        <f t="shared" si="113"/>
        <v>116</v>
      </c>
      <c r="H629" s="19" t="str">
        <f t="shared" si="123"/>
        <v>86RESERVA DO PAIVA SPE 03 LTDA</v>
      </c>
      <c r="I629" s="19">
        <f t="shared" si="114"/>
        <v>86</v>
      </c>
      <c r="J629" s="13" t="s">
        <v>52</v>
      </c>
      <c r="K629" s="13" t="s">
        <v>756</v>
      </c>
      <c r="L629" s="13" t="s">
        <v>54</v>
      </c>
      <c r="M629" s="13" t="s">
        <v>55</v>
      </c>
      <c r="N629" s="20">
        <v>1052.01</v>
      </c>
      <c r="O629" s="20">
        <v>1622.13</v>
      </c>
      <c r="P629" s="21">
        <v>45910</v>
      </c>
      <c r="Q629" s="30"/>
      <c r="R629" s="30">
        <v>1622.13</v>
      </c>
      <c r="S629" s="30"/>
      <c r="T629" s="30"/>
      <c r="U629" s="30"/>
      <c r="V629" s="30"/>
      <c r="W629" s="30">
        <v>1.29</v>
      </c>
      <c r="X629" s="30">
        <v>49</v>
      </c>
      <c r="Y629" s="30"/>
      <c r="Z629" s="30"/>
      <c r="AA629" s="30">
        <v>2.6999999999999997</v>
      </c>
      <c r="AB629" s="23">
        <v>13.799999999999999</v>
      </c>
      <c r="AC629" s="23">
        <v>203.32857142857145</v>
      </c>
      <c r="AD629" s="23">
        <v>255.32</v>
      </c>
      <c r="AE629" s="23">
        <v>1300.5285714285715</v>
      </c>
      <c r="AF629" s="23"/>
      <c r="AG629" s="23"/>
      <c r="AH629" s="23">
        <v>12.23</v>
      </c>
      <c r="AI629" s="23">
        <v>0</v>
      </c>
      <c r="AJ629" s="25">
        <v>217.85000000000002</v>
      </c>
      <c r="AK629" s="23">
        <v>48.45</v>
      </c>
      <c r="AL629" s="23">
        <v>-82.03</v>
      </c>
      <c r="AM629" s="23">
        <v>623</v>
      </c>
      <c r="AN629" s="23"/>
      <c r="AO629" s="23"/>
      <c r="AP629" s="23"/>
      <c r="AQ629" s="23"/>
      <c r="AR629" s="30">
        <v>61.24</v>
      </c>
      <c r="AS629" s="30">
        <v>-695.2</v>
      </c>
      <c r="AT629" s="30"/>
      <c r="AU629" s="30"/>
      <c r="AW629" s="27">
        <f t="shared" si="115"/>
        <v>217.85062900000003</v>
      </c>
      <c r="AX629" s="27">
        <f t="shared" si="116"/>
        <v>255.320629</v>
      </c>
      <c r="AY629" s="27">
        <f t="shared" si="117"/>
        <v>13.800628999999999</v>
      </c>
      <c r="AZ629" s="27">
        <f t="shared" si="118"/>
        <v>6.29E-4</v>
      </c>
    </row>
    <row r="630" spans="1:52" ht="15" customHeight="1" x14ac:dyDescent="0.25">
      <c r="A630" s="13" t="str">
        <f>VLOOKUP(L630,[1]VALIDAÇÃO!$D$13:$E$350,2,0)</f>
        <v>DIRETO</v>
      </c>
      <c r="B630" s="14" t="str">
        <f t="shared" si="120"/>
        <v>2RIO AVE EQUIPAMENTOS LTDA.</v>
      </c>
      <c r="C630" s="15">
        <f t="shared" si="119"/>
        <v>2</v>
      </c>
      <c r="D630" s="16" t="str">
        <f t="shared" si="121"/>
        <v>4RIO AVE EQUIPAMENTOS LTDA.</v>
      </c>
      <c r="E630" s="17">
        <f t="shared" si="112"/>
        <v>4</v>
      </c>
      <c r="F630" s="18" t="str">
        <f t="shared" si="122"/>
        <v>4RIO AVE EQUIPAMENTOS LTDA.</v>
      </c>
      <c r="G630" s="18">
        <f t="shared" si="113"/>
        <v>4</v>
      </c>
      <c r="H630" s="19" t="str">
        <f t="shared" si="123"/>
        <v>1RIO AVE EQUIPAMENTOS LTDA.</v>
      </c>
      <c r="I630" s="19">
        <f t="shared" si="114"/>
        <v>1</v>
      </c>
      <c r="J630" s="13" t="s">
        <v>190</v>
      </c>
      <c r="K630" s="13" t="s">
        <v>757</v>
      </c>
      <c r="L630" s="13" t="s">
        <v>54</v>
      </c>
      <c r="M630" s="13" t="s">
        <v>85</v>
      </c>
      <c r="N630" s="20">
        <v>711.18</v>
      </c>
      <c r="O630" s="20">
        <v>1564.2</v>
      </c>
      <c r="P630" s="21">
        <v>45733</v>
      </c>
      <c r="Q630" s="29"/>
      <c r="R630" s="30">
        <v>1564.2</v>
      </c>
      <c r="S630" s="30"/>
      <c r="T630" s="30"/>
      <c r="U630" s="30"/>
      <c r="V630" s="30"/>
      <c r="W630" s="30"/>
      <c r="X630" s="30"/>
      <c r="Y630" s="30"/>
      <c r="Z630" s="30"/>
      <c r="AA630" s="30">
        <v>0.06</v>
      </c>
      <c r="AB630" s="23">
        <v>0.82000000000000006</v>
      </c>
      <c r="AC630" s="23">
        <v>5.5571428571428569</v>
      </c>
      <c r="AD630" s="23">
        <v>10.56</v>
      </c>
      <c r="AE630" s="23">
        <v>66.400000000000006</v>
      </c>
      <c r="AF630" s="23"/>
      <c r="AG630" s="23"/>
      <c r="AH630" s="23">
        <v>0.34</v>
      </c>
      <c r="AI630" s="23">
        <v>0</v>
      </c>
      <c r="AJ630" s="25">
        <v>257.43</v>
      </c>
      <c r="AK630" s="23">
        <v>55.43</v>
      </c>
      <c r="AL630" s="23">
        <v>-22.65</v>
      </c>
      <c r="AM630" s="23">
        <v>172</v>
      </c>
      <c r="AN630" s="23"/>
      <c r="AO630" s="23"/>
      <c r="AP630" s="23"/>
      <c r="AQ630" s="23"/>
      <c r="AR630" s="30">
        <v>2.2599999999999998</v>
      </c>
      <c r="AS630" s="30">
        <v>-695.2</v>
      </c>
      <c r="AT630" s="30"/>
      <c r="AU630" s="30"/>
      <c r="AW630" s="27">
        <f t="shared" si="115"/>
        <v>257.43063000000001</v>
      </c>
      <c r="AX630" s="27">
        <f t="shared" si="116"/>
        <v>10.56063</v>
      </c>
      <c r="AY630" s="27">
        <f t="shared" si="117"/>
        <v>0.82063000000000008</v>
      </c>
      <c r="AZ630" s="27">
        <f t="shared" si="118"/>
        <v>6.3000000000000003E-4</v>
      </c>
    </row>
    <row r="631" spans="1:52" ht="15" customHeight="1" x14ac:dyDescent="0.25">
      <c r="A631" s="13" t="str">
        <f>VLOOKUP(L631,[1]VALIDAÇÃO!$D$13:$E$350,2,0)</f>
        <v>DIRETO</v>
      </c>
      <c r="B631" s="14" t="str">
        <f t="shared" si="120"/>
        <v>32CONDOMINIO DO EDIFICIO EMPRESARIAL MARIE CURIE</v>
      </c>
      <c r="C631" s="15">
        <f t="shared" si="119"/>
        <v>32</v>
      </c>
      <c r="D631" s="16" t="str">
        <f t="shared" si="121"/>
        <v>95CONDOMINIO DO EDIFICIO EMPRESARIAL MARIE CURIE</v>
      </c>
      <c r="E631" s="17">
        <f t="shared" si="112"/>
        <v>95</v>
      </c>
      <c r="F631" s="18" t="str">
        <f t="shared" si="122"/>
        <v>1CONDOMINIO DO EDIFICIO EMPRESARIAL MARIE CURIE</v>
      </c>
      <c r="G631" s="18">
        <f t="shared" si="113"/>
        <v>1</v>
      </c>
      <c r="H631" s="19" t="str">
        <f t="shared" si="123"/>
        <v>2CONDOMINIO DO EDIFICIO EMPRESARIAL MARIE CURIE</v>
      </c>
      <c r="I631" s="19">
        <f t="shared" si="114"/>
        <v>2</v>
      </c>
      <c r="J631" s="13" t="s">
        <v>57</v>
      </c>
      <c r="K631" s="13" t="s">
        <v>758</v>
      </c>
      <c r="L631" s="13" t="s">
        <v>63</v>
      </c>
      <c r="M631" s="13" t="s">
        <v>60</v>
      </c>
      <c r="N631" s="20">
        <v>772.53</v>
      </c>
      <c r="O631" s="20">
        <v>2156</v>
      </c>
      <c r="P631" s="21">
        <v>45726</v>
      </c>
      <c r="Q631" s="30"/>
      <c r="R631" s="30">
        <v>2156</v>
      </c>
      <c r="S631" s="30"/>
      <c r="T631" s="30"/>
      <c r="U631" s="30"/>
      <c r="V631" s="30"/>
      <c r="W631" s="30"/>
      <c r="X631" s="30"/>
      <c r="Y631" s="30"/>
      <c r="Z631" s="30"/>
      <c r="AA631" s="30">
        <v>15.389999999999999</v>
      </c>
      <c r="AB631" s="23">
        <v>547.09</v>
      </c>
      <c r="AC631" s="23">
        <v>2133.957142857143</v>
      </c>
      <c r="AD631" s="23">
        <v>37.86</v>
      </c>
      <c r="AE631" s="23">
        <v>187.91428571428571</v>
      </c>
      <c r="AF631" s="23"/>
      <c r="AG631" s="23"/>
      <c r="AH631" s="23">
        <v>70.34</v>
      </c>
      <c r="AI631" s="23">
        <v>0</v>
      </c>
      <c r="AJ631" s="25">
        <v>711.91000000000008</v>
      </c>
      <c r="AK631" s="23">
        <v>156.07999999999998</v>
      </c>
      <c r="AL631" s="23"/>
      <c r="AM631" s="23"/>
      <c r="AN631" s="23"/>
      <c r="AO631" s="23"/>
      <c r="AP631" s="23">
        <v>456.71</v>
      </c>
      <c r="AQ631" s="23">
        <v>1517.0571428571429</v>
      </c>
      <c r="AR631" s="30">
        <v>226.75</v>
      </c>
      <c r="AS631" s="30">
        <v>-924</v>
      </c>
      <c r="AT631" s="30"/>
      <c r="AU631" s="30"/>
      <c r="AW631" s="27">
        <f t="shared" si="115"/>
        <v>711.91063100000008</v>
      </c>
      <c r="AX631" s="27">
        <f t="shared" si="116"/>
        <v>37.860630999999998</v>
      </c>
      <c r="AY631" s="27">
        <f t="shared" si="117"/>
        <v>547.09063100000003</v>
      </c>
      <c r="AZ631" s="27">
        <f t="shared" si="118"/>
        <v>456.71063099999998</v>
      </c>
    </row>
    <row r="632" spans="1:52" ht="15" customHeight="1" x14ac:dyDescent="0.25">
      <c r="A632" s="13" t="str">
        <f>VLOOKUP(L632,[1]VALIDAÇÃO!$D$13:$E$350,2,0)</f>
        <v>DIRETO</v>
      </c>
      <c r="B632" s="14" t="str">
        <f t="shared" si="120"/>
        <v>7RIO AVE PRAIA HOTEL SPE LTDA.</v>
      </c>
      <c r="C632" s="15">
        <f t="shared" si="119"/>
        <v>7</v>
      </c>
      <c r="D632" s="16" t="str">
        <f t="shared" si="121"/>
        <v>15RIO AVE PRAIA HOTEL SPE LTDA.</v>
      </c>
      <c r="E632" s="17">
        <f t="shared" si="112"/>
        <v>15</v>
      </c>
      <c r="F632" s="18" t="str">
        <f t="shared" si="122"/>
        <v>4RIO AVE PRAIA HOTEL SPE LTDA.</v>
      </c>
      <c r="G632" s="18">
        <f t="shared" si="113"/>
        <v>4</v>
      </c>
      <c r="H632" s="19" t="str">
        <f t="shared" si="123"/>
        <v>4RIO AVE PRAIA HOTEL SPE LTDA.</v>
      </c>
      <c r="I632" s="19">
        <f t="shared" si="114"/>
        <v>4</v>
      </c>
      <c r="J632" s="13" t="s">
        <v>80</v>
      </c>
      <c r="K632" s="13" t="s">
        <v>759</v>
      </c>
      <c r="L632" s="13" t="s">
        <v>92</v>
      </c>
      <c r="M632" s="13" t="s">
        <v>82</v>
      </c>
      <c r="N632" s="20">
        <v>2214.3200000000002</v>
      </c>
      <c r="O632" s="20">
        <v>2079</v>
      </c>
      <c r="P632" s="21">
        <v>45056</v>
      </c>
      <c r="Q632" s="30"/>
      <c r="R632" s="30">
        <v>2079</v>
      </c>
      <c r="S632" s="30"/>
      <c r="T632" s="30"/>
      <c r="U632" s="30"/>
      <c r="V632" s="30"/>
      <c r="W632" s="30"/>
      <c r="X632" s="30"/>
      <c r="Y632" s="30"/>
      <c r="Z632" s="30"/>
      <c r="AA632" s="30">
        <v>16.54</v>
      </c>
      <c r="AB632" s="23">
        <v>536</v>
      </c>
      <c r="AC632" s="23">
        <v>2011.722857142857</v>
      </c>
      <c r="AD632" s="23">
        <v>51.790000000000006</v>
      </c>
      <c r="AE632" s="23">
        <v>383.69857142857137</v>
      </c>
      <c r="AF632" s="23"/>
      <c r="AG632" s="23"/>
      <c r="AH632" s="23">
        <v>74.319999999999993</v>
      </c>
      <c r="AI632" s="23">
        <v>0</v>
      </c>
      <c r="AJ632" s="25">
        <v>698.8900000000001</v>
      </c>
      <c r="AK632" s="23">
        <v>149.68</v>
      </c>
      <c r="AL632" s="23">
        <v>-14.7</v>
      </c>
      <c r="AM632" s="23">
        <v>84</v>
      </c>
      <c r="AN632" s="23"/>
      <c r="AO632" s="23"/>
      <c r="AP632" s="23">
        <v>716.94999999999993</v>
      </c>
      <c r="AQ632" s="23">
        <v>2062.6985714285715</v>
      </c>
      <c r="AR632" s="30">
        <v>276.88</v>
      </c>
      <c r="AS632" s="30">
        <v>-924</v>
      </c>
      <c r="AT632" s="30"/>
      <c r="AU632" s="30"/>
      <c r="AW632" s="27">
        <f t="shared" si="115"/>
        <v>698.8906320000001</v>
      </c>
      <c r="AX632" s="27">
        <f t="shared" si="116"/>
        <v>51.790632000000009</v>
      </c>
      <c r="AY632" s="27">
        <f t="shared" si="117"/>
        <v>536.000632</v>
      </c>
      <c r="AZ632" s="27">
        <f t="shared" si="118"/>
        <v>716.95063199999993</v>
      </c>
    </row>
    <row r="633" spans="1:52" ht="15" customHeight="1" x14ac:dyDescent="0.25">
      <c r="A633" s="13" t="str">
        <f>VLOOKUP(L633,[1]VALIDAÇÃO!$D$13:$E$350,2,0)</f>
        <v>DIRETO</v>
      </c>
      <c r="B633" s="14" t="str">
        <f t="shared" si="120"/>
        <v>8CONDOMINIO DO EDIFICIO EMPRESARIAL MARIE CURIE</v>
      </c>
      <c r="C633" s="15">
        <f t="shared" si="119"/>
        <v>8</v>
      </c>
      <c r="D633" s="16" t="str">
        <f t="shared" si="121"/>
        <v>93CONDOMINIO DO EDIFICIO EMPRESARIAL MARIE CURIE</v>
      </c>
      <c r="E633" s="17">
        <f t="shared" si="112"/>
        <v>93</v>
      </c>
      <c r="F633" s="18" t="str">
        <f t="shared" si="122"/>
        <v>69CONDOMINIO DO EDIFICIO EMPRESARIAL MARIE CURIE</v>
      </c>
      <c r="G633" s="18">
        <f t="shared" si="113"/>
        <v>69</v>
      </c>
      <c r="H633" s="19" t="str">
        <f t="shared" si="123"/>
        <v>54CONDOMINIO DO EDIFICIO EMPRESARIAL MARIE CURIE</v>
      </c>
      <c r="I633" s="19">
        <f t="shared" si="114"/>
        <v>54</v>
      </c>
      <c r="J633" s="13" t="s">
        <v>57</v>
      </c>
      <c r="K633" s="13" t="s">
        <v>760</v>
      </c>
      <c r="L633" s="13" t="s">
        <v>66</v>
      </c>
      <c r="M633" s="13" t="s">
        <v>60</v>
      </c>
      <c r="N633" s="20">
        <v>1759.37</v>
      </c>
      <c r="O633" s="20">
        <v>2156</v>
      </c>
      <c r="P633" s="21">
        <v>45603</v>
      </c>
      <c r="Q633" s="29"/>
      <c r="R633" s="30">
        <v>2156</v>
      </c>
      <c r="S633" s="30"/>
      <c r="T633" s="30"/>
      <c r="U633" s="30"/>
      <c r="V633" s="30"/>
      <c r="W633" s="30"/>
      <c r="X633" s="30"/>
      <c r="Y633" s="30"/>
      <c r="Z633" s="30"/>
      <c r="AA633" s="30">
        <v>1.94</v>
      </c>
      <c r="AB633" s="23">
        <v>27.43</v>
      </c>
      <c r="AC633" s="23">
        <v>138.82857142857142</v>
      </c>
      <c r="AD633" s="23">
        <v>40.83</v>
      </c>
      <c r="AE633" s="23">
        <v>177.02142857142857</v>
      </c>
      <c r="AF633" s="23"/>
      <c r="AG633" s="23"/>
      <c r="AH633" s="23">
        <v>9.5</v>
      </c>
      <c r="AI633" s="23">
        <v>0</v>
      </c>
      <c r="AJ633" s="25">
        <v>1382.43</v>
      </c>
      <c r="AK633" s="23">
        <v>295.86</v>
      </c>
      <c r="AL633" s="23">
        <v>-24.18</v>
      </c>
      <c r="AM633" s="23">
        <v>138.19</v>
      </c>
      <c r="AN633" s="23"/>
      <c r="AO633" s="23"/>
      <c r="AP633" s="23"/>
      <c r="AQ633" s="23"/>
      <c r="AR633" s="30">
        <v>13.68</v>
      </c>
      <c r="AS633" s="30">
        <v>-924</v>
      </c>
      <c r="AT633" s="30"/>
      <c r="AU633" s="30"/>
      <c r="AW633" s="27">
        <f t="shared" si="115"/>
        <v>1382.4306330000002</v>
      </c>
      <c r="AX633" s="27">
        <f t="shared" si="116"/>
        <v>40.830632999999999</v>
      </c>
      <c r="AY633" s="27">
        <f t="shared" si="117"/>
        <v>27.430633</v>
      </c>
      <c r="AZ633" s="27">
        <f t="shared" si="118"/>
        <v>6.3299999999999999E-4</v>
      </c>
    </row>
    <row r="634" spans="1:52" ht="15" customHeight="1" x14ac:dyDescent="0.25">
      <c r="A634" s="13" t="str">
        <f>VLOOKUP(L634,[1]VALIDAÇÃO!$D$13:$E$350,2,0)</f>
        <v>INDIRETO</v>
      </c>
      <c r="B634" s="14" t="str">
        <f t="shared" si="120"/>
        <v>58RIO AVE 130 SPE LTDA</v>
      </c>
      <c r="C634" s="15">
        <f t="shared" si="119"/>
        <v>58</v>
      </c>
      <c r="D634" s="16" t="str">
        <f t="shared" si="121"/>
        <v>61RIO AVE 130 SPE LTDA</v>
      </c>
      <c r="E634" s="17">
        <f t="shared" si="112"/>
        <v>61</v>
      </c>
      <c r="F634" s="18" t="str">
        <f t="shared" si="122"/>
        <v>58RIO AVE 130 SPE LTDA</v>
      </c>
      <c r="G634" s="18">
        <f t="shared" si="113"/>
        <v>58</v>
      </c>
      <c r="H634" s="19" t="str">
        <f t="shared" si="123"/>
        <v>41RIO AVE 130 SPE LTDA</v>
      </c>
      <c r="I634" s="19">
        <f t="shared" si="114"/>
        <v>41</v>
      </c>
      <c r="J634" s="13" t="s">
        <v>102</v>
      </c>
      <c r="K634" s="13" t="s">
        <v>761</v>
      </c>
      <c r="L634" s="13" t="s">
        <v>89</v>
      </c>
      <c r="M634" s="13" t="s">
        <v>85</v>
      </c>
      <c r="N634" s="20">
        <v>1334.8</v>
      </c>
      <c r="O634" s="20"/>
      <c r="P634" s="21">
        <v>45901</v>
      </c>
      <c r="Q634" s="29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23"/>
      <c r="AC634" s="23"/>
      <c r="AD634" s="23"/>
      <c r="AE634" s="23"/>
      <c r="AF634" s="23"/>
      <c r="AG634" s="23"/>
      <c r="AH634" s="23"/>
      <c r="AI634" s="23"/>
      <c r="AJ634" s="25"/>
      <c r="AK634" s="23"/>
      <c r="AL634" s="23"/>
      <c r="AM634" s="23"/>
      <c r="AN634" s="23"/>
      <c r="AO634" s="23"/>
      <c r="AP634" s="23"/>
      <c r="AQ634" s="23"/>
      <c r="AR634" s="30"/>
      <c r="AS634" s="30">
        <v>-680</v>
      </c>
      <c r="AT634" s="30"/>
      <c r="AU634" s="30"/>
      <c r="AW634" s="27">
        <f t="shared" si="115"/>
        <v>6.3400000000000001E-4</v>
      </c>
      <c r="AX634" s="27">
        <f t="shared" si="116"/>
        <v>6.3400000000000001E-4</v>
      </c>
      <c r="AY634" s="27">
        <f t="shared" si="117"/>
        <v>6.3400000000000001E-4</v>
      </c>
      <c r="AZ634" s="27">
        <f t="shared" si="118"/>
        <v>6.3400000000000001E-4</v>
      </c>
    </row>
    <row r="635" spans="1:52" ht="15" customHeight="1" x14ac:dyDescent="0.25">
      <c r="A635" s="13" t="str">
        <f>VLOOKUP(L635,[1]VALIDAÇÃO!$D$13:$E$350,2,0)</f>
        <v>DIRETO</v>
      </c>
      <c r="B635" s="14" t="str">
        <f t="shared" si="120"/>
        <v>19RIO AVE 200 SPE LTDA.</v>
      </c>
      <c r="C635" s="15">
        <f t="shared" si="119"/>
        <v>19</v>
      </c>
      <c r="D635" s="16" t="str">
        <f t="shared" si="121"/>
        <v>11RIO AVE 200 SPE LTDA.</v>
      </c>
      <c r="E635" s="17">
        <f t="shared" si="112"/>
        <v>11</v>
      </c>
      <c r="F635" s="18" t="str">
        <f t="shared" si="122"/>
        <v>4RIO AVE 200 SPE LTDA.</v>
      </c>
      <c r="G635" s="18">
        <f t="shared" si="113"/>
        <v>4</v>
      </c>
      <c r="H635" s="19" t="str">
        <f t="shared" si="123"/>
        <v>2RIO AVE 200 SPE LTDA.</v>
      </c>
      <c r="I635" s="19">
        <f t="shared" si="114"/>
        <v>2</v>
      </c>
      <c r="J635" s="30" t="s">
        <v>48</v>
      </c>
      <c r="K635" s="30" t="s">
        <v>762</v>
      </c>
      <c r="L635" s="30" t="s">
        <v>63</v>
      </c>
      <c r="M635" s="30" t="s">
        <v>55</v>
      </c>
      <c r="N635" s="33">
        <v>2927.25</v>
      </c>
      <c r="O635" s="30">
        <v>2156</v>
      </c>
      <c r="P635" s="29">
        <v>45964</v>
      </c>
      <c r="Q635" s="30"/>
      <c r="R635" s="30">
        <v>2156</v>
      </c>
      <c r="S635" s="30"/>
      <c r="T635" s="30"/>
      <c r="U635" s="30"/>
      <c r="V635" s="30"/>
      <c r="W635" s="30"/>
      <c r="X635" s="30"/>
      <c r="Y635" s="30"/>
      <c r="Z635" s="30"/>
      <c r="AA635" s="30">
        <v>23.840000000000003</v>
      </c>
      <c r="AB635" s="30">
        <v>209.74</v>
      </c>
      <c r="AC635" s="30">
        <v>705</v>
      </c>
      <c r="AD635" s="30">
        <v>301.17</v>
      </c>
      <c r="AE635" s="30">
        <v>1079</v>
      </c>
      <c r="AF635" s="30"/>
      <c r="AG635" s="30"/>
      <c r="AH635" s="30">
        <v>109.57</v>
      </c>
      <c r="AI635" s="30">
        <v>0</v>
      </c>
      <c r="AJ635" s="34">
        <v>907.55</v>
      </c>
      <c r="AK635" s="30">
        <v>202.88000000000002</v>
      </c>
      <c r="AL635" s="30"/>
      <c r="AM635" s="30"/>
      <c r="AN635" s="30"/>
      <c r="AO635" s="30"/>
      <c r="AP635" s="30">
        <v>298.2</v>
      </c>
      <c r="AQ635" s="30">
        <v>852</v>
      </c>
      <c r="AR635" s="30">
        <v>176.12</v>
      </c>
      <c r="AS635" s="30">
        <v>-1036</v>
      </c>
      <c r="AT635" s="30"/>
      <c r="AU635" s="30"/>
      <c r="AW635" s="27">
        <f t="shared" si="115"/>
        <v>907.55063499999994</v>
      </c>
      <c r="AX635" s="27">
        <f t="shared" si="116"/>
        <v>301.170635</v>
      </c>
      <c r="AY635" s="27">
        <f t="shared" si="117"/>
        <v>209.740635</v>
      </c>
      <c r="AZ635" s="27">
        <f t="shared" si="118"/>
        <v>298.20063499999998</v>
      </c>
    </row>
    <row r="636" spans="1:52" ht="15" customHeight="1" x14ac:dyDescent="0.25">
      <c r="A636" s="13" t="str">
        <f>VLOOKUP(L636,[1]VALIDAÇÃO!$D$13:$E$350,2,0)</f>
        <v>DIRETO</v>
      </c>
      <c r="B636" s="14" t="str">
        <f t="shared" si="120"/>
        <v>29RIO AVE CARNEIROS 01 SPE LTDA.</v>
      </c>
      <c r="C636" s="15">
        <f t="shared" si="119"/>
        <v>29</v>
      </c>
      <c r="D636" s="16" t="str">
        <f t="shared" si="121"/>
        <v>97RIO AVE CARNEIROS 01 SPE LTDA.</v>
      </c>
      <c r="E636" s="17">
        <f t="shared" si="112"/>
        <v>97</v>
      </c>
      <c r="F636" s="18" t="str">
        <f t="shared" si="122"/>
        <v>111RIO AVE CARNEIROS 01 SPE LTDA.</v>
      </c>
      <c r="G636" s="18">
        <f t="shared" si="113"/>
        <v>111</v>
      </c>
      <c r="H636" s="19" t="str">
        <f t="shared" si="123"/>
        <v>72RIO AVE CARNEIROS 01 SPE LTDA.</v>
      </c>
      <c r="I636" s="19">
        <f t="shared" si="114"/>
        <v>72</v>
      </c>
      <c r="J636" s="13" t="s">
        <v>61</v>
      </c>
      <c r="K636" s="13" t="s">
        <v>763</v>
      </c>
      <c r="L636" s="13" t="s">
        <v>54</v>
      </c>
      <c r="M636" s="13" t="s">
        <v>55</v>
      </c>
      <c r="N636" s="20">
        <v>1156.07</v>
      </c>
      <c r="O636" s="20">
        <v>1622.13</v>
      </c>
      <c r="P636" s="21">
        <v>45782</v>
      </c>
      <c r="Q636" s="22"/>
      <c r="R636" s="23">
        <v>1622.13</v>
      </c>
      <c r="S636" s="24"/>
      <c r="T636" s="23"/>
      <c r="U636" s="24"/>
      <c r="V636" s="23"/>
      <c r="W636" s="23"/>
      <c r="X636" s="24"/>
      <c r="Y636" s="23"/>
      <c r="Z636" s="23"/>
      <c r="AA636" s="23">
        <v>1.33</v>
      </c>
      <c r="AB636" s="23">
        <v>23.630000000000003</v>
      </c>
      <c r="AC636" s="24">
        <v>196.72857142857143</v>
      </c>
      <c r="AD636" s="23">
        <v>27.689999999999998</v>
      </c>
      <c r="AE636" s="24">
        <v>172.71428571428572</v>
      </c>
      <c r="AF636" s="23"/>
      <c r="AG636" s="23"/>
      <c r="AH636" s="23">
        <v>5.59</v>
      </c>
      <c r="AI636" s="24">
        <v>0</v>
      </c>
      <c r="AJ636" s="25">
        <v>587.87</v>
      </c>
      <c r="AK636" s="23">
        <v>129.22</v>
      </c>
      <c r="AL636" s="23"/>
      <c r="AM636" s="24"/>
      <c r="AN636" s="23"/>
      <c r="AO636" s="24"/>
      <c r="AP636" s="23">
        <v>14.07</v>
      </c>
      <c r="AQ636" s="24">
        <v>99.585714285714275</v>
      </c>
      <c r="AR636" s="23">
        <v>15.7</v>
      </c>
      <c r="AS636" s="23">
        <v>-735.2</v>
      </c>
      <c r="AT636" s="23"/>
      <c r="AU636" s="24"/>
      <c r="AW636" s="27">
        <f t="shared" si="115"/>
        <v>587.87063599999999</v>
      </c>
      <c r="AX636" s="27">
        <f t="shared" si="116"/>
        <v>27.690635999999998</v>
      </c>
      <c r="AY636" s="27">
        <f t="shared" si="117"/>
        <v>23.630636000000003</v>
      </c>
      <c r="AZ636" s="27">
        <f t="shared" si="118"/>
        <v>14.070636</v>
      </c>
    </row>
    <row r="637" spans="1:52" ht="15" customHeight="1" x14ac:dyDescent="0.25">
      <c r="A637" s="13" t="str">
        <f>VLOOKUP(L637,[1]VALIDAÇÃO!$D$13:$E$350,2,0)</f>
        <v>DIRETO</v>
      </c>
      <c r="B637" s="14" t="str">
        <f t="shared" si="120"/>
        <v>60RESERVA DO PAIVA SPE 03 LTDA</v>
      </c>
      <c r="C637" s="15">
        <f t="shared" si="119"/>
        <v>60</v>
      </c>
      <c r="D637" s="16" t="str">
        <f t="shared" si="121"/>
        <v>52RESERVA DO PAIVA SPE 03 LTDA</v>
      </c>
      <c r="E637" s="17">
        <f t="shared" si="112"/>
        <v>52</v>
      </c>
      <c r="F637" s="18" t="str">
        <f t="shared" si="122"/>
        <v>76RESERVA DO PAIVA SPE 03 LTDA</v>
      </c>
      <c r="G637" s="18">
        <f t="shared" si="113"/>
        <v>76</v>
      </c>
      <c r="H637" s="19" t="str">
        <f t="shared" si="123"/>
        <v>62RESERVA DO PAIVA SPE 03 LTDA</v>
      </c>
      <c r="I637" s="19">
        <f t="shared" si="114"/>
        <v>62</v>
      </c>
      <c r="J637" s="30" t="s">
        <v>52</v>
      </c>
      <c r="K637" s="30" t="s">
        <v>764</v>
      </c>
      <c r="L637" s="30" t="s">
        <v>54</v>
      </c>
      <c r="M637" s="30" t="s">
        <v>55</v>
      </c>
      <c r="N637" s="33">
        <v>535.87</v>
      </c>
      <c r="O637" s="30">
        <v>1622.13</v>
      </c>
      <c r="P637" s="29">
        <v>45523</v>
      </c>
      <c r="Q637" s="30"/>
      <c r="R637" s="30">
        <v>1622.13</v>
      </c>
      <c r="S637" s="30"/>
      <c r="T637" s="30"/>
      <c r="U637" s="30"/>
      <c r="V637" s="30"/>
      <c r="W637" s="30">
        <v>0.08</v>
      </c>
      <c r="X637" s="30">
        <v>2.74</v>
      </c>
      <c r="Y637" s="30"/>
      <c r="Z637" s="30"/>
      <c r="AA637" s="30">
        <v>2.08</v>
      </c>
      <c r="AB637" s="30">
        <v>96.5</v>
      </c>
      <c r="AC637" s="30">
        <v>573.69714285714281</v>
      </c>
      <c r="AD637" s="30">
        <v>301.07</v>
      </c>
      <c r="AE637" s="30">
        <v>1621.4514285714286</v>
      </c>
      <c r="AF637" s="30"/>
      <c r="AG637" s="30"/>
      <c r="AH637" s="30">
        <v>9.6399999999999988</v>
      </c>
      <c r="AI637" s="30">
        <v>0</v>
      </c>
      <c r="AJ637" s="34">
        <v>222.1</v>
      </c>
      <c r="AK637" s="30">
        <v>48.6</v>
      </c>
      <c r="AL637" s="30"/>
      <c r="AM637" s="30"/>
      <c r="AN637" s="30">
        <v>-57.93</v>
      </c>
      <c r="AO637" s="30">
        <v>1</v>
      </c>
      <c r="AP637" s="30">
        <v>40.049999999999997</v>
      </c>
      <c r="AQ637" s="30">
        <v>194.05285714285714</v>
      </c>
      <c r="AR637" s="30">
        <v>91.38</v>
      </c>
      <c r="AS637" s="30">
        <v>-755.2</v>
      </c>
      <c r="AT637" s="30">
        <v>-57.93</v>
      </c>
      <c r="AU637" s="30">
        <v>1</v>
      </c>
      <c r="AW637" s="27">
        <f t="shared" si="115"/>
        <v>222.10063700000001</v>
      </c>
      <c r="AX637" s="27">
        <f t="shared" si="116"/>
        <v>301.07063699999998</v>
      </c>
      <c r="AY637" s="27">
        <f t="shared" si="117"/>
        <v>96.500636999999998</v>
      </c>
      <c r="AZ637" s="27">
        <f t="shared" si="118"/>
        <v>40.050636999999995</v>
      </c>
    </row>
    <row r="638" spans="1:52" ht="15" customHeight="1" x14ac:dyDescent="0.25">
      <c r="A638" s="13" t="str">
        <f>VLOOKUP(L638,[1]VALIDAÇÃO!$D$13:$E$350,2,0)</f>
        <v>INDIRETO</v>
      </c>
      <c r="B638" s="14" t="str">
        <f t="shared" si="120"/>
        <v>134RIO AVE CARNEIROS 01 SPE LTDA.</v>
      </c>
      <c r="C638" s="15">
        <f t="shared" si="119"/>
        <v>134</v>
      </c>
      <c r="D638" s="16" t="str">
        <f t="shared" si="121"/>
        <v>37RIO AVE CARNEIROS 01 SPE LTDA.</v>
      </c>
      <c r="E638" s="17">
        <f t="shared" si="112"/>
        <v>37</v>
      </c>
      <c r="F638" s="18" t="str">
        <f t="shared" si="122"/>
        <v>31RIO AVE CARNEIROS 01 SPE LTDA.</v>
      </c>
      <c r="G638" s="18">
        <f t="shared" si="113"/>
        <v>31</v>
      </c>
      <c r="H638" s="19" t="str">
        <f t="shared" si="123"/>
        <v>95RIO AVE CARNEIROS 01 SPE LTDA.</v>
      </c>
      <c r="I638" s="19">
        <f t="shared" si="114"/>
        <v>95</v>
      </c>
      <c r="J638" s="30" t="s">
        <v>61</v>
      </c>
      <c r="K638" s="30" t="s">
        <v>765</v>
      </c>
      <c r="L638" s="30" t="s">
        <v>643</v>
      </c>
      <c r="M638" s="30" t="s">
        <v>85</v>
      </c>
      <c r="N638" s="33">
        <v>2165.5700000000002</v>
      </c>
      <c r="O638" s="30">
        <v>3894.8</v>
      </c>
      <c r="P638" s="29">
        <v>45792</v>
      </c>
      <c r="Q638" s="30"/>
      <c r="R638" s="30">
        <v>3894.8</v>
      </c>
      <c r="S638" s="30"/>
      <c r="T638" s="30"/>
      <c r="U638" s="30"/>
      <c r="V638" s="30"/>
      <c r="W638" s="30"/>
      <c r="X638" s="30"/>
      <c r="Y638" s="30"/>
      <c r="Z638" s="30"/>
      <c r="AA638" s="30"/>
      <c r="AB638" s="30">
        <v>163.86</v>
      </c>
      <c r="AC638" s="30">
        <v>568.15714285714284</v>
      </c>
      <c r="AD638" s="30">
        <v>259.32</v>
      </c>
      <c r="AE638" s="30">
        <v>750.57142857142856</v>
      </c>
      <c r="AF638" s="30"/>
      <c r="AG638" s="30"/>
      <c r="AH638" s="30"/>
      <c r="AI638" s="30"/>
      <c r="AJ638" s="34"/>
      <c r="AK638" s="30"/>
      <c r="AL638" s="30">
        <v>-4.1100000000000003</v>
      </c>
      <c r="AM638" s="30">
        <v>13</v>
      </c>
      <c r="AN638" s="30"/>
      <c r="AO638" s="30"/>
      <c r="AP638" s="30"/>
      <c r="AQ638" s="30"/>
      <c r="AR638" s="30">
        <v>88.81</v>
      </c>
      <c r="AS638" s="30">
        <v>-1669.2</v>
      </c>
      <c r="AT638" s="30"/>
      <c r="AU638" s="30"/>
      <c r="AW638" s="27">
        <f t="shared" si="115"/>
        <v>6.38E-4</v>
      </c>
      <c r="AX638" s="27">
        <f t="shared" si="116"/>
        <v>259.32063799999997</v>
      </c>
      <c r="AY638" s="27">
        <f t="shared" si="117"/>
        <v>163.86063800000002</v>
      </c>
      <c r="AZ638" s="27">
        <f t="shared" si="118"/>
        <v>6.38E-4</v>
      </c>
    </row>
    <row r="639" spans="1:52" ht="15" customHeight="1" x14ac:dyDescent="0.25">
      <c r="A639" s="13" t="str">
        <f>VLOOKUP(L639,[1]VALIDAÇÃO!$D$13:$E$350,2,0)</f>
        <v>DIRETO</v>
      </c>
      <c r="B639" s="14" t="str">
        <f t="shared" si="120"/>
        <v>31RIO AVE 130 SPE LTDA</v>
      </c>
      <c r="C639" s="15">
        <f t="shared" si="119"/>
        <v>31</v>
      </c>
      <c r="D639" s="16" t="str">
        <f t="shared" si="121"/>
        <v>41RIO AVE 130 SPE LTDA</v>
      </c>
      <c r="E639" s="17">
        <f t="shared" si="112"/>
        <v>41</v>
      </c>
      <c r="F639" s="18" t="str">
        <f t="shared" si="122"/>
        <v>57RIO AVE 130 SPE LTDA</v>
      </c>
      <c r="G639" s="18">
        <f t="shared" si="113"/>
        <v>57</v>
      </c>
      <c r="H639" s="19" t="str">
        <f t="shared" si="123"/>
        <v>27RIO AVE 130 SPE LTDA</v>
      </c>
      <c r="I639" s="19">
        <f t="shared" si="114"/>
        <v>27</v>
      </c>
      <c r="J639" s="30" t="s">
        <v>102</v>
      </c>
      <c r="K639" s="30" t="s">
        <v>766</v>
      </c>
      <c r="L639" s="30" t="s">
        <v>92</v>
      </c>
      <c r="M639" s="30" t="s">
        <v>55</v>
      </c>
      <c r="N639" s="33">
        <v>1455.34</v>
      </c>
      <c r="O639" s="30">
        <v>2156</v>
      </c>
      <c r="P639" s="29">
        <v>45964</v>
      </c>
      <c r="Q639" s="30"/>
      <c r="R639" s="30">
        <v>2156</v>
      </c>
      <c r="S639" s="30"/>
      <c r="T639" s="30"/>
      <c r="U639" s="30"/>
      <c r="V639" s="30"/>
      <c r="W639" s="30"/>
      <c r="X639" s="30"/>
      <c r="Y639" s="30"/>
      <c r="Z639" s="30"/>
      <c r="AA639" s="30">
        <v>0.96</v>
      </c>
      <c r="AB639" s="30"/>
      <c r="AC639" s="30"/>
      <c r="AD639" s="30">
        <v>26.560000000000002</v>
      </c>
      <c r="AE639" s="30">
        <v>470.6</v>
      </c>
      <c r="AF639" s="30"/>
      <c r="AG639" s="30"/>
      <c r="AH639" s="30">
        <v>4.1900000000000004</v>
      </c>
      <c r="AI639" s="30">
        <v>0</v>
      </c>
      <c r="AJ639" s="34">
        <v>566.66999999999996</v>
      </c>
      <c r="AK639" s="30">
        <v>126.88</v>
      </c>
      <c r="AL639" s="30">
        <v>-11.38</v>
      </c>
      <c r="AM639" s="30">
        <v>65</v>
      </c>
      <c r="AN639" s="30"/>
      <c r="AO639" s="30"/>
      <c r="AP639" s="30">
        <v>37.450000000000003</v>
      </c>
      <c r="AQ639" s="30">
        <v>107</v>
      </c>
      <c r="AR639" s="30">
        <v>15.170000000000002</v>
      </c>
      <c r="AS639" s="30">
        <v>-924</v>
      </c>
      <c r="AT639" s="30"/>
      <c r="AU639" s="30"/>
      <c r="AW639" s="27">
        <f t="shared" si="115"/>
        <v>566.67063899999994</v>
      </c>
      <c r="AX639" s="27">
        <f t="shared" si="116"/>
        <v>26.560639000000002</v>
      </c>
      <c r="AY639" s="27">
        <f t="shared" si="117"/>
        <v>6.3900000000000003E-4</v>
      </c>
      <c r="AZ639" s="27">
        <f t="shared" si="118"/>
        <v>37.450639000000002</v>
      </c>
    </row>
    <row r="640" spans="1:52" ht="15" customHeight="1" x14ac:dyDescent="0.25">
      <c r="A640" s="13" t="str">
        <f>VLOOKUP(L640,[1]VALIDAÇÃO!$D$13:$E$350,2,0)</f>
        <v>INDIRETO</v>
      </c>
      <c r="B640" s="14" t="str">
        <f t="shared" si="120"/>
        <v>14RIO AVE 130 SPE LTDA</v>
      </c>
      <c r="C640" s="15">
        <f t="shared" si="119"/>
        <v>14</v>
      </c>
      <c r="D640" s="16" t="str">
        <f t="shared" si="121"/>
        <v>42RIO AVE 130 SPE LTDA</v>
      </c>
      <c r="E640" s="17">
        <f t="shared" si="112"/>
        <v>42</v>
      </c>
      <c r="F640" s="18" t="str">
        <f t="shared" si="122"/>
        <v>26RIO AVE 130 SPE LTDA</v>
      </c>
      <c r="G640" s="18">
        <f t="shared" si="113"/>
        <v>26</v>
      </c>
      <c r="H640" s="19" t="str">
        <f t="shared" si="123"/>
        <v>40RIO AVE 130 SPE LTDA</v>
      </c>
      <c r="I640" s="19">
        <f t="shared" si="114"/>
        <v>40</v>
      </c>
      <c r="J640" s="30" t="s">
        <v>102</v>
      </c>
      <c r="K640" s="30" t="s">
        <v>767</v>
      </c>
      <c r="L640" s="30" t="s">
        <v>643</v>
      </c>
      <c r="M640" s="30" t="s">
        <v>85</v>
      </c>
      <c r="N640" s="33">
        <v>1803.99</v>
      </c>
      <c r="O640" s="30">
        <v>3434.3</v>
      </c>
      <c r="P640" s="29">
        <v>45362</v>
      </c>
      <c r="Q640" s="30"/>
      <c r="R640" s="30">
        <v>3434.3</v>
      </c>
      <c r="S640" s="30"/>
      <c r="T640" s="30"/>
      <c r="U640" s="30"/>
      <c r="V640" s="30"/>
      <c r="W640" s="30"/>
      <c r="X640" s="30"/>
      <c r="Y640" s="30"/>
      <c r="Z640" s="30"/>
      <c r="AA640" s="30">
        <v>2.21</v>
      </c>
      <c r="AB640" s="30">
        <v>204.43</v>
      </c>
      <c r="AC640" s="30">
        <v>448.39142857142855</v>
      </c>
      <c r="AD640" s="30">
        <v>19.95</v>
      </c>
      <c r="AE640" s="30">
        <v>48.17285714285714</v>
      </c>
      <c r="AF640" s="30"/>
      <c r="AG640" s="30"/>
      <c r="AH640" s="30">
        <v>10.050000000000001</v>
      </c>
      <c r="AI640" s="30">
        <v>0</v>
      </c>
      <c r="AJ640" s="34">
        <v>819.63</v>
      </c>
      <c r="AK640" s="30">
        <v>178.76</v>
      </c>
      <c r="AL640" s="30"/>
      <c r="AM640" s="30"/>
      <c r="AN640" s="30"/>
      <c r="AO640" s="30"/>
      <c r="AP640" s="30"/>
      <c r="AQ640" s="30"/>
      <c r="AR640" s="30">
        <v>48.9</v>
      </c>
      <c r="AS640" s="30">
        <v>-1471.84</v>
      </c>
      <c r="AT640" s="30"/>
      <c r="AU640" s="30"/>
      <c r="AW640" s="27">
        <f t="shared" si="115"/>
        <v>819.63063999999997</v>
      </c>
      <c r="AX640" s="27">
        <f t="shared" si="116"/>
        <v>19.95064</v>
      </c>
      <c r="AY640" s="27">
        <f t="shared" si="117"/>
        <v>204.43064000000001</v>
      </c>
      <c r="AZ640" s="27">
        <f t="shared" si="118"/>
        <v>6.4000000000000005E-4</v>
      </c>
    </row>
    <row r="641" spans="1:52" ht="15" customHeight="1" x14ac:dyDescent="0.25">
      <c r="A641" s="13" t="str">
        <f>VLOOKUP(L641,[1]VALIDAÇÃO!$D$13:$E$350,2,0)</f>
        <v>DIRETO</v>
      </c>
      <c r="B641" s="14" t="str">
        <f t="shared" si="120"/>
        <v>7RIO AVE 200 SPE LTDA.</v>
      </c>
      <c r="C641" s="15">
        <f t="shared" si="119"/>
        <v>7</v>
      </c>
      <c r="D641" s="16" t="str">
        <f t="shared" si="121"/>
        <v>23RIO AVE 200 SPE LTDA.</v>
      </c>
      <c r="E641" s="17">
        <f t="shared" si="112"/>
        <v>23</v>
      </c>
      <c r="F641" s="18" t="str">
        <f t="shared" si="122"/>
        <v>44RIO AVE 200 SPE LTDA.</v>
      </c>
      <c r="G641" s="18">
        <f t="shared" si="113"/>
        <v>44</v>
      </c>
      <c r="H641" s="19" t="str">
        <f t="shared" si="123"/>
        <v>27RIO AVE 200 SPE LTDA.</v>
      </c>
      <c r="I641" s="19">
        <f t="shared" si="114"/>
        <v>27</v>
      </c>
      <c r="J641" s="30" t="s">
        <v>48</v>
      </c>
      <c r="K641" s="30" t="s">
        <v>768</v>
      </c>
      <c r="L641" s="30" t="s">
        <v>66</v>
      </c>
      <c r="M641" s="30" t="s">
        <v>55</v>
      </c>
      <c r="N641" s="33">
        <v>2150.59</v>
      </c>
      <c r="O641" s="30">
        <v>2156</v>
      </c>
      <c r="P641" s="29">
        <v>45839</v>
      </c>
      <c r="Q641" s="30"/>
      <c r="R641" s="30">
        <v>2156</v>
      </c>
      <c r="S641" s="30"/>
      <c r="T641" s="30"/>
      <c r="U641" s="30"/>
      <c r="V641" s="30"/>
      <c r="W641" s="30"/>
      <c r="X641" s="30"/>
      <c r="Y641" s="30"/>
      <c r="Z641" s="30"/>
      <c r="AA641" s="30">
        <v>4.47</v>
      </c>
      <c r="AB641" s="30">
        <v>6</v>
      </c>
      <c r="AC641" s="30">
        <v>48</v>
      </c>
      <c r="AD641" s="30">
        <v>157.79999999999998</v>
      </c>
      <c r="AE641" s="30">
        <v>943.85714285714289</v>
      </c>
      <c r="AF641" s="30"/>
      <c r="AG641" s="30"/>
      <c r="AH641" s="30">
        <v>20.57</v>
      </c>
      <c r="AI641" s="30">
        <v>0</v>
      </c>
      <c r="AJ641" s="34">
        <v>1129.49</v>
      </c>
      <c r="AK641" s="30">
        <v>245.48</v>
      </c>
      <c r="AL641" s="30"/>
      <c r="AM641" s="30"/>
      <c r="AN641" s="30"/>
      <c r="AO641" s="30"/>
      <c r="AP641" s="30"/>
      <c r="AQ641" s="30"/>
      <c r="AR641" s="30">
        <v>34.800000000000004</v>
      </c>
      <c r="AS641" s="30">
        <v>-1044</v>
      </c>
      <c r="AT641" s="30"/>
      <c r="AU641" s="30"/>
      <c r="AW641" s="27">
        <f t="shared" si="115"/>
        <v>1129.4906410000001</v>
      </c>
      <c r="AX641" s="27">
        <f t="shared" si="116"/>
        <v>157.80064099999998</v>
      </c>
      <c r="AY641" s="27">
        <f t="shared" si="117"/>
        <v>6.0006409999999999</v>
      </c>
      <c r="AZ641" s="27">
        <f t="shared" si="118"/>
        <v>6.4099999999999997E-4</v>
      </c>
    </row>
    <row r="642" spans="1:52" ht="15" customHeight="1" x14ac:dyDescent="0.25">
      <c r="A642" s="13" t="str">
        <f>VLOOKUP(L642,[1]VALIDAÇÃO!$D$13:$E$350,2,0)</f>
        <v>DIRETO</v>
      </c>
      <c r="B642" s="14" t="str">
        <f t="shared" si="120"/>
        <v>37RIO AVE CARNEIROS 01 SPE LTDA.</v>
      </c>
      <c r="C642" s="15">
        <f t="shared" si="119"/>
        <v>37</v>
      </c>
      <c r="D642" s="16" t="str">
        <f t="shared" si="121"/>
        <v>102RIO AVE CARNEIROS 01 SPE LTDA.</v>
      </c>
      <c r="E642" s="17">
        <f t="shared" ref="E642:E705" si="124">1+SUMPRODUCT(($J$2:$J$1437=$J642)*(AX$2:AX$1437&gt;AX642))</f>
        <v>102</v>
      </c>
      <c r="F642" s="18" t="str">
        <f t="shared" si="122"/>
        <v>63RIO AVE CARNEIROS 01 SPE LTDA.</v>
      </c>
      <c r="G642" s="18">
        <f t="shared" ref="G642:G705" si="125">1+SUMPRODUCT(($J$2:$J$1437=$J642)*(AY$2:AY$1437&gt;AY642))</f>
        <v>63</v>
      </c>
      <c r="H642" s="19" t="str">
        <f t="shared" si="123"/>
        <v>69RIO AVE CARNEIROS 01 SPE LTDA.</v>
      </c>
      <c r="I642" s="19">
        <f t="shared" ref="I642:I705" si="126">1+SUMPRODUCT(($J$2:$J$1437=$J642)*(AZ$2:AZ$1437&gt;AZ642))</f>
        <v>69</v>
      </c>
      <c r="J642" s="30" t="s">
        <v>61</v>
      </c>
      <c r="K642" s="30" t="s">
        <v>769</v>
      </c>
      <c r="L642" s="30" t="s">
        <v>54</v>
      </c>
      <c r="M642" s="30" t="s">
        <v>55</v>
      </c>
      <c r="N642" s="33">
        <v>930.02</v>
      </c>
      <c r="O642" s="30">
        <v>1622.13</v>
      </c>
      <c r="P642" s="29">
        <v>45817</v>
      </c>
      <c r="Q642" s="29"/>
      <c r="R642" s="30">
        <v>1622.13</v>
      </c>
      <c r="S642" s="30"/>
      <c r="T642" s="30"/>
      <c r="U642" s="30"/>
      <c r="V642" s="30"/>
      <c r="W642" s="30"/>
      <c r="X642" s="30"/>
      <c r="Y642" s="30"/>
      <c r="Z642" s="30"/>
      <c r="AA642" s="30">
        <v>2.35</v>
      </c>
      <c r="AB642" s="30">
        <v>94.859999999999985</v>
      </c>
      <c r="AC642" s="30">
        <v>885.9571428571428</v>
      </c>
      <c r="AD642" s="30">
        <v>20.160000000000004</v>
      </c>
      <c r="AE642" s="30">
        <v>118.52857142857142</v>
      </c>
      <c r="AF642" s="30"/>
      <c r="AG642" s="30"/>
      <c r="AH642" s="30">
        <v>10.67</v>
      </c>
      <c r="AI642" s="30">
        <v>0</v>
      </c>
      <c r="AJ642" s="34">
        <v>536.55999999999995</v>
      </c>
      <c r="AK642" s="30">
        <v>116.17</v>
      </c>
      <c r="AL642" s="30">
        <v>-32.39</v>
      </c>
      <c r="AM642" s="30">
        <v>246</v>
      </c>
      <c r="AN642" s="30">
        <v>-57.93</v>
      </c>
      <c r="AO642" s="30">
        <v>1</v>
      </c>
      <c r="AP642" s="30">
        <v>14.34</v>
      </c>
      <c r="AQ642" s="30">
        <v>113.81428571428572</v>
      </c>
      <c r="AR642" s="30">
        <v>28.680000000000003</v>
      </c>
      <c r="AS642" s="30">
        <v>-695.2</v>
      </c>
      <c r="AT642" s="30">
        <v>-57.93</v>
      </c>
      <c r="AU642" s="30">
        <v>1</v>
      </c>
      <c r="AW642" s="27">
        <f t="shared" ref="AW642:AW705" si="127">AJ642+ROW(C642)/1000000</f>
        <v>536.56064199999992</v>
      </c>
      <c r="AX642" s="27">
        <f t="shared" ref="AX642:AX705" si="128">AD642+ROW(C642)/1000000</f>
        <v>20.160642000000003</v>
      </c>
      <c r="AY642" s="27">
        <f t="shared" ref="AY642:AY705" si="129">AB642+ROW(A642)/1000000</f>
        <v>94.860641999999984</v>
      </c>
      <c r="AZ642" s="27">
        <f t="shared" ref="AZ642:AZ705" si="130">AP642+ROW(A642)/1000000</f>
        <v>14.340641999999999</v>
      </c>
    </row>
    <row r="643" spans="1:52" ht="15" customHeight="1" x14ac:dyDescent="0.25">
      <c r="A643" s="13" t="str">
        <f>VLOOKUP(L643,[1]VALIDAÇÃO!$D$13:$E$350,2,0)</f>
        <v>DIRETO</v>
      </c>
      <c r="B643" s="14" t="str">
        <f t="shared" si="120"/>
        <v>63CONDOMINIO DO EDIFICIO EMPRESARIAL MARIE CURIE</v>
      </c>
      <c r="C643" s="15">
        <f t="shared" ref="C643:C706" si="131">1+SUMPRODUCT(($J$2:$J$1437=J643)*($AW$2:$AW$1437&gt;AW643))</f>
        <v>63</v>
      </c>
      <c r="D643" s="16" t="str">
        <f t="shared" si="121"/>
        <v>78CONDOMINIO DO EDIFICIO EMPRESARIAL MARIE CURIE</v>
      </c>
      <c r="E643" s="17">
        <f t="shared" si="124"/>
        <v>78</v>
      </c>
      <c r="F643" s="18" t="str">
        <f t="shared" si="122"/>
        <v>70CONDOMINIO DO EDIFICIO EMPRESARIAL MARIE CURIE</v>
      </c>
      <c r="G643" s="18">
        <f t="shared" si="125"/>
        <v>70</v>
      </c>
      <c r="H643" s="19" t="str">
        <f t="shared" si="123"/>
        <v>53CONDOMINIO DO EDIFICIO EMPRESARIAL MARIE CURIE</v>
      </c>
      <c r="I643" s="19">
        <f t="shared" si="126"/>
        <v>53</v>
      </c>
      <c r="J643" s="30" t="s">
        <v>57</v>
      </c>
      <c r="K643" s="30" t="s">
        <v>769</v>
      </c>
      <c r="L643" s="30" t="s">
        <v>54</v>
      </c>
      <c r="M643" s="30" t="s">
        <v>60</v>
      </c>
      <c r="N643" s="33">
        <v>1069.3</v>
      </c>
      <c r="O643" s="30">
        <v>1622.13</v>
      </c>
      <c r="P643" s="29">
        <v>45609</v>
      </c>
      <c r="Q643" s="30"/>
      <c r="R643" s="30">
        <v>1622.13</v>
      </c>
      <c r="S643" s="30"/>
      <c r="T643" s="30"/>
      <c r="U643" s="30"/>
      <c r="V643" s="30"/>
      <c r="W643" s="30"/>
      <c r="X643" s="30"/>
      <c r="Y643" s="30"/>
      <c r="Z643" s="30"/>
      <c r="AA643" s="30">
        <v>0.51</v>
      </c>
      <c r="AB643" s="30">
        <v>25.86</v>
      </c>
      <c r="AC643" s="30">
        <v>154.98714285714286</v>
      </c>
      <c r="AD643" s="30">
        <v>72.930000000000007</v>
      </c>
      <c r="AE643" s="30">
        <v>424.89714285714285</v>
      </c>
      <c r="AF643" s="30"/>
      <c r="AG643" s="30"/>
      <c r="AH643" s="30">
        <v>2.6399999999999997</v>
      </c>
      <c r="AI643" s="30">
        <v>0</v>
      </c>
      <c r="AJ643" s="34">
        <v>413.64</v>
      </c>
      <c r="AK643" s="30">
        <v>88.419999999999987</v>
      </c>
      <c r="AL643" s="30"/>
      <c r="AM643" s="30"/>
      <c r="AN643" s="30">
        <v>-57.93</v>
      </c>
      <c r="AO643" s="30">
        <v>1</v>
      </c>
      <c r="AP643" s="30"/>
      <c r="AQ643" s="30"/>
      <c r="AR643" s="30">
        <v>18.779999999999998</v>
      </c>
      <c r="AS643" s="30">
        <v>-761.2</v>
      </c>
      <c r="AT643" s="30">
        <v>-57.93</v>
      </c>
      <c r="AU643" s="30">
        <v>1</v>
      </c>
      <c r="AW643" s="27">
        <f t="shared" si="127"/>
        <v>413.64064300000001</v>
      </c>
      <c r="AX643" s="27">
        <f t="shared" si="128"/>
        <v>72.930643000000003</v>
      </c>
      <c r="AY643" s="27">
        <f t="shared" si="129"/>
        <v>25.860643</v>
      </c>
      <c r="AZ643" s="27">
        <f t="shared" si="130"/>
        <v>6.4300000000000002E-4</v>
      </c>
    </row>
    <row r="644" spans="1:52" ht="15" customHeight="1" x14ac:dyDescent="0.25">
      <c r="A644" s="13" t="str">
        <f>VLOOKUP(L644,[1]VALIDAÇÃO!$D$13:$E$350,2,0)</f>
        <v>DIRETO</v>
      </c>
      <c r="B644" s="14" t="str">
        <f t="shared" si="120"/>
        <v>28RESERVA DO PAIVA SPE 01 LTDA.</v>
      </c>
      <c r="C644" s="15">
        <f t="shared" si="131"/>
        <v>28</v>
      </c>
      <c r="D644" s="16" t="str">
        <f t="shared" si="121"/>
        <v>25RESERVA DO PAIVA SPE 01 LTDA.</v>
      </c>
      <c r="E644" s="17">
        <f t="shared" si="124"/>
        <v>25</v>
      </c>
      <c r="F644" s="18" t="str">
        <f t="shared" si="122"/>
        <v>48RESERVA DO PAIVA SPE 01 LTDA.</v>
      </c>
      <c r="G644" s="18">
        <f t="shared" si="125"/>
        <v>48</v>
      </c>
      <c r="H644" s="19" t="str">
        <f t="shared" si="123"/>
        <v>61RESERVA DO PAIVA SPE 01 LTDA.</v>
      </c>
      <c r="I644" s="19">
        <f t="shared" si="126"/>
        <v>61</v>
      </c>
      <c r="J644" s="30" t="s">
        <v>68</v>
      </c>
      <c r="K644" s="30" t="s">
        <v>770</v>
      </c>
      <c r="L644" s="30" t="s">
        <v>435</v>
      </c>
      <c r="M644" s="30" t="s">
        <v>55</v>
      </c>
      <c r="N644" s="33">
        <v>2314.33</v>
      </c>
      <c r="O644" s="30">
        <v>2156</v>
      </c>
      <c r="P644" s="29">
        <v>45607</v>
      </c>
      <c r="Q644" s="29"/>
      <c r="R644" s="30">
        <v>2156</v>
      </c>
      <c r="S644" s="30"/>
      <c r="T644" s="30"/>
      <c r="U644" s="30"/>
      <c r="V644" s="30"/>
      <c r="W644" s="30"/>
      <c r="X644" s="30"/>
      <c r="Y644" s="30"/>
      <c r="Z644" s="30"/>
      <c r="AA644" s="30">
        <v>13.39</v>
      </c>
      <c r="AB644" s="30">
        <v>196.44</v>
      </c>
      <c r="AC644" s="30">
        <v>705.89285714285711</v>
      </c>
      <c r="AD644" s="30">
        <v>487.25</v>
      </c>
      <c r="AE644" s="30">
        <v>1917.6142857142859</v>
      </c>
      <c r="AF644" s="30"/>
      <c r="AG644" s="30"/>
      <c r="AH644" s="30">
        <v>61.67</v>
      </c>
      <c r="AI644" s="30">
        <v>0</v>
      </c>
      <c r="AJ644" s="34">
        <v>793.56999999999994</v>
      </c>
      <c r="AK644" s="30">
        <v>173.32999999999998</v>
      </c>
      <c r="AL644" s="30">
        <v>-36.770000000000003</v>
      </c>
      <c r="AM644" s="30">
        <v>210.14</v>
      </c>
      <c r="AN644" s="30"/>
      <c r="AO644" s="30"/>
      <c r="AP644" s="30">
        <v>186.95</v>
      </c>
      <c r="AQ644" s="30">
        <v>534.14</v>
      </c>
      <c r="AR644" s="30">
        <v>187.12</v>
      </c>
      <c r="AS644" s="30">
        <v>-979.4</v>
      </c>
      <c r="AT644" s="30"/>
      <c r="AU644" s="30"/>
      <c r="AW644" s="27">
        <f t="shared" si="127"/>
        <v>793.5706439999999</v>
      </c>
      <c r="AX644" s="27">
        <f t="shared" si="128"/>
        <v>487.25064400000002</v>
      </c>
      <c r="AY644" s="27">
        <f t="shared" si="129"/>
        <v>196.44064399999999</v>
      </c>
      <c r="AZ644" s="27">
        <f t="shared" si="130"/>
        <v>186.95064399999998</v>
      </c>
    </row>
    <row r="645" spans="1:52" ht="15" customHeight="1" x14ac:dyDescent="0.25">
      <c r="A645" s="13" t="str">
        <f>VLOOKUP(L645,[1]VALIDAÇÃO!$D$13:$E$350,2,0)</f>
        <v>DIRETO</v>
      </c>
      <c r="B645" s="14" t="str">
        <f t="shared" si="120"/>
        <v>59RIO AVE 200 SPE LTDA.</v>
      </c>
      <c r="C645" s="15">
        <f t="shared" si="131"/>
        <v>59</v>
      </c>
      <c r="D645" s="16" t="str">
        <f t="shared" si="121"/>
        <v>57RIO AVE 200 SPE LTDA.</v>
      </c>
      <c r="E645" s="17">
        <f t="shared" si="124"/>
        <v>57</v>
      </c>
      <c r="F645" s="18" t="str">
        <f t="shared" si="122"/>
        <v>53RIO AVE 200 SPE LTDA.</v>
      </c>
      <c r="G645" s="18">
        <f t="shared" si="125"/>
        <v>53</v>
      </c>
      <c r="H645" s="19" t="str">
        <f t="shared" si="123"/>
        <v>26RIO AVE 200 SPE LTDA.</v>
      </c>
      <c r="I645" s="19">
        <f t="shared" si="126"/>
        <v>26</v>
      </c>
      <c r="J645" s="30" t="s">
        <v>48</v>
      </c>
      <c r="K645" s="30" t="s">
        <v>771</v>
      </c>
      <c r="L645" s="30" t="s">
        <v>54</v>
      </c>
      <c r="M645" s="30" t="s">
        <v>55</v>
      </c>
      <c r="N645" s="33">
        <v>594.92999999999995</v>
      </c>
      <c r="O645" s="30">
        <v>1448.33</v>
      </c>
      <c r="P645" s="29">
        <v>45995</v>
      </c>
      <c r="Q645" s="29"/>
      <c r="R645" s="30">
        <v>1448.33</v>
      </c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>
        <v>27.31</v>
      </c>
      <c r="AE645" s="30">
        <v>122</v>
      </c>
      <c r="AF645" s="30"/>
      <c r="AG645" s="30"/>
      <c r="AH645" s="30"/>
      <c r="AI645" s="30"/>
      <c r="AJ645" s="34"/>
      <c r="AK645" s="30"/>
      <c r="AL645" s="30"/>
      <c r="AM645" s="30"/>
      <c r="AN645" s="30"/>
      <c r="AO645" s="30"/>
      <c r="AP645" s="30"/>
      <c r="AQ645" s="30"/>
      <c r="AR645" s="30">
        <v>6.83</v>
      </c>
      <c r="AS645" s="30">
        <v>-695.2</v>
      </c>
      <c r="AT645" s="30"/>
      <c r="AU645" s="30"/>
      <c r="AW645" s="27">
        <f t="shared" si="127"/>
        <v>6.4499999999999996E-4</v>
      </c>
      <c r="AX645" s="27">
        <f t="shared" si="128"/>
        <v>27.310644999999997</v>
      </c>
      <c r="AY645" s="27">
        <f t="shared" si="129"/>
        <v>6.4499999999999996E-4</v>
      </c>
      <c r="AZ645" s="27">
        <f t="shared" si="130"/>
        <v>6.4499999999999996E-4</v>
      </c>
    </row>
    <row r="646" spans="1:52" ht="15" customHeight="1" x14ac:dyDescent="0.25">
      <c r="A646" s="13" t="str">
        <f>VLOOKUP(L646,[1]VALIDAÇÃO!$D$13:$E$350,2,0)</f>
        <v>DIRETO</v>
      </c>
      <c r="B646" s="14" t="str">
        <f t="shared" si="120"/>
        <v>35RIO AVE 200 SPE LTDA.</v>
      </c>
      <c r="C646" s="15">
        <f t="shared" si="131"/>
        <v>35</v>
      </c>
      <c r="D646" s="16" t="str">
        <f t="shared" si="121"/>
        <v>21RIO AVE 200 SPE LTDA.</v>
      </c>
      <c r="E646" s="17">
        <f t="shared" si="124"/>
        <v>21</v>
      </c>
      <c r="F646" s="18" t="str">
        <f t="shared" si="122"/>
        <v>24RIO AVE 200 SPE LTDA.</v>
      </c>
      <c r="G646" s="18">
        <f t="shared" si="125"/>
        <v>24</v>
      </c>
      <c r="H646" s="19" t="str">
        <f t="shared" si="123"/>
        <v>25RIO AVE 200 SPE LTDA.</v>
      </c>
      <c r="I646" s="19">
        <f t="shared" si="126"/>
        <v>25</v>
      </c>
      <c r="J646" s="30" t="s">
        <v>48</v>
      </c>
      <c r="K646" s="30" t="s">
        <v>772</v>
      </c>
      <c r="L646" s="30" t="s">
        <v>54</v>
      </c>
      <c r="M646" s="30" t="s">
        <v>55</v>
      </c>
      <c r="N646" s="33">
        <v>1106.4100000000001</v>
      </c>
      <c r="O646" s="30">
        <v>1622.13</v>
      </c>
      <c r="P646" s="29">
        <v>45902</v>
      </c>
      <c r="Q646" s="29"/>
      <c r="R646" s="30">
        <v>1622.13</v>
      </c>
      <c r="S646" s="30"/>
      <c r="T646" s="30"/>
      <c r="U646" s="30"/>
      <c r="V646" s="30"/>
      <c r="W646" s="30"/>
      <c r="X646" s="30"/>
      <c r="Y646" s="30"/>
      <c r="Z646" s="30"/>
      <c r="AA646" s="30">
        <v>3.2399999999999998</v>
      </c>
      <c r="AB646" s="30">
        <v>50.080000000000005</v>
      </c>
      <c r="AC646" s="30">
        <v>737.61428571428576</v>
      </c>
      <c r="AD646" s="30">
        <v>177.26</v>
      </c>
      <c r="AE646" s="30">
        <v>1616.3285714285716</v>
      </c>
      <c r="AF646" s="30"/>
      <c r="AG646" s="30"/>
      <c r="AH646" s="30">
        <v>13.88</v>
      </c>
      <c r="AI646" s="30">
        <v>0</v>
      </c>
      <c r="AJ646" s="34">
        <v>419.08</v>
      </c>
      <c r="AK646" s="30">
        <v>93.45</v>
      </c>
      <c r="AL646" s="30"/>
      <c r="AM646" s="30"/>
      <c r="AN646" s="30"/>
      <c r="AO646" s="30"/>
      <c r="AP646" s="30"/>
      <c r="AQ646" s="30"/>
      <c r="AR646" s="30">
        <v>50.730000000000004</v>
      </c>
      <c r="AS646" s="30">
        <v>-695.2</v>
      </c>
      <c r="AT646" s="30"/>
      <c r="AU646" s="30"/>
      <c r="AW646" s="27">
        <f t="shared" si="127"/>
        <v>419.080646</v>
      </c>
      <c r="AX646" s="27">
        <f t="shared" si="128"/>
        <v>177.26064599999998</v>
      </c>
      <c r="AY646" s="27">
        <f t="shared" si="129"/>
        <v>50.080646000000009</v>
      </c>
      <c r="AZ646" s="27">
        <f t="shared" si="130"/>
        <v>6.4599999999999998E-4</v>
      </c>
    </row>
    <row r="647" spans="1:52" ht="15" customHeight="1" x14ac:dyDescent="0.25">
      <c r="A647" s="13" t="str">
        <f>VLOOKUP(L647,[1]VALIDAÇÃO!$D$13:$E$350,2,0)</f>
        <v>DIRETO</v>
      </c>
      <c r="B647" s="14" t="str">
        <f t="shared" si="120"/>
        <v>25RESERVA DO PAIVA SPE 01 LTDA.</v>
      </c>
      <c r="C647" s="15">
        <f t="shared" si="131"/>
        <v>25</v>
      </c>
      <c r="D647" s="16" t="str">
        <f t="shared" si="121"/>
        <v>66RESERVA DO PAIVA SPE 01 LTDA.</v>
      </c>
      <c r="E647" s="17">
        <f t="shared" si="124"/>
        <v>66</v>
      </c>
      <c r="F647" s="18" t="str">
        <f t="shared" si="122"/>
        <v>45RESERVA DO PAIVA SPE 01 LTDA.</v>
      </c>
      <c r="G647" s="18">
        <f t="shared" si="125"/>
        <v>45</v>
      </c>
      <c r="H647" s="19" t="str">
        <f t="shared" si="123"/>
        <v>38RESERVA DO PAIVA SPE 01 LTDA.</v>
      </c>
      <c r="I647" s="19">
        <f t="shared" si="126"/>
        <v>38</v>
      </c>
      <c r="J647" s="30" t="s">
        <v>68</v>
      </c>
      <c r="K647" s="30" t="s">
        <v>773</v>
      </c>
      <c r="L647" s="30" t="s">
        <v>435</v>
      </c>
      <c r="M647" s="30" t="s">
        <v>55</v>
      </c>
      <c r="N647" s="33">
        <v>2068.7600000000002</v>
      </c>
      <c r="O647" s="30">
        <v>2156</v>
      </c>
      <c r="P647" s="29">
        <v>45691</v>
      </c>
      <c r="Q647" s="29"/>
      <c r="R647" s="30">
        <v>2156</v>
      </c>
      <c r="S647" s="30"/>
      <c r="T647" s="30"/>
      <c r="U647" s="30"/>
      <c r="V647" s="30"/>
      <c r="W647" s="30"/>
      <c r="X647" s="30"/>
      <c r="Y647" s="30"/>
      <c r="Z647" s="30"/>
      <c r="AA647" s="30">
        <v>11.59</v>
      </c>
      <c r="AB647" s="30">
        <v>223.83</v>
      </c>
      <c r="AC647" s="30">
        <v>870.38285714285712</v>
      </c>
      <c r="AD647" s="30">
        <v>65.52</v>
      </c>
      <c r="AE647" s="30">
        <v>226.34</v>
      </c>
      <c r="AF647" s="30"/>
      <c r="AG647" s="30"/>
      <c r="AH647" s="30">
        <v>52.62</v>
      </c>
      <c r="AI647" s="30">
        <v>0</v>
      </c>
      <c r="AJ647" s="34">
        <v>832.47</v>
      </c>
      <c r="AK647" s="30">
        <v>182.93</v>
      </c>
      <c r="AL647" s="30"/>
      <c r="AM647" s="30"/>
      <c r="AN647" s="30"/>
      <c r="AO647" s="30"/>
      <c r="AP647" s="30">
        <v>320.69</v>
      </c>
      <c r="AQ647" s="30">
        <v>956.0114285714285</v>
      </c>
      <c r="AR647" s="30">
        <v>135.63</v>
      </c>
      <c r="AS647" s="30">
        <v>-924</v>
      </c>
      <c r="AT647" s="30"/>
      <c r="AU647" s="30"/>
      <c r="AW647" s="27">
        <f t="shared" si="127"/>
        <v>832.47064699999999</v>
      </c>
      <c r="AX647" s="27">
        <f t="shared" si="128"/>
        <v>65.520646999999997</v>
      </c>
      <c r="AY647" s="27">
        <f t="shared" si="129"/>
        <v>223.830647</v>
      </c>
      <c r="AZ647" s="27">
        <f t="shared" si="130"/>
        <v>320.69064700000001</v>
      </c>
    </row>
    <row r="648" spans="1:52" ht="15" customHeight="1" x14ac:dyDescent="0.25">
      <c r="A648" s="13" t="str">
        <f>VLOOKUP(L648,[1]VALIDAÇÃO!$D$13:$E$350,2,0)</f>
        <v>DIRETO</v>
      </c>
      <c r="B648" s="14" t="str">
        <f t="shared" si="120"/>
        <v>107CONDOMINIO DO EDIFICIO EMPRESARIAL MARIE CURIE</v>
      </c>
      <c r="C648" s="15">
        <f t="shared" si="131"/>
        <v>107</v>
      </c>
      <c r="D648" s="16" t="str">
        <f t="shared" si="121"/>
        <v>24CONDOMINIO DO EDIFICIO EMPRESARIAL MARIE CURIE</v>
      </c>
      <c r="E648" s="17">
        <f t="shared" si="124"/>
        <v>24</v>
      </c>
      <c r="F648" s="18" t="str">
        <f t="shared" si="122"/>
        <v>23CONDOMINIO DO EDIFICIO EMPRESARIAL MARIE CURIE</v>
      </c>
      <c r="G648" s="18">
        <f t="shared" si="125"/>
        <v>23</v>
      </c>
      <c r="H648" s="19" t="str">
        <f t="shared" si="123"/>
        <v>13CONDOMINIO DO EDIFICIO EMPRESARIAL MARIE CURIE</v>
      </c>
      <c r="I648" s="19">
        <f t="shared" si="126"/>
        <v>13</v>
      </c>
      <c r="J648" s="30" t="s">
        <v>57</v>
      </c>
      <c r="K648" s="30" t="s">
        <v>774</v>
      </c>
      <c r="L648" s="30" t="s">
        <v>54</v>
      </c>
      <c r="M648" s="30" t="s">
        <v>60</v>
      </c>
      <c r="N648" s="33">
        <v>1359.04</v>
      </c>
      <c r="O648" s="30">
        <v>1622.13</v>
      </c>
      <c r="P648" s="29">
        <v>45964</v>
      </c>
      <c r="Q648" s="29"/>
      <c r="R648" s="30">
        <v>1622.13</v>
      </c>
      <c r="S648" s="30"/>
      <c r="T648" s="30"/>
      <c r="U648" s="30"/>
      <c r="V648" s="30"/>
      <c r="W648" s="30"/>
      <c r="X648" s="30"/>
      <c r="Y648" s="30"/>
      <c r="Z648" s="30"/>
      <c r="AA648" s="30">
        <v>2.76</v>
      </c>
      <c r="AB648" s="30">
        <v>186.29</v>
      </c>
      <c r="AC648" s="30">
        <v>1392.4940000000001</v>
      </c>
      <c r="AD648" s="30">
        <v>278.58999999999997</v>
      </c>
      <c r="AE648" s="30">
        <v>1736.8940000000002</v>
      </c>
      <c r="AF648" s="30"/>
      <c r="AG648" s="30"/>
      <c r="AH648" s="30">
        <v>12.71</v>
      </c>
      <c r="AI648" s="30">
        <v>0</v>
      </c>
      <c r="AJ648" s="34">
        <v>101.54</v>
      </c>
      <c r="AK648" s="30">
        <v>22.07</v>
      </c>
      <c r="AL648" s="30"/>
      <c r="AM648" s="30"/>
      <c r="AN648" s="30"/>
      <c r="AO648" s="30"/>
      <c r="AP648" s="30">
        <v>160.01</v>
      </c>
      <c r="AQ648" s="30">
        <v>1179.894</v>
      </c>
      <c r="AR648" s="30">
        <v>140.12</v>
      </c>
      <c r="AS648" s="30">
        <v>-695.2</v>
      </c>
      <c r="AT648" s="30"/>
      <c r="AU648" s="30"/>
      <c r="AW648" s="27">
        <f t="shared" si="127"/>
        <v>101.540648</v>
      </c>
      <c r="AX648" s="27">
        <f t="shared" si="128"/>
        <v>278.59064799999999</v>
      </c>
      <c r="AY648" s="27">
        <f t="shared" si="129"/>
        <v>186.290648</v>
      </c>
      <c r="AZ648" s="27">
        <f t="shared" si="130"/>
        <v>160.010648</v>
      </c>
    </row>
    <row r="649" spans="1:52" ht="15" customHeight="1" x14ac:dyDescent="0.25">
      <c r="A649" s="13" t="str">
        <f>VLOOKUP(L649,[1]VALIDAÇÃO!$D$13:$E$350,2,0)</f>
        <v>DIRETO</v>
      </c>
      <c r="B649" s="14" t="str">
        <f t="shared" si="120"/>
        <v>106CONDOMINIO DO EDIFICIO EMPRESARIAL MARIE CURIE</v>
      </c>
      <c r="C649" s="15">
        <f t="shared" si="131"/>
        <v>106</v>
      </c>
      <c r="D649" s="16" t="str">
        <f t="shared" si="121"/>
        <v>63CONDOMINIO DO EDIFICIO EMPRESARIAL MARIE CURIE</v>
      </c>
      <c r="E649" s="17">
        <f t="shared" si="124"/>
        <v>63</v>
      </c>
      <c r="F649" s="18" t="str">
        <f t="shared" si="122"/>
        <v>36CONDOMINIO DO EDIFICIO EMPRESARIAL MARIE CURIE</v>
      </c>
      <c r="G649" s="18">
        <f t="shared" si="125"/>
        <v>36</v>
      </c>
      <c r="H649" s="19" t="str">
        <f t="shared" si="123"/>
        <v>52CONDOMINIO DO EDIFICIO EMPRESARIAL MARIE CURIE</v>
      </c>
      <c r="I649" s="19">
        <f t="shared" si="126"/>
        <v>52</v>
      </c>
      <c r="J649" s="30" t="s">
        <v>57</v>
      </c>
      <c r="K649" s="30" t="s">
        <v>775</v>
      </c>
      <c r="L649" s="30" t="s">
        <v>54</v>
      </c>
      <c r="M649" s="30" t="s">
        <v>60</v>
      </c>
      <c r="N649" s="33">
        <v>925.24</v>
      </c>
      <c r="O649" s="30">
        <v>1622.13</v>
      </c>
      <c r="P649" s="29">
        <v>45931</v>
      </c>
      <c r="Q649" s="29"/>
      <c r="R649" s="30">
        <v>1622.13</v>
      </c>
      <c r="S649" s="30"/>
      <c r="T649" s="30"/>
      <c r="U649" s="30"/>
      <c r="V649" s="30"/>
      <c r="W649" s="30"/>
      <c r="X649" s="30"/>
      <c r="Y649" s="30"/>
      <c r="Z649" s="30"/>
      <c r="AA649" s="30">
        <v>1.1400000000000001</v>
      </c>
      <c r="AB649" s="30">
        <v>110.4</v>
      </c>
      <c r="AC649" s="30">
        <v>903.31857142857143</v>
      </c>
      <c r="AD649" s="30">
        <v>116.51</v>
      </c>
      <c r="AE649" s="30">
        <v>882.0328571428571</v>
      </c>
      <c r="AF649" s="30"/>
      <c r="AG649" s="30"/>
      <c r="AH649" s="30">
        <v>5.0200000000000005</v>
      </c>
      <c r="AI649" s="30">
        <v>0</v>
      </c>
      <c r="AJ649" s="34">
        <v>124.81</v>
      </c>
      <c r="AK649" s="30">
        <v>28.33</v>
      </c>
      <c r="AL649" s="30"/>
      <c r="AM649" s="30"/>
      <c r="AN649" s="30"/>
      <c r="AO649" s="30"/>
      <c r="AP649" s="30"/>
      <c r="AQ649" s="30"/>
      <c r="AR649" s="30">
        <v>51.330000000000005</v>
      </c>
      <c r="AS649" s="30">
        <v>-695.2</v>
      </c>
      <c r="AT649" s="30"/>
      <c r="AU649" s="30"/>
      <c r="AW649" s="27">
        <f t="shared" si="127"/>
        <v>124.810649</v>
      </c>
      <c r="AX649" s="27">
        <f t="shared" si="128"/>
        <v>116.510649</v>
      </c>
      <c r="AY649" s="27">
        <f t="shared" si="129"/>
        <v>110.400649</v>
      </c>
      <c r="AZ649" s="27">
        <f t="shared" si="130"/>
        <v>6.4899999999999995E-4</v>
      </c>
    </row>
    <row r="650" spans="1:52" ht="15" customHeight="1" x14ac:dyDescent="0.25">
      <c r="A650" s="13" t="str">
        <f>VLOOKUP(L650,[1]VALIDAÇÃO!$D$13:$E$350,2,0)</f>
        <v>DIRETO</v>
      </c>
      <c r="B650" s="14" t="str">
        <f t="shared" si="120"/>
        <v>49RIO AVE 200 SPE LTDA.</v>
      </c>
      <c r="C650" s="15">
        <f t="shared" si="131"/>
        <v>49</v>
      </c>
      <c r="D650" s="16" t="str">
        <f t="shared" si="121"/>
        <v>54RIO AVE 200 SPE LTDA.</v>
      </c>
      <c r="E650" s="17">
        <f t="shared" si="124"/>
        <v>54</v>
      </c>
      <c r="F650" s="18" t="str">
        <f t="shared" si="122"/>
        <v>52RIO AVE 200 SPE LTDA.</v>
      </c>
      <c r="G650" s="18">
        <f t="shared" si="125"/>
        <v>52</v>
      </c>
      <c r="H650" s="19" t="str">
        <f t="shared" si="123"/>
        <v>24RIO AVE 200 SPE LTDA.</v>
      </c>
      <c r="I650" s="19">
        <f t="shared" si="126"/>
        <v>24</v>
      </c>
      <c r="J650" s="30" t="s">
        <v>48</v>
      </c>
      <c r="K650" s="30" t="s">
        <v>776</v>
      </c>
      <c r="L650" s="30" t="s">
        <v>54</v>
      </c>
      <c r="M650" s="30" t="s">
        <v>55</v>
      </c>
      <c r="N650" s="33">
        <v>918.02</v>
      </c>
      <c r="O650" s="30">
        <v>1622.13</v>
      </c>
      <c r="P650" s="29">
        <v>45981</v>
      </c>
      <c r="Q650" s="30"/>
      <c r="R650" s="30">
        <v>1622.13</v>
      </c>
      <c r="S650" s="30"/>
      <c r="T650" s="30"/>
      <c r="U650" s="30"/>
      <c r="V650" s="30"/>
      <c r="W650" s="30"/>
      <c r="X650" s="30"/>
      <c r="Y650" s="30"/>
      <c r="Z650" s="30"/>
      <c r="AA650" s="30">
        <v>0.55000000000000004</v>
      </c>
      <c r="AB650" s="30"/>
      <c r="AC650" s="30"/>
      <c r="AD650" s="30">
        <v>48.57</v>
      </c>
      <c r="AE650" s="30">
        <v>217</v>
      </c>
      <c r="AF650" s="30"/>
      <c r="AG650" s="30"/>
      <c r="AH650" s="30">
        <v>2.5099999999999998</v>
      </c>
      <c r="AI650" s="30">
        <v>0</v>
      </c>
      <c r="AJ650" s="34">
        <v>218.4</v>
      </c>
      <c r="AK650" s="30">
        <v>47.48</v>
      </c>
      <c r="AL650" s="30"/>
      <c r="AM650" s="30"/>
      <c r="AN650" s="30"/>
      <c r="AO650" s="30"/>
      <c r="AP650" s="30"/>
      <c r="AQ650" s="30"/>
      <c r="AR650" s="30">
        <v>10.56</v>
      </c>
      <c r="AS650" s="30">
        <v>-695.2</v>
      </c>
      <c r="AT650" s="30"/>
      <c r="AU650" s="30"/>
      <c r="AW650" s="27">
        <f t="shared" si="127"/>
        <v>218.40065000000001</v>
      </c>
      <c r="AX650" s="27">
        <f t="shared" si="128"/>
        <v>48.570650000000001</v>
      </c>
      <c r="AY650" s="27">
        <f t="shared" si="129"/>
        <v>6.4999999999999997E-4</v>
      </c>
      <c r="AZ650" s="27">
        <f t="shared" si="130"/>
        <v>6.4999999999999997E-4</v>
      </c>
    </row>
    <row r="651" spans="1:52" ht="15" customHeight="1" x14ac:dyDescent="0.25">
      <c r="A651" s="13" t="str">
        <f>VLOOKUP(L651,[1]VALIDAÇÃO!$D$13:$E$350,2,0)</f>
        <v>DIRETO</v>
      </c>
      <c r="B651" s="14" t="str">
        <f t="shared" si="120"/>
        <v>133RIO AVE CARNEIROS 01 SPE LTDA.</v>
      </c>
      <c r="C651" s="15">
        <f t="shared" si="131"/>
        <v>133</v>
      </c>
      <c r="D651" s="16" t="str">
        <f t="shared" si="121"/>
        <v>71RIO AVE CARNEIROS 01 SPE LTDA.</v>
      </c>
      <c r="E651" s="17">
        <f t="shared" si="124"/>
        <v>71</v>
      </c>
      <c r="F651" s="18" t="str">
        <f t="shared" si="122"/>
        <v>136RIO AVE CARNEIROS 01 SPE LTDA.</v>
      </c>
      <c r="G651" s="18">
        <f t="shared" si="125"/>
        <v>136</v>
      </c>
      <c r="H651" s="19" t="str">
        <f t="shared" si="123"/>
        <v>94RIO AVE CARNEIROS 01 SPE LTDA.</v>
      </c>
      <c r="I651" s="19">
        <f t="shared" si="126"/>
        <v>94</v>
      </c>
      <c r="J651" s="30" t="s">
        <v>61</v>
      </c>
      <c r="K651" s="30" t="s">
        <v>777</v>
      </c>
      <c r="L651" s="30" t="s">
        <v>63</v>
      </c>
      <c r="M651" s="30" t="s">
        <v>55</v>
      </c>
      <c r="N651" s="33">
        <v>1173.57</v>
      </c>
      <c r="O651" s="30">
        <v>2156</v>
      </c>
      <c r="P651" s="29">
        <v>45981</v>
      </c>
      <c r="Q651" s="29"/>
      <c r="R651" s="30">
        <v>2156</v>
      </c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>
        <v>74.67</v>
      </c>
      <c r="AE651" s="30">
        <v>251</v>
      </c>
      <c r="AF651" s="30"/>
      <c r="AG651" s="30"/>
      <c r="AH651" s="30"/>
      <c r="AI651" s="30"/>
      <c r="AJ651" s="34"/>
      <c r="AK651" s="30"/>
      <c r="AL651" s="30"/>
      <c r="AM651" s="30"/>
      <c r="AN651" s="30"/>
      <c r="AO651" s="30"/>
      <c r="AP651" s="30"/>
      <c r="AQ651" s="30"/>
      <c r="AR651" s="30">
        <v>16.23</v>
      </c>
      <c r="AS651" s="30">
        <v>-1014</v>
      </c>
      <c r="AT651" s="30"/>
      <c r="AU651" s="30"/>
      <c r="AW651" s="27">
        <f t="shared" si="127"/>
        <v>6.5099999999999999E-4</v>
      </c>
      <c r="AX651" s="27">
        <f t="shared" si="128"/>
        <v>74.670651000000007</v>
      </c>
      <c r="AY651" s="27">
        <f t="shared" si="129"/>
        <v>6.5099999999999999E-4</v>
      </c>
      <c r="AZ651" s="27">
        <f t="shared" si="130"/>
        <v>6.5099999999999999E-4</v>
      </c>
    </row>
    <row r="652" spans="1:52" ht="15" customHeight="1" x14ac:dyDescent="0.25">
      <c r="A652" s="13" t="str">
        <f>VLOOKUP(L652,[1]VALIDAÇÃO!$D$13:$E$350,2,0)</f>
        <v>DIRETO</v>
      </c>
      <c r="B652" s="14" t="str">
        <f t="shared" si="120"/>
        <v>101RIO AVE CARNEIROS 01 SPE LTDA.</v>
      </c>
      <c r="C652" s="15">
        <f t="shared" si="131"/>
        <v>101</v>
      </c>
      <c r="D652" s="16" t="str">
        <f t="shared" si="121"/>
        <v>77RIO AVE CARNEIROS 01 SPE LTDA.</v>
      </c>
      <c r="E652" s="17">
        <f t="shared" si="124"/>
        <v>77</v>
      </c>
      <c r="F652" s="18" t="str">
        <f t="shared" si="122"/>
        <v>80RIO AVE CARNEIROS 01 SPE LTDA.</v>
      </c>
      <c r="G652" s="18">
        <f t="shared" si="125"/>
        <v>80</v>
      </c>
      <c r="H652" s="19" t="str">
        <f t="shared" si="123"/>
        <v>93RIO AVE CARNEIROS 01 SPE LTDA.</v>
      </c>
      <c r="I652" s="19">
        <f t="shared" si="126"/>
        <v>93</v>
      </c>
      <c r="J652" s="30" t="s">
        <v>61</v>
      </c>
      <c r="K652" s="30" t="s">
        <v>778</v>
      </c>
      <c r="L652" s="30" t="s">
        <v>63</v>
      </c>
      <c r="M652" s="30" t="s">
        <v>55</v>
      </c>
      <c r="N652" s="33">
        <v>970.49</v>
      </c>
      <c r="O652" s="30">
        <v>2156</v>
      </c>
      <c r="P652" s="29">
        <v>45797</v>
      </c>
      <c r="Q652" s="30"/>
      <c r="R652" s="30">
        <v>2156</v>
      </c>
      <c r="S652" s="30"/>
      <c r="T652" s="30"/>
      <c r="U652" s="30"/>
      <c r="V652" s="30"/>
      <c r="W652" s="30"/>
      <c r="X652" s="30"/>
      <c r="Y652" s="30"/>
      <c r="Z652" s="30"/>
      <c r="AA652" s="30">
        <v>1.0999999999999999</v>
      </c>
      <c r="AB652" s="30">
        <v>70.02000000000001</v>
      </c>
      <c r="AC652" s="30">
        <v>492.04285714285714</v>
      </c>
      <c r="AD652" s="30">
        <v>53.1</v>
      </c>
      <c r="AE652" s="30">
        <v>295.7</v>
      </c>
      <c r="AF652" s="30"/>
      <c r="AG652" s="30"/>
      <c r="AH652" s="30">
        <v>5.68</v>
      </c>
      <c r="AI652" s="30">
        <v>0</v>
      </c>
      <c r="AJ652" s="34">
        <v>203.39</v>
      </c>
      <c r="AK652" s="30">
        <v>44.96</v>
      </c>
      <c r="AL652" s="30">
        <v>-2.8</v>
      </c>
      <c r="AM652" s="30">
        <v>16</v>
      </c>
      <c r="AN652" s="30">
        <v>-77</v>
      </c>
      <c r="AO652" s="30">
        <v>1</v>
      </c>
      <c r="AP652" s="30"/>
      <c r="AQ652" s="30"/>
      <c r="AR652" s="30">
        <v>25.03</v>
      </c>
      <c r="AS652" s="30">
        <v>-1014</v>
      </c>
      <c r="AT652" s="30">
        <v>-77</v>
      </c>
      <c r="AU652" s="30">
        <v>1</v>
      </c>
      <c r="AW652" s="27">
        <f t="shared" si="127"/>
        <v>203.39065199999999</v>
      </c>
      <c r="AX652" s="27">
        <f t="shared" si="128"/>
        <v>53.100652000000004</v>
      </c>
      <c r="AY652" s="27">
        <f t="shared" si="129"/>
        <v>70.020652000000013</v>
      </c>
      <c r="AZ652" s="27">
        <f t="shared" si="130"/>
        <v>6.5200000000000002E-4</v>
      </c>
    </row>
    <row r="653" spans="1:52" ht="15" customHeight="1" x14ac:dyDescent="0.25">
      <c r="A653" s="13" t="str">
        <f>VLOOKUP(L653,[1]VALIDAÇÃO!$D$13:$E$350,2,0)</f>
        <v>DIRETO</v>
      </c>
      <c r="B653" s="14" t="str">
        <f t="shared" si="120"/>
        <v>13CONDOMINIO DO EDIFICIO EMPRESARIAL MARIE CURIE</v>
      </c>
      <c r="C653" s="15">
        <f t="shared" si="131"/>
        <v>13</v>
      </c>
      <c r="D653" s="16" t="str">
        <f t="shared" si="121"/>
        <v>71CONDOMINIO DO EDIFICIO EMPRESARIAL MARIE CURIE</v>
      </c>
      <c r="E653" s="17">
        <f t="shared" si="124"/>
        <v>71</v>
      </c>
      <c r="F653" s="18" t="str">
        <f t="shared" si="122"/>
        <v>99CONDOMINIO DO EDIFICIO EMPRESARIAL MARIE CURIE</v>
      </c>
      <c r="G653" s="18">
        <f t="shared" si="125"/>
        <v>99</v>
      </c>
      <c r="H653" s="19" t="str">
        <f t="shared" si="123"/>
        <v>51CONDOMINIO DO EDIFICIO EMPRESARIAL MARIE CURIE</v>
      </c>
      <c r="I653" s="19">
        <f t="shared" si="126"/>
        <v>51</v>
      </c>
      <c r="J653" s="30" t="s">
        <v>57</v>
      </c>
      <c r="K653" s="30" t="s">
        <v>779</v>
      </c>
      <c r="L653" s="30" t="s">
        <v>66</v>
      </c>
      <c r="M653" s="30" t="s">
        <v>60</v>
      </c>
      <c r="N653" s="33">
        <v>1703.29</v>
      </c>
      <c r="O653" s="30">
        <v>2156</v>
      </c>
      <c r="P653" s="29">
        <v>45558</v>
      </c>
      <c r="Q653" s="29"/>
      <c r="R653" s="30">
        <v>2156</v>
      </c>
      <c r="S653" s="30"/>
      <c r="T653" s="30"/>
      <c r="U653" s="30"/>
      <c r="V653" s="30"/>
      <c r="W653" s="30"/>
      <c r="X653" s="30"/>
      <c r="Y653" s="30"/>
      <c r="Z653" s="30"/>
      <c r="AA653" s="30">
        <v>2.17</v>
      </c>
      <c r="AB653" s="30"/>
      <c r="AC653" s="30"/>
      <c r="AD653" s="30">
        <v>90.08</v>
      </c>
      <c r="AE653" s="30">
        <v>384.56714285714287</v>
      </c>
      <c r="AF653" s="30"/>
      <c r="AG653" s="30"/>
      <c r="AH653" s="30">
        <v>10.51</v>
      </c>
      <c r="AI653" s="30">
        <v>0</v>
      </c>
      <c r="AJ653" s="34">
        <v>1261.53</v>
      </c>
      <c r="AK653" s="30">
        <v>265.07</v>
      </c>
      <c r="AL653" s="30">
        <v>-8.26</v>
      </c>
      <c r="AM653" s="30">
        <v>47.19</v>
      </c>
      <c r="AN653" s="30"/>
      <c r="AO653" s="30"/>
      <c r="AP653" s="30"/>
      <c r="AQ653" s="30"/>
      <c r="AR653" s="30">
        <v>18.36</v>
      </c>
      <c r="AS653" s="30">
        <v>-982.5</v>
      </c>
      <c r="AT653" s="30"/>
      <c r="AU653" s="30"/>
      <c r="AW653" s="27">
        <f t="shared" si="127"/>
        <v>1261.530653</v>
      </c>
      <c r="AX653" s="27">
        <f t="shared" si="128"/>
        <v>90.080652999999998</v>
      </c>
      <c r="AY653" s="27">
        <f t="shared" si="129"/>
        <v>6.5300000000000004E-4</v>
      </c>
      <c r="AZ653" s="27">
        <f t="shared" si="130"/>
        <v>6.5300000000000004E-4</v>
      </c>
    </row>
    <row r="654" spans="1:52" ht="15" customHeight="1" x14ac:dyDescent="0.25">
      <c r="A654" s="13" t="str">
        <f>VLOOKUP(L654,[1]VALIDAÇÃO!$D$13:$E$350,2,0)</f>
        <v>DIRETO</v>
      </c>
      <c r="B654" s="14" t="str">
        <f t="shared" si="120"/>
        <v>95CONDOMINIO DO EDIFICIO EMPRESARIAL MARIE CURIE</v>
      </c>
      <c r="C654" s="15">
        <f t="shared" si="131"/>
        <v>95</v>
      </c>
      <c r="D654" s="16" t="str">
        <f t="shared" si="121"/>
        <v>23CONDOMINIO DO EDIFICIO EMPRESARIAL MARIE CURIE</v>
      </c>
      <c r="E654" s="17">
        <f t="shared" si="124"/>
        <v>23</v>
      </c>
      <c r="F654" s="18" t="str">
        <f t="shared" si="122"/>
        <v>15CONDOMINIO DO EDIFICIO EMPRESARIAL MARIE CURIE</v>
      </c>
      <c r="G654" s="18">
        <f t="shared" si="125"/>
        <v>15</v>
      </c>
      <c r="H654" s="19" t="str">
        <f t="shared" si="123"/>
        <v>5CONDOMINIO DO EDIFICIO EMPRESARIAL MARIE CURIE</v>
      </c>
      <c r="I654" s="19">
        <f t="shared" si="126"/>
        <v>5</v>
      </c>
      <c r="J654" s="30" t="s">
        <v>57</v>
      </c>
      <c r="K654" s="30" t="s">
        <v>780</v>
      </c>
      <c r="L654" s="30" t="s">
        <v>54</v>
      </c>
      <c r="M654" s="30" t="s">
        <v>60</v>
      </c>
      <c r="N654" s="33">
        <v>655.78</v>
      </c>
      <c r="O654" s="30">
        <v>1622.13</v>
      </c>
      <c r="P654" s="29">
        <v>45880</v>
      </c>
      <c r="Q654" s="30"/>
      <c r="R654" s="30">
        <v>1622.13</v>
      </c>
      <c r="S654" s="30"/>
      <c r="T654" s="30"/>
      <c r="U654" s="30"/>
      <c r="V654" s="30"/>
      <c r="W654" s="30"/>
      <c r="X654" s="30"/>
      <c r="Y654" s="30"/>
      <c r="Z654" s="30"/>
      <c r="AA654" s="30">
        <v>5.1400000000000006</v>
      </c>
      <c r="AB654" s="30">
        <v>266.61</v>
      </c>
      <c r="AC654" s="30">
        <v>1807.3571428571429</v>
      </c>
      <c r="AD654" s="30">
        <v>281.83999999999997</v>
      </c>
      <c r="AE654" s="30">
        <v>2403.1428571428569</v>
      </c>
      <c r="AF654" s="30"/>
      <c r="AG654" s="30"/>
      <c r="AH654" s="30">
        <v>23.47</v>
      </c>
      <c r="AI654" s="30">
        <v>0</v>
      </c>
      <c r="AJ654" s="34">
        <v>173.78</v>
      </c>
      <c r="AK654" s="30">
        <v>37.86</v>
      </c>
      <c r="AL654" s="30"/>
      <c r="AM654" s="30"/>
      <c r="AN654" s="30"/>
      <c r="AO654" s="30"/>
      <c r="AP654" s="30">
        <v>295.33</v>
      </c>
      <c r="AQ654" s="30">
        <v>1503.5714285714284</v>
      </c>
      <c r="AR654" s="30">
        <v>184.15</v>
      </c>
      <c r="AS654" s="30">
        <v>-695.2</v>
      </c>
      <c r="AT654" s="30"/>
      <c r="AU654" s="30"/>
      <c r="AW654" s="27">
        <f t="shared" si="127"/>
        <v>173.780654</v>
      </c>
      <c r="AX654" s="27">
        <f t="shared" si="128"/>
        <v>281.84065399999997</v>
      </c>
      <c r="AY654" s="27">
        <f t="shared" si="129"/>
        <v>266.61065400000001</v>
      </c>
      <c r="AZ654" s="27">
        <f t="shared" si="130"/>
        <v>295.33065399999998</v>
      </c>
    </row>
    <row r="655" spans="1:52" ht="15" customHeight="1" x14ac:dyDescent="0.25">
      <c r="A655" s="13" t="str">
        <f>VLOOKUP(L655,[1]VALIDAÇÃO!$D$13:$E$350,2,0)</f>
        <v>INDIRETO</v>
      </c>
      <c r="B655" s="14" t="str">
        <f t="shared" si="120"/>
        <v>97CONDOMINIO DO EDIFICIO EMPRESARIAL MARIE CURIE</v>
      </c>
      <c r="C655" s="15">
        <f t="shared" si="131"/>
        <v>97</v>
      </c>
      <c r="D655" s="16" t="str">
        <f t="shared" si="121"/>
        <v>2CONDOMINIO DO EDIFICIO EMPRESARIAL MARIE CURIE</v>
      </c>
      <c r="E655" s="17">
        <f t="shared" si="124"/>
        <v>2</v>
      </c>
      <c r="F655" s="18" t="str">
        <f t="shared" si="122"/>
        <v>7CONDOMINIO DO EDIFICIO EMPRESARIAL MARIE CURIE</v>
      </c>
      <c r="G655" s="18">
        <f t="shared" si="125"/>
        <v>7</v>
      </c>
      <c r="H655" s="19" t="str">
        <f t="shared" si="123"/>
        <v>37CONDOMINIO DO EDIFICIO EMPRESARIAL MARIE CURIE</v>
      </c>
      <c r="I655" s="19">
        <f t="shared" si="126"/>
        <v>37</v>
      </c>
      <c r="J655" s="30" t="s">
        <v>57</v>
      </c>
      <c r="K655" s="30" t="s">
        <v>781</v>
      </c>
      <c r="L655" s="30" t="s">
        <v>249</v>
      </c>
      <c r="M655" s="30" t="s">
        <v>60</v>
      </c>
      <c r="N655" s="33">
        <v>1548.57</v>
      </c>
      <c r="O655" s="30">
        <v>2156</v>
      </c>
      <c r="P655" s="29">
        <v>45250</v>
      </c>
      <c r="Q655" s="30"/>
      <c r="R655" s="30">
        <v>2156</v>
      </c>
      <c r="S655" s="30"/>
      <c r="T655" s="30"/>
      <c r="U655" s="30"/>
      <c r="V655" s="30"/>
      <c r="W655" s="30">
        <v>0.08</v>
      </c>
      <c r="X655" s="30">
        <v>2.14</v>
      </c>
      <c r="Y655" s="30"/>
      <c r="Z655" s="30"/>
      <c r="AA655" s="30">
        <v>4.7399999999999993</v>
      </c>
      <c r="AB655" s="30">
        <v>342.43</v>
      </c>
      <c r="AC655" s="30">
        <v>1348.8914285714286</v>
      </c>
      <c r="AD655" s="30">
        <v>1232.69</v>
      </c>
      <c r="AE655" s="30">
        <v>4895.1442857142856</v>
      </c>
      <c r="AF655" s="30"/>
      <c r="AG655" s="30"/>
      <c r="AH655" s="30">
        <v>22.29</v>
      </c>
      <c r="AI655" s="30">
        <v>0</v>
      </c>
      <c r="AJ655" s="34">
        <v>172.9</v>
      </c>
      <c r="AK655" s="30">
        <v>36.619999999999997</v>
      </c>
      <c r="AL655" s="30"/>
      <c r="AM655" s="30"/>
      <c r="AN655" s="30"/>
      <c r="AO655" s="30"/>
      <c r="AP655" s="30">
        <v>4.5</v>
      </c>
      <c r="AQ655" s="30">
        <v>12.87</v>
      </c>
      <c r="AR655" s="30">
        <v>322.69</v>
      </c>
      <c r="AS655" s="30">
        <v>-924</v>
      </c>
      <c r="AT655" s="30"/>
      <c r="AU655" s="30"/>
      <c r="AW655" s="27">
        <f t="shared" si="127"/>
        <v>172.900655</v>
      </c>
      <c r="AX655" s="27">
        <f t="shared" si="128"/>
        <v>1232.6906550000001</v>
      </c>
      <c r="AY655" s="27">
        <f t="shared" si="129"/>
        <v>342.430655</v>
      </c>
      <c r="AZ655" s="27">
        <f t="shared" si="130"/>
        <v>4.5006550000000001</v>
      </c>
    </row>
    <row r="656" spans="1:52" ht="15" customHeight="1" x14ac:dyDescent="0.25">
      <c r="A656" s="13" t="str">
        <f>VLOOKUP(L656,[1]VALIDAÇÃO!$D$13:$E$350,2,0)</f>
        <v>INDIRETO</v>
      </c>
      <c r="B656" s="14" t="str">
        <f t="shared" si="120"/>
        <v>6RIO AVE SUBHOLDING INCORPORACAO LTDA</v>
      </c>
      <c r="C656" s="15">
        <f t="shared" si="131"/>
        <v>6</v>
      </c>
      <c r="D656" s="16" t="str">
        <f t="shared" si="121"/>
        <v>8RIO AVE SUBHOLDING INCORPORACAO LTDA</v>
      </c>
      <c r="E656" s="17">
        <f t="shared" si="124"/>
        <v>8</v>
      </c>
      <c r="F656" s="18" t="str">
        <f t="shared" si="122"/>
        <v>6RIO AVE SUBHOLDING INCORPORACAO LTDA</v>
      </c>
      <c r="G656" s="18">
        <f t="shared" si="125"/>
        <v>6</v>
      </c>
      <c r="H656" s="19" t="str">
        <f t="shared" si="123"/>
        <v>4RIO AVE SUBHOLDING INCORPORACAO LTDA</v>
      </c>
      <c r="I656" s="19">
        <f t="shared" si="126"/>
        <v>4</v>
      </c>
      <c r="J656" s="30" t="s">
        <v>124</v>
      </c>
      <c r="K656" s="30" t="s">
        <v>782</v>
      </c>
      <c r="L656" s="30" t="s">
        <v>141</v>
      </c>
      <c r="M656" s="30" t="s">
        <v>181</v>
      </c>
      <c r="N656" s="33">
        <v>1129.9100000000001</v>
      </c>
      <c r="O656" s="30">
        <v>2838.54</v>
      </c>
      <c r="P656" s="29">
        <v>45819</v>
      </c>
      <c r="Q656" s="30"/>
      <c r="R656" s="30">
        <v>2838.54</v>
      </c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4"/>
      <c r="AK656" s="30"/>
      <c r="AL656" s="30"/>
      <c r="AM656" s="30"/>
      <c r="AN656" s="30"/>
      <c r="AO656" s="30"/>
      <c r="AP656" s="30"/>
      <c r="AQ656" s="30"/>
      <c r="AR656" s="30"/>
      <c r="AS656" s="30">
        <v>-1261.57</v>
      </c>
      <c r="AT656" s="30"/>
      <c r="AU656" s="30"/>
      <c r="AW656" s="27">
        <f t="shared" si="127"/>
        <v>6.5600000000000001E-4</v>
      </c>
      <c r="AX656" s="27">
        <f t="shared" si="128"/>
        <v>6.5600000000000001E-4</v>
      </c>
      <c r="AY656" s="27">
        <f t="shared" si="129"/>
        <v>6.5600000000000001E-4</v>
      </c>
      <c r="AZ656" s="27">
        <f t="shared" si="130"/>
        <v>6.5600000000000001E-4</v>
      </c>
    </row>
    <row r="657" spans="1:52" ht="15" customHeight="1" x14ac:dyDescent="0.25">
      <c r="A657" s="13" t="str">
        <f>VLOOKUP(L657,[1]VALIDAÇÃO!$D$13:$E$350,2,0)</f>
        <v>INDIRETO</v>
      </c>
      <c r="B657" s="14" t="str">
        <f t="shared" si="120"/>
        <v>114CONDOMINIO DO EDIFICIO EMPRESARIAL MARIE CURIE</v>
      </c>
      <c r="C657" s="15">
        <f t="shared" si="131"/>
        <v>114</v>
      </c>
      <c r="D657" s="16" t="str">
        <f t="shared" si="121"/>
        <v>122CONDOMINIO DO EDIFICIO EMPRESARIAL MARIE CURIE</v>
      </c>
      <c r="E657" s="17">
        <f t="shared" si="124"/>
        <v>122</v>
      </c>
      <c r="F657" s="18" t="str">
        <f t="shared" si="122"/>
        <v>98CONDOMINIO DO EDIFICIO EMPRESARIAL MARIE CURIE</v>
      </c>
      <c r="G657" s="18">
        <f t="shared" si="125"/>
        <v>98</v>
      </c>
      <c r="H657" s="19" t="str">
        <f t="shared" si="123"/>
        <v>50CONDOMINIO DO EDIFICIO EMPRESARIAL MARIE CURIE</v>
      </c>
      <c r="I657" s="19">
        <f t="shared" si="126"/>
        <v>50</v>
      </c>
      <c r="J657" s="30" t="s">
        <v>57</v>
      </c>
      <c r="K657" s="30" t="s">
        <v>783</v>
      </c>
      <c r="L657" s="30" t="s">
        <v>588</v>
      </c>
      <c r="M657" s="30" t="s">
        <v>60</v>
      </c>
      <c r="N657" s="33">
        <v>3461.46</v>
      </c>
      <c r="O657" s="30">
        <v>9920.18</v>
      </c>
      <c r="P657" s="29">
        <v>45246</v>
      </c>
      <c r="Q657" s="29"/>
      <c r="R657" s="30">
        <v>9920.18</v>
      </c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4"/>
      <c r="AK657" s="30"/>
      <c r="AL657" s="30"/>
      <c r="AM657" s="30"/>
      <c r="AN657" s="30"/>
      <c r="AO657" s="30"/>
      <c r="AP657" s="30"/>
      <c r="AQ657" s="30"/>
      <c r="AR657" s="30"/>
      <c r="AS657" s="30">
        <v>-4251.5</v>
      </c>
      <c r="AT657" s="30"/>
      <c r="AU657" s="30"/>
      <c r="AW657" s="27">
        <f t="shared" si="127"/>
        <v>6.5700000000000003E-4</v>
      </c>
      <c r="AX657" s="27">
        <f t="shared" si="128"/>
        <v>6.5700000000000003E-4</v>
      </c>
      <c r="AY657" s="27">
        <f t="shared" si="129"/>
        <v>6.5700000000000003E-4</v>
      </c>
      <c r="AZ657" s="27">
        <f t="shared" si="130"/>
        <v>6.5700000000000003E-4</v>
      </c>
    </row>
    <row r="658" spans="1:52" ht="15" customHeight="1" x14ac:dyDescent="0.25">
      <c r="A658" s="13" t="str">
        <f>VLOOKUP(L658,[1]VALIDAÇÃO!$D$13:$E$350,2,0)</f>
        <v>DIRETO</v>
      </c>
      <c r="B658" s="14" t="str">
        <f t="shared" si="120"/>
        <v>1RIO AVE INVESTIMENTOS LTDA</v>
      </c>
      <c r="C658" s="15">
        <f t="shared" si="131"/>
        <v>1</v>
      </c>
      <c r="D658" s="16" t="str">
        <f t="shared" si="121"/>
        <v>7RIO AVE INVESTIMENTOS LTDA</v>
      </c>
      <c r="E658" s="17">
        <f t="shared" si="124"/>
        <v>7</v>
      </c>
      <c r="F658" s="18" t="str">
        <f t="shared" si="122"/>
        <v>11RIO AVE INVESTIMENTOS LTDA</v>
      </c>
      <c r="G658" s="18">
        <f t="shared" si="125"/>
        <v>11</v>
      </c>
      <c r="H658" s="19" t="str">
        <f t="shared" si="123"/>
        <v>3RIO AVE INVESTIMENTOS LTDA</v>
      </c>
      <c r="I658" s="19">
        <f t="shared" si="126"/>
        <v>3</v>
      </c>
      <c r="J658" s="30" t="s">
        <v>304</v>
      </c>
      <c r="K658" s="30" t="s">
        <v>784</v>
      </c>
      <c r="L658" s="30" t="s">
        <v>557</v>
      </c>
      <c r="M658" s="30" t="s">
        <v>306</v>
      </c>
      <c r="N658" s="33">
        <v>819</v>
      </c>
      <c r="O658" s="30">
        <v>2310</v>
      </c>
      <c r="P658" s="29">
        <v>41232</v>
      </c>
      <c r="Q658" s="30"/>
      <c r="R658" s="30">
        <v>2310</v>
      </c>
      <c r="S658" s="30"/>
      <c r="T658" s="30"/>
      <c r="U658" s="30"/>
      <c r="V658" s="30"/>
      <c r="W658" s="30">
        <v>1.87</v>
      </c>
      <c r="X658" s="30">
        <v>53.36</v>
      </c>
      <c r="Y658" s="30"/>
      <c r="Z658" s="30"/>
      <c r="AA658" s="30">
        <v>8.8099999999999987</v>
      </c>
      <c r="AB658" s="30"/>
      <c r="AC658" s="30"/>
      <c r="AD658" s="30">
        <v>377.02</v>
      </c>
      <c r="AE658" s="30">
        <v>1267.31</v>
      </c>
      <c r="AF658" s="30"/>
      <c r="AG658" s="30"/>
      <c r="AH658" s="30">
        <v>43.72</v>
      </c>
      <c r="AI658" s="30">
        <v>0</v>
      </c>
      <c r="AJ658" s="34">
        <v>898.22</v>
      </c>
      <c r="AK658" s="30">
        <v>178.92000000000002</v>
      </c>
      <c r="AL658" s="30">
        <v>-7</v>
      </c>
      <c r="AM658" s="30">
        <v>40</v>
      </c>
      <c r="AN658" s="30"/>
      <c r="AO658" s="30"/>
      <c r="AP658" s="30">
        <v>201.66000000000003</v>
      </c>
      <c r="AQ658" s="30">
        <v>576.16999999999996</v>
      </c>
      <c r="AR658" s="30">
        <v>113.1</v>
      </c>
      <c r="AS658" s="30">
        <v>-924</v>
      </c>
      <c r="AT658" s="30"/>
      <c r="AU658" s="30"/>
      <c r="AW658" s="27">
        <f t="shared" si="127"/>
        <v>898.22065800000007</v>
      </c>
      <c r="AX658" s="27">
        <f t="shared" si="128"/>
        <v>377.02065799999997</v>
      </c>
      <c r="AY658" s="27">
        <f t="shared" si="129"/>
        <v>6.5799999999999995E-4</v>
      </c>
      <c r="AZ658" s="27">
        <f t="shared" si="130"/>
        <v>201.66065800000001</v>
      </c>
    </row>
    <row r="659" spans="1:52" ht="15" customHeight="1" x14ac:dyDescent="0.25">
      <c r="A659" s="13" t="str">
        <f>VLOOKUP(L659,[1]VALIDAÇÃO!$D$13:$E$350,2,0)</f>
        <v>DIRETO</v>
      </c>
      <c r="B659" s="14" t="str">
        <f t="shared" si="120"/>
        <v>64CONDOMINIO DO EDIFICIO EMPRESARIAL MARIE CURIE</v>
      </c>
      <c r="C659" s="15">
        <f t="shared" si="131"/>
        <v>64</v>
      </c>
      <c r="D659" s="16" t="str">
        <f t="shared" si="121"/>
        <v>65CONDOMINIO DO EDIFICIO EMPRESARIAL MARIE CURIE</v>
      </c>
      <c r="E659" s="17">
        <f t="shared" si="124"/>
        <v>65</v>
      </c>
      <c r="F659" s="18" t="str">
        <f t="shared" si="122"/>
        <v>62CONDOMINIO DO EDIFICIO EMPRESARIAL MARIE CURIE</v>
      </c>
      <c r="G659" s="18">
        <f t="shared" si="125"/>
        <v>62</v>
      </c>
      <c r="H659" s="19" t="str">
        <f t="shared" si="123"/>
        <v>49CONDOMINIO DO EDIFICIO EMPRESARIAL MARIE CURIE</v>
      </c>
      <c r="I659" s="19">
        <f t="shared" si="126"/>
        <v>49</v>
      </c>
      <c r="J659" s="30" t="s">
        <v>57</v>
      </c>
      <c r="K659" s="30" t="s">
        <v>785</v>
      </c>
      <c r="L659" s="30" t="s">
        <v>131</v>
      </c>
      <c r="M659" s="30" t="s">
        <v>60</v>
      </c>
      <c r="N659" s="33">
        <v>1275.9100000000001</v>
      </c>
      <c r="O659" s="30">
        <v>2156</v>
      </c>
      <c r="P659" s="29">
        <v>45250</v>
      </c>
      <c r="Q659" s="30"/>
      <c r="R659" s="30">
        <v>2156</v>
      </c>
      <c r="S659" s="30"/>
      <c r="T659" s="30"/>
      <c r="U659" s="30"/>
      <c r="V659" s="30"/>
      <c r="W659" s="30"/>
      <c r="X659" s="30"/>
      <c r="Y659" s="30"/>
      <c r="Z659" s="30"/>
      <c r="AA659" s="30">
        <v>0.92000000000000015</v>
      </c>
      <c r="AB659" s="30">
        <v>44.54</v>
      </c>
      <c r="AC659" s="30">
        <v>220.39</v>
      </c>
      <c r="AD659" s="30">
        <v>108.42</v>
      </c>
      <c r="AE659" s="30">
        <v>507.9014285714286</v>
      </c>
      <c r="AF659" s="30"/>
      <c r="AG659" s="30"/>
      <c r="AH659" s="30">
        <v>3.7800000000000002</v>
      </c>
      <c r="AI659" s="30">
        <v>0</v>
      </c>
      <c r="AJ659" s="34">
        <v>412.45</v>
      </c>
      <c r="AK659" s="30">
        <v>88.339999999999989</v>
      </c>
      <c r="AL659" s="30">
        <v>-31.18</v>
      </c>
      <c r="AM659" s="24">
        <v>178.19</v>
      </c>
      <c r="AN659" s="30"/>
      <c r="AO659" s="30"/>
      <c r="AP659" s="30"/>
      <c r="AQ659" s="30"/>
      <c r="AR659" s="30">
        <v>26.810000000000002</v>
      </c>
      <c r="AS659" s="30">
        <v>-924</v>
      </c>
      <c r="AT659" s="30"/>
      <c r="AU659" s="30"/>
      <c r="AW659" s="27">
        <f t="shared" si="127"/>
        <v>412.45065899999997</v>
      </c>
      <c r="AX659" s="27">
        <f t="shared" si="128"/>
        <v>108.420659</v>
      </c>
      <c r="AY659" s="27">
        <f t="shared" si="129"/>
        <v>44.540658999999998</v>
      </c>
      <c r="AZ659" s="27">
        <f t="shared" si="130"/>
        <v>6.5899999999999997E-4</v>
      </c>
    </row>
    <row r="660" spans="1:52" ht="15" customHeight="1" x14ac:dyDescent="0.25">
      <c r="A660" s="13" t="str">
        <f>VLOOKUP(L660,[1]VALIDAÇÃO!$D$13:$E$350,2,0)</f>
        <v>INDIRETO</v>
      </c>
      <c r="B660" s="14" t="str">
        <f t="shared" ref="B660:B723" si="132">C660&amp;J660</f>
        <v>74RESERVA DO PAIVA SPE 01 LTDA.</v>
      </c>
      <c r="C660" s="15">
        <f t="shared" si="131"/>
        <v>74</v>
      </c>
      <c r="D660" s="16" t="str">
        <f t="shared" ref="D660:D723" si="133">E660&amp;J660</f>
        <v>1RESERVA DO PAIVA SPE 01 LTDA.</v>
      </c>
      <c r="E660" s="17">
        <f t="shared" si="124"/>
        <v>1</v>
      </c>
      <c r="F660" s="18" t="str">
        <f t="shared" ref="F660:F723" si="134">G660&amp;J660</f>
        <v>2RESERVA DO PAIVA SPE 01 LTDA.</v>
      </c>
      <c r="G660" s="18">
        <f t="shared" si="125"/>
        <v>2</v>
      </c>
      <c r="H660" s="19" t="str">
        <f t="shared" ref="H660:H723" si="135">I660&amp;J660</f>
        <v>6RESERVA DO PAIVA SPE 01 LTDA.</v>
      </c>
      <c r="I660" s="19">
        <f t="shared" si="126"/>
        <v>6</v>
      </c>
      <c r="J660" s="30" t="s">
        <v>68</v>
      </c>
      <c r="K660" s="30" t="s">
        <v>786</v>
      </c>
      <c r="L660" s="30" t="s">
        <v>415</v>
      </c>
      <c r="M660" s="30" t="s">
        <v>85</v>
      </c>
      <c r="N660" s="33">
        <v>4479.9799999999996</v>
      </c>
      <c r="O660" s="30">
        <v>4121.16</v>
      </c>
      <c r="P660" s="29">
        <v>45217</v>
      </c>
      <c r="Q660" s="30"/>
      <c r="R660" s="30">
        <v>4121.16</v>
      </c>
      <c r="S660" s="30"/>
      <c r="T660" s="30"/>
      <c r="U660" s="30"/>
      <c r="V660" s="30"/>
      <c r="W660" s="30"/>
      <c r="X660" s="30"/>
      <c r="Y660" s="30"/>
      <c r="Z660" s="30"/>
      <c r="AA660" s="30"/>
      <c r="AB660" s="30">
        <v>1040.47</v>
      </c>
      <c r="AC660" s="30">
        <v>1983.1071428571429</v>
      </c>
      <c r="AD660" s="30">
        <v>2046.43</v>
      </c>
      <c r="AE660" s="30">
        <v>4026.3785714285714</v>
      </c>
      <c r="AF660" s="30"/>
      <c r="AG660" s="30"/>
      <c r="AH660" s="30"/>
      <c r="AI660" s="30"/>
      <c r="AJ660" s="34"/>
      <c r="AK660" s="30"/>
      <c r="AL660" s="30"/>
      <c r="AM660" s="30"/>
      <c r="AN660" s="30"/>
      <c r="AO660" s="30"/>
      <c r="AP660" s="30">
        <v>947.62</v>
      </c>
      <c r="AQ660" s="30">
        <v>1471.0285714285715</v>
      </c>
      <c r="AR660" s="30">
        <v>884.57999999999993</v>
      </c>
      <c r="AS660" s="30">
        <v>-1866.21</v>
      </c>
      <c r="AT660" s="30"/>
      <c r="AU660" s="30"/>
      <c r="AW660" s="27">
        <f t="shared" si="127"/>
        <v>6.6E-4</v>
      </c>
      <c r="AX660" s="27">
        <f t="shared" si="128"/>
        <v>2046.43066</v>
      </c>
      <c r="AY660" s="27">
        <f t="shared" si="129"/>
        <v>1040.47066</v>
      </c>
      <c r="AZ660" s="27">
        <f t="shared" si="130"/>
        <v>947.62066000000004</v>
      </c>
    </row>
    <row r="661" spans="1:52" ht="15" customHeight="1" x14ac:dyDescent="0.25">
      <c r="A661" s="13" t="str">
        <f>VLOOKUP(L661,[1]VALIDAÇÃO!$D$13:$E$350,2,0)</f>
        <v>DIRETO</v>
      </c>
      <c r="B661" s="14" t="str">
        <f t="shared" si="132"/>
        <v>5RIO AVE PRAIA HOTEL SPE LTDA.</v>
      </c>
      <c r="C661" s="15">
        <f t="shared" si="131"/>
        <v>5</v>
      </c>
      <c r="D661" s="16" t="str">
        <f t="shared" si="133"/>
        <v>17RIO AVE PRAIA HOTEL SPE LTDA.</v>
      </c>
      <c r="E661" s="17">
        <f t="shared" si="124"/>
        <v>17</v>
      </c>
      <c r="F661" s="18" t="str">
        <f t="shared" si="134"/>
        <v>13RIO AVE PRAIA HOTEL SPE LTDA.</v>
      </c>
      <c r="G661" s="18">
        <f t="shared" si="125"/>
        <v>13</v>
      </c>
      <c r="H661" s="19" t="str">
        <f t="shared" si="135"/>
        <v>12RIO AVE PRAIA HOTEL SPE LTDA.</v>
      </c>
      <c r="I661" s="19">
        <f t="shared" si="126"/>
        <v>12</v>
      </c>
      <c r="J661" s="30" t="s">
        <v>80</v>
      </c>
      <c r="K661" s="30" t="s">
        <v>787</v>
      </c>
      <c r="L661" s="30" t="s">
        <v>63</v>
      </c>
      <c r="M661" s="30" t="s">
        <v>82</v>
      </c>
      <c r="N661" s="33">
        <v>2304.75</v>
      </c>
      <c r="O661" s="30">
        <v>2079</v>
      </c>
      <c r="P661" s="29">
        <v>45300</v>
      </c>
      <c r="Q661" s="29"/>
      <c r="R661" s="30">
        <v>2079</v>
      </c>
      <c r="S661" s="30"/>
      <c r="T661" s="30"/>
      <c r="U661" s="30"/>
      <c r="V661" s="30"/>
      <c r="W661" s="30"/>
      <c r="X661" s="30"/>
      <c r="Y661" s="30"/>
      <c r="Z661" s="30"/>
      <c r="AA661" s="30">
        <v>9.8299999999999983</v>
      </c>
      <c r="AB661" s="30">
        <v>325.29000000000002</v>
      </c>
      <c r="AC661" s="30">
        <v>1288.9857142857143</v>
      </c>
      <c r="AD661" s="30">
        <v>34.159999999999997</v>
      </c>
      <c r="AE661" s="30">
        <v>142.51428571428571</v>
      </c>
      <c r="AF661" s="30">
        <v>6.3</v>
      </c>
      <c r="AG661" s="30">
        <v>6.3</v>
      </c>
      <c r="AH661" s="30">
        <v>45.35</v>
      </c>
      <c r="AI661" s="30">
        <v>0</v>
      </c>
      <c r="AJ661" s="34">
        <v>795.64</v>
      </c>
      <c r="AK661" s="30">
        <v>168.97</v>
      </c>
      <c r="AL661" s="30"/>
      <c r="AM661" s="30"/>
      <c r="AN661" s="30"/>
      <c r="AO661" s="30"/>
      <c r="AP661" s="30">
        <v>370.09000000000003</v>
      </c>
      <c r="AQ661" s="30">
        <v>1151.0142857142857</v>
      </c>
      <c r="AR661" s="30">
        <v>156.66000000000003</v>
      </c>
      <c r="AS661" s="30">
        <v>-431.2</v>
      </c>
      <c r="AT661" s="30"/>
      <c r="AU661" s="30"/>
      <c r="AW661" s="27">
        <f t="shared" si="127"/>
        <v>795.64066100000002</v>
      </c>
      <c r="AX661" s="27">
        <f t="shared" si="128"/>
        <v>34.160660999999998</v>
      </c>
      <c r="AY661" s="27">
        <f t="shared" si="129"/>
        <v>325.290661</v>
      </c>
      <c r="AZ661" s="27">
        <f t="shared" si="130"/>
        <v>370.09066100000001</v>
      </c>
    </row>
    <row r="662" spans="1:52" ht="15" customHeight="1" x14ac:dyDescent="0.25">
      <c r="A662" s="13" t="str">
        <f>VLOOKUP(L662,[1]VALIDAÇÃO!$D$13:$E$350,2,0)</f>
        <v>DIRETO</v>
      </c>
      <c r="B662" s="14" t="str">
        <f t="shared" si="132"/>
        <v>117RIO AVE CARNEIROS 01 SPE LTDA.</v>
      </c>
      <c r="C662" s="15">
        <f t="shared" si="131"/>
        <v>117</v>
      </c>
      <c r="D662" s="16" t="str">
        <f t="shared" si="133"/>
        <v>92RIO AVE CARNEIROS 01 SPE LTDA.</v>
      </c>
      <c r="E662" s="17">
        <f t="shared" si="124"/>
        <v>92</v>
      </c>
      <c r="F662" s="18" t="str">
        <f t="shared" si="134"/>
        <v>47RIO AVE CARNEIROS 01 SPE LTDA.</v>
      </c>
      <c r="G662" s="18">
        <f t="shared" si="125"/>
        <v>47</v>
      </c>
      <c r="H662" s="19" t="str">
        <f t="shared" si="135"/>
        <v>92RIO AVE CARNEIROS 01 SPE LTDA.</v>
      </c>
      <c r="I662" s="19">
        <f t="shared" si="126"/>
        <v>92</v>
      </c>
      <c r="J662" s="30" t="s">
        <v>61</v>
      </c>
      <c r="K662" s="30" t="s">
        <v>788</v>
      </c>
      <c r="L662" s="30" t="s">
        <v>87</v>
      </c>
      <c r="M662" s="30" t="s">
        <v>55</v>
      </c>
      <c r="N662" s="33">
        <v>1031.08</v>
      </c>
      <c r="O662" s="30">
        <v>2156</v>
      </c>
      <c r="P662" s="29">
        <v>45873</v>
      </c>
      <c r="Q662" s="30"/>
      <c r="R662" s="30">
        <v>2156</v>
      </c>
      <c r="S662" s="30"/>
      <c r="T662" s="30"/>
      <c r="U662" s="30"/>
      <c r="V662" s="30"/>
      <c r="W662" s="30"/>
      <c r="X662" s="30"/>
      <c r="Y662" s="30"/>
      <c r="Z662" s="30"/>
      <c r="AA662" s="30">
        <v>1.2999999999999998</v>
      </c>
      <c r="AB662" s="30">
        <v>124.47</v>
      </c>
      <c r="AC662" s="30">
        <v>1156.7857142857142</v>
      </c>
      <c r="AD662" s="30">
        <v>31.680000000000003</v>
      </c>
      <c r="AE662" s="30">
        <v>126.78571428571428</v>
      </c>
      <c r="AF662" s="30"/>
      <c r="AG662" s="30"/>
      <c r="AH662" s="30">
        <v>6</v>
      </c>
      <c r="AI662" s="30">
        <v>0</v>
      </c>
      <c r="AJ662" s="34">
        <v>100.5</v>
      </c>
      <c r="AK662" s="30">
        <v>22.259999999999998</v>
      </c>
      <c r="AL662" s="30"/>
      <c r="AM662" s="30"/>
      <c r="AN662" s="30"/>
      <c r="AO662" s="30"/>
      <c r="AP662" s="30"/>
      <c r="AQ662" s="30"/>
      <c r="AR662" s="30">
        <v>29.560000000000002</v>
      </c>
      <c r="AS662" s="30">
        <v>-924</v>
      </c>
      <c r="AT662" s="30"/>
      <c r="AU662" s="30"/>
      <c r="AW662" s="27">
        <f t="shared" si="127"/>
        <v>100.50066200000001</v>
      </c>
      <c r="AX662" s="27">
        <f t="shared" si="128"/>
        <v>31.680662000000002</v>
      </c>
      <c r="AY662" s="27">
        <f t="shared" si="129"/>
        <v>124.470662</v>
      </c>
      <c r="AZ662" s="27">
        <f t="shared" si="130"/>
        <v>6.6200000000000005E-4</v>
      </c>
    </row>
    <row r="663" spans="1:52" ht="15" customHeight="1" x14ac:dyDescent="0.25">
      <c r="A663" s="13" t="str">
        <f>VLOOKUP(L663,[1]VALIDAÇÃO!$D$13:$E$350,2,0)</f>
        <v>DIRETO</v>
      </c>
      <c r="B663" s="14" t="str">
        <f t="shared" si="132"/>
        <v>127RIO AVE CARNEIROS 01 SPE LTDA.</v>
      </c>
      <c r="C663" s="15">
        <f t="shared" si="131"/>
        <v>127</v>
      </c>
      <c r="D663" s="16" t="str">
        <f t="shared" si="133"/>
        <v>117RIO AVE CARNEIROS 01 SPE LTDA.</v>
      </c>
      <c r="E663" s="17">
        <f t="shared" si="124"/>
        <v>117</v>
      </c>
      <c r="F663" s="18" t="str">
        <f t="shared" si="134"/>
        <v>104RIO AVE CARNEIROS 01 SPE LTDA.</v>
      </c>
      <c r="G663" s="18">
        <f t="shared" si="125"/>
        <v>104</v>
      </c>
      <c r="H663" s="19" t="str">
        <f t="shared" si="135"/>
        <v>91RIO AVE CARNEIROS 01 SPE LTDA.</v>
      </c>
      <c r="I663" s="19">
        <f t="shared" si="126"/>
        <v>91</v>
      </c>
      <c r="J663" s="30" t="s">
        <v>61</v>
      </c>
      <c r="K663" s="30" t="s">
        <v>789</v>
      </c>
      <c r="L663" s="30" t="s">
        <v>54</v>
      </c>
      <c r="M663" s="30" t="s">
        <v>55</v>
      </c>
      <c r="N663" s="33">
        <v>610.28</v>
      </c>
      <c r="O663" s="30">
        <v>1622.13</v>
      </c>
      <c r="P663" s="29">
        <v>45910</v>
      </c>
      <c r="Q663" s="29"/>
      <c r="R663" s="30">
        <v>1622.13</v>
      </c>
      <c r="S663" s="30"/>
      <c r="T663" s="30"/>
      <c r="U663" s="30"/>
      <c r="V663" s="30"/>
      <c r="W663" s="30"/>
      <c r="X663" s="30"/>
      <c r="Y663" s="30"/>
      <c r="Z663" s="30"/>
      <c r="AA663" s="30">
        <v>0.13</v>
      </c>
      <c r="AB663" s="30">
        <v>31.49</v>
      </c>
      <c r="AC663" s="30">
        <v>463.81428571428569</v>
      </c>
      <c r="AD663" s="30">
        <v>6.66</v>
      </c>
      <c r="AE663" s="30">
        <v>72.899999999999991</v>
      </c>
      <c r="AF663" s="30"/>
      <c r="AG663" s="30"/>
      <c r="AH663" s="30">
        <v>0.65</v>
      </c>
      <c r="AI663" s="30">
        <v>0</v>
      </c>
      <c r="AJ663" s="34">
        <v>24.23</v>
      </c>
      <c r="AK663" s="30">
        <v>4.66</v>
      </c>
      <c r="AL663" s="30">
        <v>-3.82</v>
      </c>
      <c r="AM663" s="30">
        <v>29</v>
      </c>
      <c r="AN663" s="30">
        <v>-57.93</v>
      </c>
      <c r="AO663" s="30">
        <v>1</v>
      </c>
      <c r="AP663" s="30"/>
      <c r="AQ663" s="30"/>
      <c r="AR663" s="30">
        <v>9.5500000000000007</v>
      </c>
      <c r="AS663" s="30">
        <v>-695.2</v>
      </c>
      <c r="AT663" s="30">
        <v>-57.93</v>
      </c>
      <c r="AU663" s="30">
        <v>1</v>
      </c>
      <c r="AW663" s="27">
        <f t="shared" si="127"/>
        <v>24.230663</v>
      </c>
      <c r="AX663" s="27">
        <f t="shared" si="128"/>
        <v>6.6606630000000004</v>
      </c>
      <c r="AY663" s="27">
        <f t="shared" si="129"/>
        <v>31.490662999999998</v>
      </c>
      <c r="AZ663" s="27">
        <f t="shared" si="130"/>
        <v>6.6299999999999996E-4</v>
      </c>
    </row>
    <row r="664" spans="1:52" ht="15" customHeight="1" x14ac:dyDescent="0.25">
      <c r="A664" s="13" t="str">
        <f>VLOOKUP(L664,[1]VALIDAÇÃO!$D$13:$E$350,2,0)</f>
        <v>DIRETO</v>
      </c>
      <c r="B664" s="14" t="str">
        <f t="shared" si="132"/>
        <v>52CONDOMINIO DO EDIFICIO EMPRESARIAL MARIE CURIE</v>
      </c>
      <c r="C664" s="15">
        <f t="shared" si="131"/>
        <v>52</v>
      </c>
      <c r="D664" s="16" t="str">
        <f t="shared" si="133"/>
        <v>53CONDOMINIO DO EDIFICIO EMPRESARIAL MARIE CURIE</v>
      </c>
      <c r="E664" s="17">
        <f t="shared" si="124"/>
        <v>53</v>
      </c>
      <c r="F664" s="18" t="str">
        <f t="shared" si="134"/>
        <v>97CONDOMINIO DO EDIFICIO EMPRESARIAL MARIE CURIE</v>
      </c>
      <c r="G664" s="18">
        <f t="shared" si="125"/>
        <v>97</v>
      </c>
      <c r="H664" s="19" t="str">
        <f t="shared" si="135"/>
        <v>48CONDOMINIO DO EDIFICIO EMPRESARIAL MARIE CURIE</v>
      </c>
      <c r="I664" s="19">
        <f t="shared" si="126"/>
        <v>48</v>
      </c>
      <c r="J664" s="30" t="s">
        <v>57</v>
      </c>
      <c r="K664" s="30" t="s">
        <v>790</v>
      </c>
      <c r="L664" s="30" t="s">
        <v>131</v>
      </c>
      <c r="M664" s="30" t="s">
        <v>60</v>
      </c>
      <c r="N664" s="33">
        <v>1522.35</v>
      </c>
      <c r="O664" s="30">
        <v>2156</v>
      </c>
      <c r="P664" s="29">
        <v>45748</v>
      </c>
      <c r="Q664" s="29"/>
      <c r="R664" s="30">
        <v>2156</v>
      </c>
      <c r="S664" s="30"/>
      <c r="T664" s="30"/>
      <c r="U664" s="30"/>
      <c r="V664" s="30"/>
      <c r="W664" s="30"/>
      <c r="X664" s="30"/>
      <c r="Y664" s="30"/>
      <c r="Z664" s="30"/>
      <c r="AA664" s="30">
        <v>1.1499999999999999</v>
      </c>
      <c r="AB664" s="30"/>
      <c r="AC664" s="30"/>
      <c r="AD664" s="30">
        <v>152.04000000000002</v>
      </c>
      <c r="AE664" s="30">
        <v>858.91428571428571</v>
      </c>
      <c r="AF664" s="30"/>
      <c r="AG664" s="30"/>
      <c r="AH664" s="30">
        <v>5.6400000000000006</v>
      </c>
      <c r="AI664" s="30">
        <v>0</v>
      </c>
      <c r="AJ664" s="34">
        <v>515.89</v>
      </c>
      <c r="AK664" s="30">
        <v>111.77999999999999</v>
      </c>
      <c r="AL664" s="30">
        <v>-6.33</v>
      </c>
      <c r="AM664" s="30">
        <v>36.19</v>
      </c>
      <c r="AN664" s="30"/>
      <c r="AO664" s="30"/>
      <c r="AP664" s="30"/>
      <c r="AQ664" s="30"/>
      <c r="AR664" s="30">
        <v>31.7</v>
      </c>
      <c r="AS664" s="30">
        <v>-990.5</v>
      </c>
      <c r="AT664" s="30"/>
      <c r="AU664" s="30"/>
      <c r="AW664" s="27">
        <f t="shared" si="127"/>
        <v>515.89066400000002</v>
      </c>
      <c r="AX664" s="27">
        <f t="shared" si="128"/>
        <v>152.04066400000002</v>
      </c>
      <c r="AY664" s="27">
        <f t="shared" si="129"/>
        <v>6.6399999999999999E-4</v>
      </c>
      <c r="AZ664" s="27">
        <f t="shared" si="130"/>
        <v>6.6399999999999999E-4</v>
      </c>
    </row>
    <row r="665" spans="1:52" ht="15" customHeight="1" x14ac:dyDescent="0.25">
      <c r="A665" s="13" t="str">
        <f>VLOOKUP(L665,[1]VALIDAÇÃO!$D$13:$E$350,2,0)</f>
        <v>DIRETO</v>
      </c>
      <c r="B665" s="14" t="str">
        <f t="shared" si="132"/>
        <v>5RIO AVE INVESTIMENTOS LTDA</v>
      </c>
      <c r="C665" s="15">
        <f t="shared" si="131"/>
        <v>5</v>
      </c>
      <c r="D665" s="16" t="str">
        <f t="shared" si="133"/>
        <v>4RIO AVE INVESTIMENTOS LTDA</v>
      </c>
      <c r="E665" s="17">
        <f t="shared" si="124"/>
        <v>4</v>
      </c>
      <c r="F665" s="18" t="str">
        <f t="shared" si="134"/>
        <v>6RIO AVE INVESTIMENTOS LTDA</v>
      </c>
      <c r="G665" s="18">
        <f t="shared" si="125"/>
        <v>6</v>
      </c>
      <c r="H665" s="19" t="str">
        <f t="shared" si="135"/>
        <v>10RIO AVE INVESTIMENTOS LTDA</v>
      </c>
      <c r="I665" s="19">
        <f t="shared" si="126"/>
        <v>10</v>
      </c>
      <c r="J665" s="30" t="s">
        <v>304</v>
      </c>
      <c r="K665" s="30" t="s">
        <v>791</v>
      </c>
      <c r="L665" s="30" t="s">
        <v>63</v>
      </c>
      <c r="M665" s="30" t="s">
        <v>306</v>
      </c>
      <c r="N665" s="33">
        <v>1668.06</v>
      </c>
      <c r="O665" s="30">
        <v>2310</v>
      </c>
      <c r="P665" s="29">
        <v>45798</v>
      </c>
      <c r="Q665" s="29"/>
      <c r="R665" s="30">
        <v>2310</v>
      </c>
      <c r="S665" s="30"/>
      <c r="T665" s="30"/>
      <c r="U665" s="30"/>
      <c r="V665" s="30"/>
      <c r="W665" s="30"/>
      <c r="X665" s="30"/>
      <c r="Y665" s="30"/>
      <c r="Z665" s="30"/>
      <c r="AA665" s="30">
        <v>8.24</v>
      </c>
      <c r="AB665" s="30">
        <v>66</v>
      </c>
      <c r="AC665" s="30">
        <v>380.29</v>
      </c>
      <c r="AD665" s="30">
        <v>680.19</v>
      </c>
      <c r="AE665" s="30">
        <v>3324.43</v>
      </c>
      <c r="AF665" s="30"/>
      <c r="AG665" s="30"/>
      <c r="AH665" s="30">
        <v>42.84</v>
      </c>
      <c r="AI665" s="30">
        <v>0</v>
      </c>
      <c r="AJ665" s="34">
        <v>503.77</v>
      </c>
      <c r="AK665" s="30">
        <v>99.490000000000009</v>
      </c>
      <c r="AL665" s="30"/>
      <c r="AM665" s="30"/>
      <c r="AN665" s="30"/>
      <c r="AO665" s="30"/>
      <c r="AP665" s="30"/>
      <c r="AQ665" s="30"/>
      <c r="AR665" s="30">
        <v>144.79</v>
      </c>
      <c r="AS665" s="30">
        <v>-924</v>
      </c>
      <c r="AT665" s="30"/>
      <c r="AU665" s="30"/>
      <c r="AW665" s="27">
        <f t="shared" si="127"/>
        <v>503.77066500000001</v>
      </c>
      <c r="AX665" s="27">
        <f t="shared" si="128"/>
        <v>680.19066500000008</v>
      </c>
      <c r="AY665" s="27">
        <f t="shared" si="129"/>
        <v>66.000664999999998</v>
      </c>
      <c r="AZ665" s="27">
        <f t="shared" si="130"/>
        <v>6.6500000000000001E-4</v>
      </c>
    </row>
    <row r="666" spans="1:52" ht="15" customHeight="1" x14ac:dyDescent="0.25">
      <c r="A666" s="13" t="str">
        <f>VLOOKUP(L666,[1]VALIDAÇÃO!$D$13:$E$350,2,0)</f>
        <v>DIRETO</v>
      </c>
      <c r="B666" s="14" t="str">
        <f t="shared" si="132"/>
        <v>30RIO AVE 130 SPE LTDA</v>
      </c>
      <c r="C666" s="15">
        <f t="shared" si="131"/>
        <v>30</v>
      </c>
      <c r="D666" s="16" t="str">
        <f t="shared" si="133"/>
        <v>57RIO AVE 130 SPE LTDA</v>
      </c>
      <c r="E666" s="17">
        <f t="shared" si="124"/>
        <v>57</v>
      </c>
      <c r="F666" s="18" t="str">
        <f t="shared" si="134"/>
        <v>17RIO AVE 130 SPE LTDA</v>
      </c>
      <c r="G666" s="18">
        <f t="shared" si="125"/>
        <v>17</v>
      </c>
      <c r="H666" s="19" t="str">
        <f t="shared" si="135"/>
        <v>39RIO AVE 130 SPE LTDA</v>
      </c>
      <c r="I666" s="19">
        <f t="shared" si="126"/>
        <v>39</v>
      </c>
      <c r="J666" s="30" t="s">
        <v>102</v>
      </c>
      <c r="K666" s="30" t="s">
        <v>792</v>
      </c>
      <c r="L666" s="30" t="s">
        <v>63</v>
      </c>
      <c r="M666" s="30" t="s">
        <v>55</v>
      </c>
      <c r="N666" s="33">
        <v>1475.06</v>
      </c>
      <c r="O666" s="30">
        <v>2156</v>
      </c>
      <c r="P666" s="29">
        <v>45323</v>
      </c>
      <c r="Q666" s="29"/>
      <c r="R666" s="30">
        <v>2156</v>
      </c>
      <c r="S666" s="30"/>
      <c r="T666" s="30"/>
      <c r="U666" s="30"/>
      <c r="V666" s="30"/>
      <c r="W666" s="30"/>
      <c r="X666" s="30"/>
      <c r="Y666" s="30"/>
      <c r="Z666" s="30"/>
      <c r="AA666" s="30">
        <v>2.92</v>
      </c>
      <c r="AB666" s="30">
        <v>251.39</v>
      </c>
      <c r="AC666" s="30">
        <v>845</v>
      </c>
      <c r="AD666" s="30">
        <v>0.32</v>
      </c>
      <c r="AE666" s="30">
        <v>1.08</v>
      </c>
      <c r="AF666" s="30"/>
      <c r="AG666" s="30"/>
      <c r="AH666" s="30">
        <v>13.459999999999999</v>
      </c>
      <c r="AI666" s="30">
        <v>0</v>
      </c>
      <c r="AJ666" s="34">
        <v>596.80999999999995</v>
      </c>
      <c r="AK666" s="30">
        <v>131.97</v>
      </c>
      <c r="AL666" s="30">
        <v>-11.2</v>
      </c>
      <c r="AM666" s="30">
        <v>64</v>
      </c>
      <c r="AN666" s="30"/>
      <c r="AO666" s="30"/>
      <c r="AP666" s="30"/>
      <c r="AQ666" s="30"/>
      <c r="AR666" s="30">
        <v>54.71</v>
      </c>
      <c r="AS666" s="30">
        <v>-924</v>
      </c>
      <c r="AT666" s="30"/>
      <c r="AU666" s="30"/>
      <c r="AW666" s="27">
        <f t="shared" si="127"/>
        <v>596.81066599999997</v>
      </c>
      <c r="AX666" s="27">
        <f t="shared" si="128"/>
        <v>0.32066600000000001</v>
      </c>
      <c r="AY666" s="27">
        <f t="shared" si="129"/>
        <v>251.39066599999998</v>
      </c>
      <c r="AZ666" s="27">
        <f t="shared" si="130"/>
        <v>6.6600000000000003E-4</v>
      </c>
    </row>
    <row r="667" spans="1:52" ht="15" customHeight="1" x14ac:dyDescent="0.25">
      <c r="A667" s="13" t="str">
        <f>VLOOKUP(L667,[1]VALIDAÇÃO!$D$13:$E$350,2,0)</f>
        <v>DIRETO</v>
      </c>
      <c r="B667" s="14" t="str">
        <f t="shared" si="132"/>
        <v>20RIO AVE PRAIA HOTEL SPE LTDA.</v>
      </c>
      <c r="C667" s="15">
        <f t="shared" si="131"/>
        <v>20</v>
      </c>
      <c r="D667" s="16" t="str">
        <f t="shared" si="133"/>
        <v>21RIO AVE PRAIA HOTEL SPE LTDA.</v>
      </c>
      <c r="E667" s="17">
        <f t="shared" si="124"/>
        <v>21</v>
      </c>
      <c r="F667" s="18" t="str">
        <f t="shared" si="134"/>
        <v>22RIO AVE PRAIA HOTEL SPE LTDA.</v>
      </c>
      <c r="G667" s="18">
        <f t="shared" si="125"/>
        <v>22</v>
      </c>
      <c r="H667" s="19" t="str">
        <f t="shared" si="135"/>
        <v>22RIO AVE PRAIA HOTEL SPE LTDA.</v>
      </c>
      <c r="I667" s="19">
        <f t="shared" si="126"/>
        <v>22</v>
      </c>
      <c r="J667" s="30" t="s">
        <v>80</v>
      </c>
      <c r="K667" s="30" t="s">
        <v>793</v>
      </c>
      <c r="L667" s="30" t="s">
        <v>63</v>
      </c>
      <c r="M667" s="30" t="s">
        <v>82</v>
      </c>
      <c r="N667" s="33"/>
      <c r="O667" s="30"/>
      <c r="P667" s="29">
        <v>45201</v>
      </c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4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W667" s="27">
        <f t="shared" si="127"/>
        <v>6.6699999999999995E-4</v>
      </c>
      <c r="AX667" s="27">
        <f t="shared" si="128"/>
        <v>6.6699999999999995E-4</v>
      </c>
      <c r="AY667" s="27">
        <f t="shared" si="129"/>
        <v>6.6699999999999995E-4</v>
      </c>
      <c r="AZ667" s="27">
        <f t="shared" si="130"/>
        <v>6.6699999999999995E-4</v>
      </c>
    </row>
    <row r="668" spans="1:52" ht="15" customHeight="1" x14ac:dyDescent="0.25">
      <c r="A668" s="13" t="str">
        <f>VLOOKUP(L668,[1]VALIDAÇÃO!$D$13:$E$350,2,0)</f>
        <v>DIRETO</v>
      </c>
      <c r="B668" s="14" t="str">
        <f t="shared" si="132"/>
        <v>116RIO AVE CARNEIROS 01 SPE LTDA.</v>
      </c>
      <c r="C668" s="15">
        <f t="shared" si="131"/>
        <v>116</v>
      </c>
      <c r="D668" s="16" t="str">
        <f t="shared" si="133"/>
        <v>136RIO AVE CARNEIROS 01 SPE LTDA.</v>
      </c>
      <c r="E668" s="17">
        <f t="shared" si="124"/>
        <v>136</v>
      </c>
      <c r="F668" s="18" t="str">
        <f t="shared" si="134"/>
        <v>56RIO AVE CARNEIROS 01 SPE LTDA.</v>
      </c>
      <c r="G668" s="18">
        <f t="shared" si="125"/>
        <v>56</v>
      </c>
      <c r="H668" s="19" t="str">
        <f t="shared" si="135"/>
        <v>29RIO AVE CARNEIROS 01 SPE LTDA.</v>
      </c>
      <c r="I668" s="19">
        <f t="shared" si="126"/>
        <v>29</v>
      </c>
      <c r="J668" s="30" t="s">
        <v>61</v>
      </c>
      <c r="K668" s="30" t="s">
        <v>794</v>
      </c>
      <c r="L668" s="30" t="s">
        <v>54</v>
      </c>
      <c r="M668" s="30" t="s">
        <v>55</v>
      </c>
      <c r="N668" s="33">
        <v>557.80999999999995</v>
      </c>
      <c r="O668" s="30">
        <v>1622.13</v>
      </c>
      <c r="P668" s="29">
        <v>45782</v>
      </c>
      <c r="Q668" s="30"/>
      <c r="R668" s="30">
        <v>1622.13</v>
      </c>
      <c r="S668" s="30"/>
      <c r="T668" s="30"/>
      <c r="U668" s="30"/>
      <c r="V668" s="30"/>
      <c r="W668" s="30"/>
      <c r="X668" s="30"/>
      <c r="Y668" s="30"/>
      <c r="Z668" s="30"/>
      <c r="AA668" s="30">
        <v>1.39</v>
      </c>
      <c r="AB668" s="30">
        <v>105.81</v>
      </c>
      <c r="AC668" s="30">
        <v>880.81428571428569</v>
      </c>
      <c r="AD668" s="30">
        <v>1.3699999999999999</v>
      </c>
      <c r="AE668" s="30">
        <v>11.428571428571429</v>
      </c>
      <c r="AF668" s="30"/>
      <c r="AG668" s="30"/>
      <c r="AH668" s="30">
        <v>6.07</v>
      </c>
      <c r="AI668" s="30">
        <v>0</v>
      </c>
      <c r="AJ668" s="34">
        <v>111.84</v>
      </c>
      <c r="AK668" s="30">
        <v>24.83</v>
      </c>
      <c r="AL668" s="30"/>
      <c r="AM668" s="30"/>
      <c r="AN668" s="30">
        <v>-57.93</v>
      </c>
      <c r="AO668" s="30">
        <v>1</v>
      </c>
      <c r="AP668" s="30">
        <v>42.17</v>
      </c>
      <c r="AQ668" s="30">
        <v>298.37142857142857</v>
      </c>
      <c r="AR668" s="30">
        <v>34.36</v>
      </c>
      <c r="AS668" s="30">
        <v>-695.2</v>
      </c>
      <c r="AT668" s="30">
        <v>-115.87</v>
      </c>
      <c r="AU668" s="30">
        <v>2</v>
      </c>
      <c r="AW668" s="27">
        <f t="shared" si="127"/>
        <v>111.84066800000001</v>
      </c>
      <c r="AX668" s="27">
        <f t="shared" si="128"/>
        <v>1.3706679999999998</v>
      </c>
      <c r="AY668" s="27">
        <f t="shared" si="129"/>
        <v>105.81066800000001</v>
      </c>
      <c r="AZ668" s="27">
        <f t="shared" si="130"/>
        <v>42.170667999999999</v>
      </c>
    </row>
    <row r="669" spans="1:52" ht="15" customHeight="1" x14ac:dyDescent="0.25">
      <c r="A669" s="13" t="str">
        <f>VLOOKUP(L669,[1]VALIDAÇÃO!$D$13:$E$350,2,0)</f>
        <v>DIRETO</v>
      </c>
      <c r="B669" s="14" t="str">
        <f t="shared" si="132"/>
        <v>2RIO AVE ALAMEDA CENTER CONSTRUCOES SPE LTDA</v>
      </c>
      <c r="C669" s="15">
        <f t="shared" si="131"/>
        <v>2</v>
      </c>
      <c r="D669" s="16" t="str">
        <f t="shared" si="133"/>
        <v>2RIO AVE ALAMEDA CENTER CONSTRUCOES SPE LTDA</v>
      </c>
      <c r="E669" s="17">
        <f t="shared" si="124"/>
        <v>2</v>
      </c>
      <c r="F669" s="18" t="str">
        <f t="shared" si="134"/>
        <v>2RIO AVE ALAMEDA CENTER CONSTRUCOES SPE LTDA</v>
      </c>
      <c r="G669" s="18">
        <f t="shared" si="125"/>
        <v>2</v>
      </c>
      <c r="H669" s="19" t="str">
        <f t="shared" si="135"/>
        <v>2RIO AVE ALAMEDA CENTER CONSTRUCOES SPE LTDA</v>
      </c>
      <c r="I669" s="19">
        <f t="shared" si="126"/>
        <v>2</v>
      </c>
      <c r="J669" s="30" t="s">
        <v>253</v>
      </c>
      <c r="K669" s="30" t="s">
        <v>795</v>
      </c>
      <c r="L669" s="30" t="s">
        <v>54</v>
      </c>
      <c r="M669" s="30" t="s">
        <v>82</v>
      </c>
      <c r="N669" s="33"/>
      <c r="O669" s="30"/>
      <c r="P669" s="29">
        <v>44636</v>
      </c>
      <c r="Q669" s="29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4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W669" s="27">
        <f t="shared" si="127"/>
        <v>6.69E-4</v>
      </c>
      <c r="AX669" s="27">
        <f t="shared" si="128"/>
        <v>6.69E-4</v>
      </c>
      <c r="AY669" s="27">
        <f t="shared" si="129"/>
        <v>6.69E-4</v>
      </c>
      <c r="AZ669" s="27">
        <f t="shared" si="130"/>
        <v>6.69E-4</v>
      </c>
    </row>
    <row r="670" spans="1:52" ht="15" customHeight="1" x14ac:dyDescent="0.25">
      <c r="A670" s="13" t="str">
        <f>VLOOKUP(L670,[1]VALIDAÇÃO!$D$13:$E$350,2,0)</f>
        <v>DIRETO</v>
      </c>
      <c r="B670" s="14" t="str">
        <f t="shared" si="132"/>
        <v>29RIO AVE 130 SPE LTDA</v>
      </c>
      <c r="C670" s="15">
        <f t="shared" si="131"/>
        <v>29</v>
      </c>
      <c r="D670" s="16" t="str">
        <f t="shared" si="133"/>
        <v>17RIO AVE 130 SPE LTDA</v>
      </c>
      <c r="E670" s="17">
        <f t="shared" si="124"/>
        <v>17</v>
      </c>
      <c r="F670" s="18" t="str">
        <f t="shared" si="134"/>
        <v>8RIO AVE 130 SPE LTDA</v>
      </c>
      <c r="G670" s="18">
        <f t="shared" si="125"/>
        <v>8</v>
      </c>
      <c r="H670" s="19" t="str">
        <f t="shared" si="135"/>
        <v>29RIO AVE 130 SPE LTDA</v>
      </c>
      <c r="I670" s="19">
        <f t="shared" si="126"/>
        <v>29</v>
      </c>
      <c r="J670" s="30" t="s">
        <v>102</v>
      </c>
      <c r="K670" s="30" t="s">
        <v>796</v>
      </c>
      <c r="L670" s="30" t="s">
        <v>54</v>
      </c>
      <c r="M670" s="30" t="s">
        <v>55</v>
      </c>
      <c r="N670" s="33">
        <v>1471.35</v>
      </c>
      <c r="O670" s="30">
        <v>1622.13</v>
      </c>
      <c r="P670" s="29">
        <v>44963</v>
      </c>
      <c r="Q670" s="30"/>
      <c r="R670" s="30">
        <v>1622.13</v>
      </c>
      <c r="S670" s="30"/>
      <c r="T670" s="30"/>
      <c r="U670" s="30"/>
      <c r="V670" s="30"/>
      <c r="W670" s="30"/>
      <c r="X670" s="30"/>
      <c r="Y670" s="30"/>
      <c r="Z670" s="30"/>
      <c r="AA670" s="30">
        <v>13.920000000000002</v>
      </c>
      <c r="AB670" s="30">
        <v>326.28999999999996</v>
      </c>
      <c r="AC670" s="30">
        <v>1665.21</v>
      </c>
      <c r="AD670" s="30">
        <v>575.40000000000009</v>
      </c>
      <c r="AE670" s="30">
        <v>2953.8857142857141</v>
      </c>
      <c r="AF670" s="30"/>
      <c r="AG670" s="30"/>
      <c r="AH670" s="30">
        <v>65.069999999999993</v>
      </c>
      <c r="AI670" s="30">
        <v>0</v>
      </c>
      <c r="AJ670" s="34">
        <v>616.21</v>
      </c>
      <c r="AK670" s="30">
        <v>136.24</v>
      </c>
      <c r="AL670" s="30">
        <v>-6.58</v>
      </c>
      <c r="AM670" s="30">
        <v>50</v>
      </c>
      <c r="AN670" s="30"/>
      <c r="AO670" s="30"/>
      <c r="AP670" s="30">
        <v>20.82</v>
      </c>
      <c r="AQ670" s="30">
        <v>106.88</v>
      </c>
      <c r="AR670" s="30">
        <v>195.15</v>
      </c>
      <c r="AS670" s="30">
        <v>-695.2</v>
      </c>
      <c r="AT670" s="30"/>
      <c r="AU670" s="30"/>
      <c r="AW670" s="27">
        <f t="shared" si="127"/>
        <v>616.21067000000005</v>
      </c>
      <c r="AX670" s="27">
        <f t="shared" si="128"/>
        <v>575.4006700000001</v>
      </c>
      <c r="AY670" s="27">
        <f t="shared" si="129"/>
        <v>326.29066999999998</v>
      </c>
      <c r="AZ670" s="27">
        <f t="shared" si="130"/>
        <v>20.82067</v>
      </c>
    </row>
    <row r="671" spans="1:52" ht="15" customHeight="1" x14ac:dyDescent="0.25">
      <c r="A671" s="13" t="str">
        <f>VLOOKUP(L671,[1]VALIDAÇÃO!$D$13:$E$350,2,0)</f>
        <v>DIRETO</v>
      </c>
      <c r="B671" s="14" t="str">
        <f t="shared" si="132"/>
        <v>49RIO AVE 130 SPE LTDA</v>
      </c>
      <c r="C671" s="15">
        <f t="shared" si="131"/>
        <v>49</v>
      </c>
      <c r="D671" s="16" t="str">
        <f t="shared" si="133"/>
        <v>50RIO AVE 130 SPE LTDA</v>
      </c>
      <c r="E671" s="17">
        <f t="shared" si="124"/>
        <v>50</v>
      </c>
      <c r="F671" s="18" t="str">
        <f t="shared" si="134"/>
        <v>39RIO AVE 130 SPE LTDA</v>
      </c>
      <c r="G671" s="18">
        <f t="shared" si="125"/>
        <v>39</v>
      </c>
      <c r="H671" s="19" t="str">
        <f t="shared" si="135"/>
        <v>16RIO AVE 130 SPE LTDA</v>
      </c>
      <c r="I671" s="19">
        <f t="shared" si="126"/>
        <v>16</v>
      </c>
      <c r="J671" s="30" t="s">
        <v>102</v>
      </c>
      <c r="K671" s="30" t="s">
        <v>797</v>
      </c>
      <c r="L671" s="30" t="s">
        <v>798</v>
      </c>
      <c r="M671" s="30" t="s">
        <v>55</v>
      </c>
      <c r="N671" s="33">
        <v>538.54</v>
      </c>
      <c r="O671" s="30">
        <v>2156</v>
      </c>
      <c r="P671" s="29">
        <v>45447</v>
      </c>
      <c r="Q671" s="29"/>
      <c r="R671" s="30">
        <v>2156</v>
      </c>
      <c r="S671" s="30"/>
      <c r="T671" s="30"/>
      <c r="U671" s="30"/>
      <c r="V671" s="30"/>
      <c r="W671" s="30"/>
      <c r="X671" s="30"/>
      <c r="Y671" s="30"/>
      <c r="Z671" s="30"/>
      <c r="AA671" s="30">
        <v>1.01</v>
      </c>
      <c r="AB671" s="30">
        <v>117.96000000000001</v>
      </c>
      <c r="AC671" s="30">
        <v>444.38428571428574</v>
      </c>
      <c r="AD671" s="30">
        <v>5.21</v>
      </c>
      <c r="AE671" s="30">
        <v>20.85857142857143</v>
      </c>
      <c r="AF671" s="30"/>
      <c r="AG671" s="30"/>
      <c r="AH671" s="30">
        <v>5.05</v>
      </c>
      <c r="AI671" s="30">
        <v>0</v>
      </c>
      <c r="AJ671" s="34">
        <v>295.51</v>
      </c>
      <c r="AK671" s="30">
        <v>63.919999999999995</v>
      </c>
      <c r="AL671" s="30">
        <v>-43.05</v>
      </c>
      <c r="AM671" s="30">
        <v>246</v>
      </c>
      <c r="AN671" s="30"/>
      <c r="AO671" s="30"/>
      <c r="AP671" s="30">
        <v>140.44</v>
      </c>
      <c r="AQ671" s="30">
        <v>401.25</v>
      </c>
      <c r="AR671" s="30">
        <v>53.76</v>
      </c>
      <c r="AS671" s="30">
        <v>-924</v>
      </c>
      <c r="AT671" s="30"/>
      <c r="AU671" s="30"/>
      <c r="AW671" s="27">
        <f t="shared" si="127"/>
        <v>295.510671</v>
      </c>
      <c r="AX671" s="27">
        <f t="shared" si="128"/>
        <v>5.2106709999999996</v>
      </c>
      <c r="AY671" s="27">
        <f t="shared" si="129"/>
        <v>117.960671</v>
      </c>
      <c r="AZ671" s="27">
        <f t="shared" si="130"/>
        <v>140.44067100000001</v>
      </c>
    </row>
    <row r="672" spans="1:52" ht="15" customHeight="1" x14ac:dyDescent="0.25">
      <c r="A672" s="13" t="str">
        <f>VLOOKUP(L672,[1]VALIDAÇÃO!$D$13:$E$350,2,0)</f>
        <v>DIRETO</v>
      </c>
      <c r="B672" s="14" t="str">
        <f t="shared" si="132"/>
        <v>9CONDOMINIO DO EDIFICIO EMPRESARIAL MARIE CURIE</v>
      </c>
      <c r="C672" s="15">
        <f t="shared" si="131"/>
        <v>9</v>
      </c>
      <c r="D672" s="16" t="str">
        <f t="shared" si="133"/>
        <v>119CONDOMINIO DO EDIFICIO EMPRESARIAL MARIE CURIE</v>
      </c>
      <c r="E672" s="17">
        <f t="shared" si="124"/>
        <v>119</v>
      </c>
      <c r="F672" s="18" t="str">
        <f t="shared" si="134"/>
        <v>66CONDOMINIO DO EDIFICIO EMPRESARIAL MARIE CURIE</v>
      </c>
      <c r="G672" s="18">
        <f t="shared" si="125"/>
        <v>66</v>
      </c>
      <c r="H672" s="19" t="str">
        <f t="shared" si="135"/>
        <v>47CONDOMINIO DO EDIFICIO EMPRESARIAL MARIE CURIE</v>
      </c>
      <c r="I672" s="19">
        <f t="shared" si="126"/>
        <v>47</v>
      </c>
      <c r="J672" s="30" t="s">
        <v>57</v>
      </c>
      <c r="K672" s="30" t="s">
        <v>799</v>
      </c>
      <c r="L672" s="30" t="s">
        <v>66</v>
      </c>
      <c r="M672" s="30" t="s">
        <v>60</v>
      </c>
      <c r="N672" s="33">
        <v>1759.37</v>
      </c>
      <c r="O672" s="30">
        <v>2156</v>
      </c>
      <c r="P672" s="29">
        <v>45839</v>
      </c>
      <c r="Q672" s="30"/>
      <c r="R672" s="30">
        <v>2156</v>
      </c>
      <c r="S672" s="30"/>
      <c r="T672" s="30"/>
      <c r="U672" s="30"/>
      <c r="V672" s="30"/>
      <c r="W672" s="30"/>
      <c r="X672" s="30"/>
      <c r="Y672" s="30"/>
      <c r="Z672" s="30"/>
      <c r="AA672" s="30">
        <v>1.1399999999999999</v>
      </c>
      <c r="AB672" s="30">
        <v>34.620000000000005</v>
      </c>
      <c r="AC672" s="30">
        <v>277.08571428571429</v>
      </c>
      <c r="AD672" s="30">
        <v>1.32</v>
      </c>
      <c r="AE672" s="30">
        <v>10.542857142857143</v>
      </c>
      <c r="AF672" s="30"/>
      <c r="AG672" s="30"/>
      <c r="AH672" s="30">
        <v>4.7300000000000004</v>
      </c>
      <c r="AI672" s="30">
        <v>0</v>
      </c>
      <c r="AJ672" s="34">
        <v>1315.65</v>
      </c>
      <c r="AK672" s="30">
        <v>281.18</v>
      </c>
      <c r="AL672" s="30">
        <v>-3.66</v>
      </c>
      <c r="AM672" s="30">
        <v>20.9</v>
      </c>
      <c r="AN672" s="30"/>
      <c r="AO672" s="30"/>
      <c r="AP672" s="30"/>
      <c r="AQ672" s="30"/>
      <c r="AR672" s="30">
        <v>8.4599999999999991</v>
      </c>
      <c r="AS672" s="30">
        <v>-924</v>
      </c>
      <c r="AT672" s="30"/>
      <c r="AU672" s="30"/>
      <c r="AW672" s="27">
        <f t="shared" si="127"/>
        <v>1315.650672</v>
      </c>
      <c r="AX672" s="27">
        <f t="shared" si="128"/>
        <v>1.3206720000000001</v>
      </c>
      <c r="AY672" s="27">
        <f t="shared" si="129"/>
        <v>34.620672000000006</v>
      </c>
      <c r="AZ672" s="27">
        <f t="shared" si="130"/>
        <v>6.7199999999999996E-4</v>
      </c>
    </row>
    <row r="673" spans="1:52" ht="15" customHeight="1" x14ac:dyDescent="0.25">
      <c r="A673" s="13" t="str">
        <f>VLOOKUP(L673,[1]VALIDAÇÃO!$D$13:$E$350,2,0)</f>
        <v>DIRETO</v>
      </c>
      <c r="B673" s="14" t="str">
        <f t="shared" si="132"/>
        <v>54RIO AVE 130 SPE LTDA</v>
      </c>
      <c r="C673" s="15">
        <f t="shared" si="131"/>
        <v>54</v>
      </c>
      <c r="D673" s="16" t="str">
        <f t="shared" si="133"/>
        <v>58RIO AVE 130 SPE LTDA</v>
      </c>
      <c r="E673" s="17">
        <f t="shared" si="124"/>
        <v>58</v>
      </c>
      <c r="F673" s="18" t="str">
        <f t="shared" si="134"/>
        <v>53RIO AVE 130 SPE LTDA</v>
      </c>
      <c r="G673" s="18">
        <f t="shared" si="125"/>
        <v>53</v>
      </c>
      <c r="H673" s="19" t="str">
        <f t="shared" si="135"/>
        <v>38RIO AVE 130 SPE LTDA</v>
      </c>
      <c r="I673" s="19">
        <f t="shared" si="126"/>
        <v>38</v>
      </c>
      <c r="J673" s="30" t="s">
        <v>102</v>
      </c>
      <c r="K673" s="30" t="s">
        <v>800</v>
      </c>
      <c r="L673" s="30" t="s">
        <v>54</v>
      </c>
      <c r="M673" s="30" t="s">
        <v>55</v>
      </c>
      <c r="N673" s="33"/>
      <c r="O673" s="30"/>
      <c r="P673" s="29">
        <v>44823</v>
      </c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>
        <v>0.01</v>
      </c>
      <c r="AB673" s="30">
        <v>0.93</v>
      </c>
      <c r="AC673" s="30">
        <v>12.52</v>
      </c>
      <c r="AD673" s="30">
        <v>0.27</v>
      </c>
      <c r="AE673" s="30">
        <v>3.65</v>
      </c>
      <c r="AF673" s="30"/>
      <c r="AG673" s="30"/>
      <c r="AH673" s="30">
        <v>0.01</v>
      </c>
      <c r="AI673" s="30">
        <v>0</v>
      </c>
      <c r="AJ673" s="34">
        <v>27.89</v>
      </c>
      <c r="AK673" s="30">
        <v>7.41</v>
      </c>
      <c r="AL673" s="30"/>
      <c r="AM673" s="30"/>
      <c r="AN673" s="30"/>
      <c r="AO673" s="30"/>
      <c r="AP673" s="30"/>
      <c r="AQ673" s="30"/>
      <c r="AR673" s="30">
        <v>0.17</v>
      </c>
      <c r="AS673" s="30"/>
      <c r="AT673" s="30"/>
      <c r="AU673" s="30"/>
      <c r="AW673" s="27">
        <f t="shared" si="127"/>
        <v>27.890673</v>
      </c>
      <c r="AX673" s="27">
        <f t="shared" si="128"/>
        <v>0.270673</v>
      </c>
      <c r="AY673" s="27">
        <f t="shared" si="129"/>
        <v>0.93067300000000008</v>
      </c>
      <c r="AZ673" s="27">
        <f t="shared" si="130"/>
        <v>6.7299999999999999E-4</v>
      </c>
    </row>
    <row r="674" spans="1:52" ht="15" customHeight="1" x14ac:dyDescent="0.25">
      <c r="A674" s="13" t="str">
        <f>VLOOKUP(L674,[1]VALIDAÇÃO!$D$13:$E$350,2,0)</f>
        <v>DIRETO</v>
      </c>
      <c r="B674" s="14" t="str">
        <f t="shared" si="132"/>
        <v>87CONDOMINIO DO EDIFICIO EMPRESARIAL MARIE CURIE</v>
      </c>
      <c r="C674" s="15">
        <f t="shared" si="131"/>
        <v>87</v>
      </c>
      <c r="D674" s="16" t="str">
        <f t="shared" si="133"/>
        <v>104CONDOMINIO DO EDIFICIO EMPRESARIAL MARIE CURIE</v>
      </c>
      <c r="E674" s="17">
        <f t="shared" si="124"/>
        <v>104</v>
      </c>
      <c r="F674" s="18" t="str">
        <f t="shared" si="134"/>
        <v>72CONDOMINIO DO EDIFICIO EMPRESARIAL MARIE CURIE</v>
      </c>
      <c r="G674" s="18">
        <f t="shared" si="125"/>
        <v>72</v>
      </c>
      <c r="H674" s="19" t="str">
        <f t="shared" si="135"/>
        <v>46CONDOMINIO DO EDIFICIO EMPRESARIAL MARIE CURIE</v>
      </c>
      <c r="I674" s="19">
        <f t="shared" si="126"/>
        <v>46</v>
      </c>
      <c r="J674" s="30" t="s">
        <v>57</v>
      </c>
      <c r="K674" s="30" t="s">
        <v>801</v>
      </c>
      <c r="L674" s="30" t="s">
        <v>54</v>
      </c>
      <c r="M674" s="30" t="s">
        <v>60</v>
      </c>
      <c r="N674" s="33">
        <v>780.93</v>
      </c>
      <c r="O674" s="30">
        <v>1622.13</v>
      </c>
      <c r="P674" s="29">
        <v>45839</v>
      </c>
      <c r="Q674" s="30"/>
      <c r="R674" s="30">
        <v>1622.13</v>
      </c>
      <c r="S674" s="30"/>
      <c r="T674" s="30"/>
      <c r="U674" s="30"/>
      <c r="V674" s="30"/>
      <c r="W674" s="30"/>
      <c r="X674" s="30"/>
      <c r="Y674" s="30"/>
      <c r="Z674" s="30"/>
      <c r="AA674" s="30"/>
      <c r="AB674" s="30">
        <v>21.17</v>
      </c>
      <c r="AC674" s="30">
        <v>225.2</v>
      </c>
      <c r="AD674" s="30">
        <v>18.3</v>
      </c>
      <c r="AE674" s="30">
        <v>194.68571428571428</v>
      </c>
      <c r="AF674" s="30"/>
      <c r="AG674" s="30"/>
      <c r="AH674" s="30"/>
      <c r="AI674" s="30"/>
      <c r="AJ674" s="34">
        <v>212.24</v>
      </c>
      <c r="AK674" s="30">
        <v>44.650000000000006</v>
      </c>
      <c r="AL674" s="30"/>
      <c r="AM674" s="30"/>
      <c r="AN674" s="30"/>
      <c r="AO674" s="30"/>
      <c r="AP674" s="30"/>
      <c r="AQ674" s="30"/>
      <c r="AR674" s="30">
        <v>7.59</v>
      </c>
      <c r="AS674" s="30">
        <v>-695.2</v>
      </c>
      <c r="AT674" s="30"/>
      <c r="AU674" s="30"/>
      <c r="AW674" s="27">
        <f t="shared" si="127"/>
        <v>212.24067400000001</v>
      </c>
      <c r="AX674" s="27">
        <f t="shared" si="128"/>
        <v>18.300674000000001</v>
      </c>
      <c r="AY674" s="27">
        <f t="shared" si="129"/>
        <v>21.170674000000002</v>
      </c>
      <c r="AZ674" s="27">
        <f t="shared" si="130"/>
        <v>6.7400000000000001E-4</v>
      </c>
    </row>
    <row r="675" spans="1:52" ht="15" customHeight="1" x14ac:dyDescent="0.25">
      <c r="A675" s="13" t="str">
        <f>VLOOKUP(L675,[1]VALIDAÇÃO!$D$13:$E$350,2,0)</f>
        <v>DIRETO</v>
      </c>
      <c r="B675" s="14" t="str">
        <f t="shared" si="132"/>
        <v>5RESERVA DO PAIVA SPE 01 LTDA.</v>
      </c>
      <c r="C675" s="15">
        <f t="shared" si="131"/>
        <v>5</v>
      </c>
      <c r="D675" s="16" t="str">
        <f t="shared" si="133"/>
        <v>67RESERVA DO PAIVA SPE 01 LTDA.</v>
      </c>
      <c r="E675" s="17">
        <f t="shared" si="124"/>
        <v>67</v>
      </c>
      <c r="F675" s="18" t="str">
        <f t="shared" si="134"/>
        <v>30RESERVA DO PAIVA SPE 01 LTDA.</v>
      </c>
      <c r="G675" s="18">
        <f t="shared" si="125"/>
        <v>30</v>
      </c>
      <c r="H675" s="19" t="str">
        <f t="shared" si="135"/>
        <v>53RESERVA DO PAIVA SPE 01 LTDA.</v>
      </c>
      <c r="I675" s="19">
        <f t="shared" si="126"/>
        <v>53</v>
      </c>
      <c r="J675" s="30" t="s">
        <v>68</v>
      </c>
      <c r="K675" s="30" t="s">
        <v>802</v>
      </c>
      <c r="L675" s="30" t="s">
        <v>63</v>
      </c>
      <c r="M675" s="30" t="s">
        <v>55</v>
      </c>
      <c r="N675" s="33">
        <v>2179.33</v>
      </c>
      <c r="O675" s="30">
        <v>2156</v>
      </c>
      <c r="P675" s="29">
        <v>45336</v>
      </c>
      <c r="Q675" s="30"/>
      <c r="R675" s="30">
        <v>2156</v>
      </c>
      <c r="S675" s="30"/>
      <c r="T675" s="30"/>
      <c r="U675" s="30"/>
      <c r="V675" s="30"/>
      <c r="W675" s="30"/>
      <c r="X675" s="30"/>
      <c r="Y675" s="30"/>
      <c r="Z675" s="30"/>
      <c r="AA675" s="30">
        <v>15.889999999999999</v>
      </c>
      <c r="AB675" s="30">
        <v>341.94</v>
      </c>
      <c r="AC675" s="30">
        <v>1152.9093750000002</v>
      </c>
      <c r="AD675" s="30">
        <v>64.61999999999999</v>
      </c>
      <c r="AE675" s="30">
        <v>217.97437500000001</v>
      </c>
      <c r="AF675" s="30"/>
      <c r="AG675" s="30"/>
      <c r="AH675" s="30">
        <v>72.989999999999995</v>
      </c>
      <c r="AI675" s="30">
        <v>0</v>
      </c>
      <c r="AJ675" s="34">
        <v>1263.1599999999999</v>
      </c>
      <c r="AK675" s="30">
        <v>276.91999999999996</v>
      </c>
      <c r="AL675" s="30">
        <v>-46.4</v>
      </c>
      <c r="AM675" s="30">
        <v>265.14</v>
      </c>
      <c r="AN675" s="30"/>
      <c r="AO675" s="30"/>
      <c r="AP675" s="30">
        <v>226.57999999999998</v>
      </c>
      <c r="AQ675" s="30">
        <v>647.36</v>
      </c>
      <c r="AR675" s="30">
        <v>136.39000000000001</v>
      </c>
      <c r="AS675" s="30">
        <v>-924</v>
      </c>
      <c r="AT675" s="30"/>
      <c r="AU675" s="30"/>
      <c r="AW675" s="27">
        <f t="shared" si="127"/>
        <v>1263.1606749999999</v>
      </c>
      <c r="AX675" s="27">
        <f t="shared" si="128"/>
        <v>64.620674999999991</v>
      </c>
      <c r="AY675" s="27">
        <f t="shared" si="129"/>
        <v>341.940675</v>
      </c>
      <c r="AZ675" s="27">
        <f t="shared" si="130"/>
        <v>226.58067499999999</v>
      </c>
    </row>
    <row r="676" spans="1:52" ht="15" customHeight="1" x14ac:dyDescent="0.25">
      <c r="A676" s="13" t="str">
        <f>VLOOKUP(L676,[1]VALIDAÇÃO!$D$13:$E$350,2,0)</f>
        <v>DIRETO</v>
      </c>
      <c r="B676" s="14" t="str">
        <f t="shared" si="132"/>
        <v>37CONDOMINIO DO EDIFICIO EMPRESARIAL MARIE CURIE</v>
      </c>
      <c r="C676" s="15">
        <f t="shared" si="131"/>
        <v>37</v>
      </c>
      <c r="D676" s="16" t="str">
        <f t="shared" si="133"/>
        <v>96CONDOMINIO DO EDIFICIO EMPRESARIAL MARIE CURIE</v>
      </c>
      <c r="E676" s="17">
        <f t="shared" si="124"/>
        <v>96</v>
      </c>
      <c r="F676" s="18" t="str">
        <f t="shared" si="134"/>
        <v>60CONDOMINIO DO EDIFICIO EMPRESARIAL MARIE CURIE</v>
      </c>
      <c r="G676" s="18">
        <f t="shared" si="125"/>
        <v>60</v>
      </c>
      <c r="H676" s="19" t="str">
        <f t="shared" si="135"/>
        <v>45CONDOMINIO DO EDIFICIO EMPRESARIAL MARIE CURIE</v>
      </c>
      <c r="I676" s="19">
        <f t="shared" si="126"/>
        <v>45</v>
      </c>
      <c r="J676" s="30" t="s">
        <v>57</v>
      </c>
      <c r="K676" s="30" t="s">
        <v>803</v>
      </c>
      <c r="L676" s="30" t="s">
        <v>54</v>
      </c>
      <c r="M676" s="30" t="s">
        <v>60</v>
      </c>
      <c r="N676" s="33">
        <v>983.86</v>
      </c>
      <c r="O676" s="30">
        <v>1622.13</v>
      </c>
      <c r="P676" s="29">
        <v>45603</v>
      </c>
      <c r="Q676" s="30"/>
      <c r="R676" s="30">
        <v>1622.13</v>
      </c>
      <c r="S676" s="30"/>
      <c r="T676" s="30"/>
      <c r="U676" s="30"/>
      <c r="V676" s="30"/>
      <c r="W676" s="30"/>
      <c r="X676" s="30"/>
      <c r="Y676" s="30"/>
      <c r="Z676" s="30"/>
      <c r="AA676" s="30">
        <v>1.08</v>
      </c>
      <c r="AB676" s="30">
        <v>51.24</v>
      </c>
      <c r="AC676" s="30">
        <v>301.20428571428567</v>
      </c>
      <c r="AD676" s="30">
        <v>36.31</v>
      </c>
      <c r="AE676" s="30">
        <v>184.14714285714285</v>
      </c>
      <c r="AF676" s="30"/>
      <c r="AG676" s="30"/>
      <c r="AH676" s="30">
        <v>5.5699999999999994</v>
      </c>
      <c r="AI676" s="30">
        <v>0</v>
      </c>
      <c r="AJ676" s="34">
        <v>620.39</v>
      </c>
      <c r="AK676" s="30">
        <v>131.78</v>
      </c>
      <c r="AL676" s="30"/>
      <c r="AM676" s="30"/>
      <c r="AN676" s="30"/>
      <c r="AO676" s="30"/>
      <c r="AP676" s="30"/>
      <c r="AQ676" s="30"/>
      <c r="AR676" s="30">
        <v>15.95</v>
      </c>
      <c r="AS676" s="30">
        <v>-695.2</v>
      </c>
      <c r="AT676" s="30"/>
      <c r="AU676" s="30"/>
      <c r="AW676" s="27">
        <f t="shared" si="127"/>
        <v>620.39067599999998</v>
      </c>
      <c r="AX676" s="27">
        <f t="shared" si="128"/>
        <v>36.310676000000001</v>
      </c>
      <c r="AY676" s="27">
        <f t="shared" si="129"/>
        <v>51.240676000000001</v>
      </c>
      <c r="AZ676" s="27">
        <f t="shared" si="130"/>
        <v>6.7599999999999995E-4</v>
      </c>
    </row>
    <row r="677" spans="1:52" ht="15" customHeight="1" x14ac:dyDescent="0.25">
      <c r="A677" s="13" t="str">
        <f>VLOOKUP(L677,[1]VALIDAÇÃO!$D$13:$E$350,2,0)</f>
        <v>INDIRETO</v>
      </c>
      <c r="B677" s="14" t="str">
        <f t="shared" si="132"/>
        <v>125RIO AVE CARNEIROS 01 SPE LTDA.</v>
      </c>
      <c r="C677" s="15">
        <f t="shared" si="131"/>
        <v>125</v>
      </c>
      <c r="D677" s="16" t="str">
        <f t="shared" si="133"/>
        <v>82RIO AVE CARNEIROS 01 SPE LTDA.</v>
      </c>
      <c r="E677" s="17">
        <f t="shared" si="124"/>
        <v>82</v>
      </c>
      <c r="F677" s="18" t="str">
        <f t="shared" si="134"/>
        <v>122RIO AVE CARNEIROS 01 SPE LTDA.</v>
      </c>
      <c r="G677" s="18">
        <f t="shared" si="125"/>
        <v>122</v>
      </c>
      <c r="H677" s="19" t="str">
        <f t="shared" si="135"/>
        <v>65RIO AVE CARNEIROS 01 SPE LTDA.</v>
      </c>
      <c r="I677" s="19">
        <f t="shared" si="126"/>
        <v>65</v>
      </c>
      <c r="J677" s="30" t="s">
        <v>61</v>
      </c>
      <c r="K677" s="30" t="s">
        <v>804</v>
      </c>
      <c r="L677" s="30" t="s">
        <v>50</v>
      </c>
      <c r="M677" s="30" t="s">
        <v>85</v>
      </c>
      <c r="N677" s="33">
        <v>742.09</v>
      </c>
      <c r="O677" s="30">
        <v>2796.27</v>
      </c>
      <c r="P677" s="29">
        <v>45558</v>
      </c>
      <c r="Q677" s="30"/>
      <c r="R677" s="30">
        <v>2796.27</v>
      </c>
      <c r="S677" s="30"/>
      <c r="T677" s="30"/>
      <c r="U677" s="30"/>
      <c r="V677" s="30"/>
      <c r="W677" s="30"/>
      <c r="X677" s="30"/>
      <c r="Y677" s="30"/>
      <c r="Z677" s="30"/>
      <c r="AA677" s="30">
        <v>9.9999999999999992E-2</v>
      </c>
      <c r="AB677" s="30">
        <v>13.19</v>
      </c>
      <c r="AC677" s="30">
        <v>44.4</v>
      </c>
      <c r="AD677" s="30">
        <v>40.769999999999996</v>
      </c>
      <c r="AE677" s="30">
        <v>119.89999999999999</v>
      </c>
      <c r="AF677" s="30"/>
      <c r="AG677" s="30"/>
      <c r="AH677" s="30">
        <v>0.41</v>
      </c>
      <c r="AI677" s="30">
        <v>0</v>
      </c>
      <c r="AJ677" s="34">
        <v>36.659999999999997</v>
      </c>
      <c r="AK677" s="30">
        <v>8.8000000000000007</v>
      </c>
      <c r="AL677" s="30">
        <v>-32.68</v>
      </c>
      <c r="AM677" s="30">
        <v>144</v>
      </c>
      <c r="AN677" s="30"/>
      <c r="AO677" s="30"/>
      <c r="AP677" s="30">
        <v>17.25</v>
      </c>
      <c r="AQ677" s="30">
        <v>38</v>
      </c>
      <c r="AR677" s="30">
        <v>16.45</v>
      </c>
      <c r="AS677" s="30">
        <v>-1348.4</v>
      </c>
      <c r="AT677" s="30"/>
      <c r="AU677" s="30"/>
      <c r="AW677" s="27">
        <f t="shared" si="127"/>
        <v>36.660677</v>
      </c>
      <c r="AX677" s="27">
        <f t="shared" si="128"/>
        <v>40.770676999999999</v>
      </c>
      <c r="AY677" s="27">
        <f t="shared" si="129"/>
        <v>13.190676999999999</v>
      </c>
      <c r="AZ677" s="27">
        <f t="shared" si="130"/>
        <v>17.250677</v>
      </c>
    </row>
    <row r="678" spans="1:52" ht="15" customHeight="1" x14ac:dyDescent="0.25">
      <c r="A678" s="13" t="str">
        <f>VLOOKUP(L678,[1]VALIDAÇÃO!$D$13:$E$350,2,0)</f>
        <v>DIRETO</v>
      </c>
      <c r="B678" s="14" t="str">
        <f t="shared" si="132"/>
        <v>46RESERVA DO PAIVA SPE 01 LTDA.</v>
      </c>
      <c r="C678" s="15">
        <f t="shared" si="131"/>
        <v>46</v>
      </c>
      <c r="D678" s="16" t="str">
        <f t="shared" si="133"/>
        <v>39RESERVA DO PAIVA SPE 01 LTDA.</v>
      </c>
      <c r="E678" s="17">
        <f t="shared" si="124"/>
        <v>39</v>
      </c>
      <c r="F678" s="18" t="str">
        <f t="shared" si="134"/>
        <v>32RESERVA DO PAIVA SPE 01 LTDA.</v>
      </c>
      <c r="G678" s="18">
        <f t="shared" si="125"/>
        <v>32</v>
      </c>
      <c r="H678" s="19" t="str">
        <f t="shared" si="135"/>
        <v>42RESERVA DO PAIVA SPE 01 LTDA.</v>
      </c>
      <c r="I678" s="19">
        <f t="shared" si="126"/>
        <v>42</v>
      </c>
      <c r="J678" s="30" t="s">
        <v>68</v>
      </c>
      <c r="K678" s="30" t="s">
        <v>805</v>
      </c>
      <c r="L678" s="30" t="s">
        <v>54</v>
      </c>
      <c r="M678" s="30" t="s">
        <v>55</v>
      </c>
      <c r="N678" s="33">
        <v>1688.99</v>
      </c>
      <c r="O678" s="30">
        <v>1622.13</v>
      </c>
      <c r="P678" s="29">
        <v>45852</v>
      </c>
      <c r="Q678" s="29"/>
      <c r="R678" s="30">
        <v>1622.13</v>
      </c>
      <c r="S678" s="30"/>
      <c r="T678" s="30"/>
      <c r="U678" s="30"/>
      <c r="V678" s="30"/>
      <c r="W678" s="30"/>
      <c r="X678" s="30"/>
      <c r="Y678" s="30"/>
      <c r="Z678" s="30"/>
      <c r="AA678" s="30">
        <v>16.96</v>
      </c>
      <c r="AB678" s="30">
        <v>317.71000000000004</v>
      </c>
      <c r="AC678" s="30">
        <v>2055.0114285714285</v>
      </c>
      <c r="AD678" s="30">
        <v>245.04000000000002</v>
      </c>
      <c r="AE678" s="30">
        <v>1877.1542857142854</v>
      </c>
      <c r="AF678" s="30"/>
      <c r="AG678" s="30"/>
      <c r="AH678" s="30">
        <v>75.22999999999999</v>
      </c>
      <c r="AI678" s="30">
        <v>0</v>
      </c>
      <c r="AJ678" s="34">
        <v>614</v>
      </c>
      <c r="AK678" s="30">
        <v>135.02000000000001</v>
      </c>
      <c r="AL678" s="30"/>
      <c r="AM678" s="30"/>
      <c r="AN678" s="30"/>
      <c r="AO678" s="30"/>
      <c r="AP678" s="30">
        <v>288.06</v>
      </c>
      <c r="AQ678" s="30">
        <v>1941.44</v>
      </c>
      <c r="AR678" s="30">
        <v>192.32999999999998</v>
      </c>
      <c r="AS678" s="30">
        <v>-695.2</v>
      </c>
      <c r="AT678" s="30"/>
      <c r="AU678" s="30"/>
      <c r="AW678" s="27">
        <f t="shared" si="127"/>
        <v>614.00067799999999</v>
      </c>
      <c r="AX678" s="27">
        <f t="shared" si="128"/>
        <v>245.04067800000001</v>
      </c>
      <c r="AY678" s="27">
        <f t="shared" si="129"/>
        <v>317.71067800000003</v>
      </c>
      <c r="AZ678" s="27">
        <f t="shared" si="130"/>
        <v>288.060678</v>
      </c>
    </row>
    <row r="679" spans="1:52" ht="15" customHeight="1" x14ac:dyDescent="0.25">
      <c r="A679" s="13" t="str">
        <f>VLOOKUP(L679,[1]VALIDAÇÃO!$D$13:$E$350,2,0)</f>
        <v>DIRETO</v>
      </c>
      <c r="B679" s="14" t="str">
        <f t="shared" si="132"/>
        <v>48RESERVA DO PAIVA SPE 01 LTDA.</v>
      </c>
      <c r="C679" s="15">
        <f t="shared" si="131"/>
        <v>48</v>
      </c>
      <c r="D679" s="16" t="str">
        <f t="shared" si="133"/>
        <v>74RESERVA DO PAIVA SPE 01 LTDA.</v>
      </c>
      <c r="E679" s="17">
        <f t="shared" si="124"/>
        <v>74</v>
      </c>
      <c r="F679" s="18" t="str">
        <f t="shared" si="134"/>
        <v>62RESERVA DO PAIVA SPE 01 LTDA.</v>
      </c>
      <c r="G679" s="18">
        <f t="shared" si="125"/>
        <v>62</v>
      </c>
      <c r="H679" s="19" t="str">
        <f t="shared" si="135"/>
        <v>58RESERVA DO PAIVA SPE 01 LTDA.</v>
      </c>
      <c r="I679" s="19">
        <f t="shared" si="126"/>
        <v>58</v>
      </c>
      <c r="J679" s="30" t="s">
        <v>68</v>
      </c>
      <c r="K679" s="30" t="s">
        <v>806</v>
      </c>
      <c r="L679" s="30" t="s">
        <v>54</v>
      </c>
      <c r="M679" s="30" t="s">
        <v>55</v>
      </c>
      <c r="N679" s="33">
        <v>1564.8</v>
      </c>
      <c r="O679" s="30">
        <v>1622.13</v>
      </c>
      <c r="P679" s="29">
        <v>45943</v>
      </c>
      <c r="Q679" s="29"/>
      <c r="R679" s="30">
        <v>1622.13</v>
      </c>
      <c r="S679" s="30"/>
      <c r="T679" s="30"/>
      <c r="U679" s="30"/>
      <c r="V679" s="30"/>
      <c r="W679" s="30"/>
      <c r="X679" s="30"/>
      <c r="Y679" s="30"/>
      <c r="Z679" s="30"/>
      <c r="AA679" s="30">
        <v>8.2799999999999994</v>
      </c>
      <c r="AB679" s="30">
        <v>105.43</v>
      </c>
      <c r="AC679" s="30">
        <v>471</v>
      </c>
      <c r="AD679" s="30">
        <v>26.86</v>
      </c>
      <c r="AE679" s="30">
        <v>120</v>
      </c>
      <c r="AF679" s="30"/>
      <c r="AG679" s="30"/>
      <c r="AH679" s="30">
        <v>36.660000000000004</v>
      </c>
      <c r="AI679" s="30">
        <v>0</v>
      </c>
      <c r="AJ679" s="34">
        <v>597.25</v>
      </c>
      <c r="AK679" s="30">
        <v>133.94999999999999</v>
      </c>
      <c r="AL679" s="30">
        <v>-2.76</v>
      </c>
      <c r="AM679" s="30">
        <v>21</v>
      </c>
      <c r="AN679" s="30"/>
      <c r="AO679" s="30"/>
      <c r="AP679" s="30">
        <v>209.19</v>
      </c>
      <c r="AQ679" s="30">
        <v>1572</v>
      </c>
      <c r="AR679" s="30">
        <v>80.02</v>
      </c>
      <c r="AS679" s="30">
        <v>-695.2</v>
      </c>
      <c r="AT679" s="30"/>
      <c r="AU679" s="30"/>
      <c r="AW679" s="27">
        <f t="shared" si="127"/>
        <v>597.25067899999999</v>
      </c>
      <c r="AX679" s="27">
        <f t="shared" si="128"/>
        <v>26.860679000000001</v>
      </c>
      <c r="AY679" s="27">
        <f t="shared" si="129"/>
        <v>105.43067900000001</v>
      </c>
      <c r="AZ679" s="27">
        <f t="shared" si="130"/>
        <v>209.19067899999999</v>
      </c>
    </row>
    <row r="680" spans="1:52" ht="15" customHeight="1" x14ac:dyDescent="0.25">
      <c r="A680" s="13" t="str">
        <f>VLOOKUP(L680,[1]VALIDAÇÃO!$D$13:$E$350,2,0)</f>
        <v>DIRETO</v>
      </c>
      <c r="B680" s="14" t="str">
        <f t="shared" si="132"/>
        <v>60RESERVA DO PAIVA SPE 01 LTDA.</v>
      </c>
      <c r="C680" s="15">
        <f t="shared" si="131"/>
        <v>60</v>
      </c>
      <c r="D680" s="16" t="str">
        <f t="shared" si="133"/>
        <v>38RESERVA DO PAIVA SPE 01 LTDA.</v>
      </c>
      <c r="E680" s="17">
        <f t="shared" si="124"/>
        <v>38</v>
      </c>
      <c r="F680" s="18" t="str">
        <f t="shared" si="134"/>
        <v>75RESERVA DO PAIVA SPE 01 LTDA.</v>
      </c>
      <c r="G680" s="18">
        <f t="shared" si="125"/>
        <v>75</v>
      </c>
      <c r="H680" s="19" t="str">
        <f t="shared" si="135"/>
        <v>77RESERVA DO PAIVA SPE 01 LTDA.</v>
      </c>
      <c r="I680" s="19">
        <f t="shared" si="126"/>
        <v>77</v>
      </c>
      <c r="J680" s="30" t="s">
        <v>68</v>
      </c>
      <c r="K680" s="30" t="s">
        <v>807</v>
      </c>
      <c r="L680" s="30" t="s">
        <v>54</v>
      </c>
      <c r="M680" s="30" t="s">
        <v>55</v>
      </c>
      <c r="N680" s="33">
        <v>1179.74</v>
      </c>
      <c r="O680" s="30">
        <v>1622.13</v>
      </c>
      <c r="P680" s="29">
        <v>45922</v>
      </c>
      <c r="Q680" s="30"/>
      <c r="R680" s="30">
        <v>1622.13</v>
      </c>
      <c r="S680" s="30"/>
      <c r="T680" s="30"/>
      <c r="U680" s="30"/>
      <c r="V680" s="30"/>
      <c r="W680" s="30"/>
      <c r="X680" s="30"/>
      <c r="Y680" s="30"/>
      <c r="Z680" s="30"/>
      <c r="AA680" s="30">
        <v>5.1100000000000003</v>
      </c>
      <c r="AB680" s="30">
        <v>12.25</v>
      </c>
      <c r="AC680" s="30">
        <v>223.32857142857142</v>
      </c>
      <c r="AD680" s="30">
        <v>260.22000000000003</v>
      </c>
      <c r="AE680" s="30">
        <v>1882.3285714285714</v>
      </c>
      <c r="AF680" s="30"/>
      <c r="AG680" s="30"/>
      <c r="AH680" s="30">
        <v>22.33</v>
      </c>
      <c r="AI680" s="30">
        <v>0</v>
      </c>
      <c r="AJ680" s="34">
        <v>433.65999999999997</v>
      </c>
      <c r="AK680" s="30">
        <v>97.37</v>
      </c>
      <c r="AL680" s="30">
        <v>-6.06</v>
      </c>
      <c r="AM680" s="30">
        <v>46</v>
      </c>
      <c r="AN680" s="30">
        <v>-57.93</v>
      </c>
      <c r="AO680" s="30">
        <v>1</v>
      </c>
      <c r="AP680" s="30"/>
      <c r="AQ680" s="30"/>
      <c r="AR680" s="30">
        <v>63.410000000000004</v>
      </c>
      <c r="AS680" s="30">
        <v>-695.2</v>
      </c>
      <c r="AT680" s="30">
        <v>-57.93</v>
      </c>
      <c r="AU680" s="30">
        <v>1</v>
      </c>
      <c r="AW680" s="27">
        <f t="shared" si="127"/>
        <v>433.66067999999996</v>
      </c>
      <c r="AX680" s="27">
        <f t="shared" si="128"/>
        <v>260.22068000000002</v>
      </c>
      <c r="AY680" s="27">
        <f t="shared" si="129"/>
        <v>12.250679999999999</v>
      </c>
      <c r="AZ680" s="27">
        <f t="shared" si="130"/>
        <v>6.8000000000000005E-4</v>
      </c>
    </row>
    <row r="681" spans="1:52" ht="15" customHeight="1" x14ac:dyDescent="0.25">
      <c r="A681" s="13" t="str">
        <f>VLOOKUP(L681,[1]VALIDAÇÃO!$D$13:$E$350,2,0)</f>
        <v>INDIRETO</v>
      </c>
      <c r="B681" s="14" t="str">
        <f t="shared" si="132"/>
        <v>113CONDOMINIO DO EDIFICIO EMPRESARIAL MARIE CURIE</v>
      </c>
      <c r="C681" s="15">
        <f t="shared" si="131"/>
        <v>113</v>
      </c>
      <c r="D681" s="16" t="str">
        <f t="shared" si="133"/>
        <v>121CONDOMINIO DO EDIFICIO EMPRESARIAL MARIE CURIE</v>
      </c>
      <c r="E681" s="17">
        <f t="shared" si="124"/>
        <v>121</v>
      </c>
      <c r="F681" s="18" t="str">
        <f t="shared" si="134"/>
        <v>96CONDOMINIO DO EDIFICIO EMPRESARIAL MARIE CURIE</v>
      </c>
      <c r="G681" s="18">
        <f t="shared" si="125"/>
        <v>96</v>
      </c>
      <c r="H681" s="19" t="str">
        <f t="shared" si="135"/>
        <v>44CONDOMINIO DO EDIFICIO EMPRESARIAL MARIE CURIE</v>
      </c>
      <c r="I681" s="19">
        <f t="shared" si="126"/>
        <v>44</v>
      </c>
      <c r="J681" s="30" t="s">
        <v>57</v>
      </c>
      <c r="K681" s="30" t="s">
        <v>808</v>
      </c>
      <c r="L681" s="30" t="s">
        <v>809</v>
      </c>
      <c r="M681" s="30" t="s">
        <v>60</v>
      </c>
      <c r="N681" s="33">
        <v>1029.97</v>
      </c>
      <c r="O681" s="30"/>
      <c r="P681" s="29">
        <v>45839</v>
      </c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4"/>
      <c r="AK681" s="30"/>
      <c r="AL681" s="30"/>
      <c r="AM681" s="30"/>
      <c r="AN681" s="30"/>
      <c r="AO681" s="30"/>
      <c r="AP681" s="30"/>
      <c r="AQ681" s="30"/>
      <c r="AR681" s="30"/>
      <c r="AS681" s="30">
        <v>-452</v>
      </c>
      <c r="AT681" s="30"/>
      <c r="AU681" s="30"/>
      <c r="AW681" s="27">
        <f t="shared" si="127"/>
        <v>6.8099999999999996E-4</v>
      </c>
      <c r="AX681" s="27">
        <f t="shared" si="128"/>
        <v>6.8099999999999996E-4</v>
      </c>
      <c r="AY681" s="27">
        <f t="shared" si="129"/>
        <v>6.8099999999999996E-4</v>
      </c>
      <c r="AZ681" s="27">
        <f t="shared" si="130"/>
        <v>6.8099999999999996E-4</v>
      </c>
    </row>
    <row r="682" spans="1:52" ht="15" customHeight="1" x14ac:dyDescent="0.25">
      <c r="A682" s="13" t="str">
        <f>VLOOKUP(L682,[1]VALIDAÇÃO!$D$13:$E$350,2,0)</f>
        <v>DIRETO</v>
      </c>
      <c r="B682" s="14" t="str">
        <f t="shared" si="132"/>
        <v>29RESERVA DO PAIVA SPE 03 LTDA</v>
      </c>
      <c r="C682" s="15">
        <f t="shared" si="131"/>
        <v>29</v>
      </c>
      <c r="D682" s="16" t="str">
        <f t="shared" si="133"/>
        <v>64RESERVA DO PAIVA SPE 03 LTDA</v>
      </c>
      <c r="E682" s="17">
        <f t="shared" si="124"/>
        <v>64</v>
      </c>
      <c r="F682" s="18" t="str">
        <f t="shared" si="134"/>
        <v>58RESERVA DO PAIVA SPE 03 LTDA</v>
      </c>
      <c r="G682" s="18">
        <f t="shared" si="125"/>
        <v>58</v>
      </c>
      <c r="H682" s="19" t="str">
        <f t="shared" si="135"/>
        <v>57RESERVA DO PAIVA SPE 03 LTDA</v>
      </c>
      <c r="I682" s="19">
        <f t="shared" si="126"/>
        <v>57</v>
      </c>
      <c r="J682" s="30" t="s">
        <v>52</v>
      </c>
      <c r="K682" s="30" t="s">
        <v>810</v>
      </c>
      <c r="L682" s="30" t="s">
        <v>63</v>
      </c>
      <c r="M682" s="30" t="s">
        <v>55</v>
      </c>
      <c r="N682" s="33">
        <v>1192.51</v>
      </c>
      <c r="O682" s="30">
        <v>2156</v>
      </c>
      <c r="P682" s="29">
        <v>45705</v>
      </c>
      <c r="Q682" s="29"/>
      <c r="R682" s="30">
        <v>2156</v>
      </c>
      <c r="S682" s="30"/>
      <c r="T682" s="30"/>
      <c r="U682" s="30"/>
      <c r="V682" s="30"/>
      <c r="W682" s="30">
        <v>0.88</v>
      </c>
      <c r="X682" s="30">
        <v>26.95</v>
      </c>
      <c r="Y682" s="30"/>
      <c r="Z682" s="30"/>
      <c r="AA682" s="30">
        <v>4.17</v>
      </c>
      <c r="AB682" s="30">
        <v>147.88</v>
      </c>
      <c r="AC682" s="30">
        <v>760.85714285714289</v>
      </c>
      <c r="AD682" s="30">
        <v>252.3</v>
      </c>
      <c r="AE682" s="30">
        <v>1210.9557142857143</v>
      </c>
      <c r="AF682" s="30"/>
      <c r="AG682" s="30"/>
      <c r="AH682" s="30">
        <v>19.220000000000002</v>
      </c>
      <c r="AI682" s="30">
        <v>0</v>
      </c>
      <c r="AJ682" s="34">
        <v>460.27</v>
      </c>
      <c r="AK682" s="30">
        <v>104.93</v>
      </c>
      <c r="AL682" s="30"/>
      <c r="AM682" s="30"/>
      <c r="AN682" s="30"/>
      <c r="AO682" s="30"/>
      <c r="AP682" s="30">
        <v>47.44</v>
      </c>
      <c r="AQ682" s="30">
        <v>207.47142857142856</v>
      </c>
      <c r="AR682" s="30">
        <v>96.63</v>
      </c>
      <c r="AS682" s="30">
        <v>-924</v>
      </c>
      <c r="AT682" s="30"/>
      <c r="AU682" s="30"/>
      <c r="AW682" s="27">
        <f t="shared" si="127"/>
        <v>460.27068199999997</v>
      </c>
      <c r="AX682" s="27">
        <f t="shared" si="128"/>
        <v>252.30068200000002</v>
      </c>
      <c r="AY682" s="27">
        <f t="shared" si="129"/>
        <v>147.88068200000001</v>
      </c>
      <c r="AZ682" s="27">
        <f t="shared" si="130"/>
        <v>47.440681999999995</v>
      </c>
    </row>
    <row r="683" spans="1:52" ht="15" customHeight="1" x14ac:dyDescent="0.25">
      <c r="A683" s="13" t="str">
        <f>VLOOKUP(L683,[1]VALIDAÇÃO!$D$13:$E$350,2,0)</f>
        <v>DIRETO</v>
      </c>
      <c r="B683" s="14" t="str">
        <f t="shared" si="132"/>
        <v>46CONDOMINIO DO EDIFICIO EMPRESARIAL MARIE CURIE</v>
      </c>
      <c r="C683" s="15">
        <f t="shared" si="131"/>
        <v>46</v>
      </c>
      <c r="D683" s="16" t="str">
        <f t="shared" si="133"/>
        <v>83CONDOMINIO DO EDIFICIO EMPRESARIAL MARIE CURIE</v>
      </c>
      <c r="E683" s="17">
        <f t="shared" si="124"/>
        <v>83</v>
      </c>
      <c r="F683" s="18" t="str">
        <f t="shared" si="134"/>
        <v>40CONDOMINIO DO EDIFICIO EMPRESARIAL MARIE CURIE</v>
      </c>
      <c r="G683" s="18">
        <f t="shared" si="125"/>
        <v>40</v>
      </c>
      <c r="H683" s="19" t="str">
        <f t="shared" si="135"/>
        <v>43CONDOMINIO DO EDIFICIO EMPRESARIAL MARIE CURIE</v>
      </c>
      <c r="I683" s="19">
        <f t="shared" si="126"/>
        <v>43</v>
      </c>
      <c r="J683" s="30" t="s">
        <v>57</v>
      </c>
      <c r="K683" s="30" t="s">
        <v>811</v>
      </c>
      <c r="L683" s="30" t="s">
        <v>54</v>
      </c>
      <c r="M683" s="30" t="s">
        <v>60</v>
      </c>
      <c r="N683" s="33">
        <v>1034.93</v>
      </c>
      <c r="O683" s="30">
        <v>1622.13</v>
      </c>
      <c r="P683" s="29">
        <v>45733</v>
      </c>
      <c r="Q683" s="30"/>
      <c r="R683" s="30">
        <v>1622.13</v>
      </c>
      <c r="S683" s="30"/>
      <c r="T683" s="30"/>
      <c r="U683" s="30"/>
      <c r="V683" s="30"/>
      <c r="W683" s="30"/>
      <c r="X683" s="30"/>
      <c r="Y683" s="30"/>
      <c r="Z683" s="30"/>
      <c r="AA683" s="30">
        <v>2.38</v>
      </c>
      <c r="AB683" s="30">
        <v>104.53</v>
      </c>
      <c r="AC683" s="30">
        <v>540.66142857142859</v>
      </c>
      <c r="AD683" s="30">
        <v>57.5</v>
      </c>
      <c r="AE683" s="30">
        <v>343.69</v>
      </c>
      <c r="AF683" s="30"/>
      <c r="AG683" s="30"/>
      <c r="AH683" s="30">
        <v>11.27</v>
      </c>
      <c r="AI683" s="30">
        <v>0</v>
      </c>
      <c r="AJ683" s="34">
        <v>558.27</v>
      </c>
      <c r="AK683" s="30">
        <v>119.4</v>
      </c>
      <c r="AL683" s="30"/>
      <c r="AM683" s="30"/>
      <c r="AN683" s="30"/>
      <c r="AO683" s="30"/>
      <c r="AP683" s="30"/>
      <c r="AQ683" s="30"/>
      <c r="AR683" s="30">
        <v>34.58</v>
      </c>
      <c r="AS683" s="30">
        <v>-695.2</v>
      </c>
      <c r="AT683" s="30"/>
      <c r="AU683" s="30"/>
      <c r="AW683" s="27">
        <f t="shared" si="127"/>
        <v>558.27068299999996</v>
      </c>
      <c r="AX683" s="27">
        <f t="shared" si="128"/>
        <v>57.500683000000002</v>
      </c>
      <c r="AY683" s="27">
        <f t="shared" si="129"/>
        <v>104.530683</v>
      </c>
      <c r="AZ683" s="27">
        <f t="shared" si="130"/>
        <v>6.8300000000000001E-4</v>
      </c>
    </row>
    <row r="684" spans="1:52" ht="15" customHeight="1" x14ac:dyDescent="0.25">
      <c r="A684" s="13" t="str">
        <f>VLOOKUP(L684,[1]VALIDAÇÃO!$D$13:$E$350,2,0)</f>
        <v>DIRETO</v>
      </c>
      <c r="B684" s="14" t="str">
        <f t="shared" si="132"/>
        <v>58RIO AVE 200 SPE LTDA.</v>
      </c>
      <c r="C684" s="15">
        <f t="shared" si="131"/>
        <v>58</v>
      </c>
      <c r="D684" s="16" t="str">
        <f t="shared" si="133"/>
        <v>69RIO AVE 200 SPE LTDA.</v>
      </c>
      <c r="E684" s="17">
        <f t="shared" si="124"/>
        <v>69</v>
      </c>
      <c r="F684" s="18" t="str">
        <f t="shared" si="134"/>
        <v>51RIO AVE 200 SPE LTDA.</v>
      </c>
      <c r="G684" s="18">
        <f t="shared" si="125"/>
        <v>51</v>
      </c>
      <c r="H684" s="19" t="str">
        <f t="shared" si="135"/>
        <v>23RIO AVE 200 SPE LTDA.</v>
      </c>
      <c r="I684" s="19">
        <f t="shared" si="126"/>
        <v>23</v>
      </c>
      <c r="J684" s="30" t="s">
        <v>48</v>
      </c>
      <c r="K684" s="30" t="s">
        <v>812</v>
      </c>
      <c r="L684" s="30" t="s">
        <v>54</v>
      </c>
      <c r="M684" s="30" t="s">
        <v>55</v>
      </c>
      <c r="N684" s="33">
        <v>1145.24</v>
      </c>
      <c r="O684" s="30">
        <v>1158.67</v>
      </c>
      <c r="P684" s="29">
        <v>46000</v>
      </c>
      <c r="Q684" s="29"/>
      <c r="R684" s="30">
        <v>1158.67</v>
      </c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4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W684" s="27">
        <f t="shared" si="127"/>
        <v>6.8400000000000004E-4</v>
      </c>
      <c r="AX684" s="27">
        <f t="shared" si="128"/>
        <v>6.8400000000000004E-4</v>
      </c>
      <c r="AY684" s="27">
        <f t="shared" si="129"/>
        <v>6.8400000000000004E-4</v>
      </c>
      <c r="AZ684" s="27">
        <f t="shared" si="130"/>
        <v>6.8400000000000004E-4</v>
      </c>
    </row>
    <row r="685" spans="1:52" ht="15" customHeight="1" x14ac:dyDescent="0.25">
      <c r="A685" s="13" t="str">
        <f>VLOOKUP(L685,[1]VALIDAÇÃO!$D$13:$E$350,2,0)</f>
        <v>DIRETO</v>
      </c>
      <c r="B685" s="14" t="str">
        <f t="shared" si="132"/>
        <v>69RESERVA DO PAIVA SPE 03 LTDA</v>
      </c>
      <c r="C685" s="15">
        <f t="shared" si="131"/>
        <v>69</v>
      </c>
      <c r="D685" s="16" t="str">
        <f t="shared" si="133"/>
        <v>86RESERVA DO PAIVA SPE 03 LTDA</v>
      </c>
      <c r="E685" s="17">
        <f t="shared" si="124"/>
        <v>86</v>
      </c>
      <c r="F685" s="18" t="str">
        <f t="shared" si="134"/>
        <v>66RESERVA DO PAIVA SPE 03 LTDA</v>
      </c>
      <c r="G685" s="18">
        <f t="shared" si="125"/>
        <v>66</v>
      </c>
      <c r="H685" s="19" t="str">
        <f t="shared" si="135"/>
        <v>85RESERVA DO PAIVA SPE 03 LTDA</v>
      </c>
      <c r="I685" s="19">
        <f t="shared" si="126"/>
        <v>85</v>
      </c>
      <c r="J685" s="30" t="s">
        <v>52</v>
      </c>
      <c r="K685" s="30" t="s">
        <v>813</v>
      </c>
      <c r="L685" s="30" t="s">
        <v>54</v>
      </c>
      <c r="M685" s="30" t="s">
        <v>55</v>
      </c>
      <c r="N685" s="33">
        <v>913.09</v>
      </c>
      <c r="O685" s="30">
        <v>1622.13</v>
      </c>
      <c r="P685" s="29">
        <v>45943</v>
      </c>
      <c r="Q685" s="29"/>
      <c r="R685" s="30">
        <v>1622.13</v>
      </c>
      <c r="S685" s="30"/>
      <c r="T685" s="30"/>
      <c r="U685" s="30"/>
      <c r="V685" s="30"/>
      <c r="W685" s="30"/>
      <c r="X685" s="30"/>
      <c r="Y685" s="30"/>
      <c r="Z685" s="30"/>
      <c r="AA685" s="30">
        <v>2.52</v>
      </c>
      <c r="AB685" s="30">
        <v>129.67000000000002</v>
      </c>
      <c r="AC685" s="30">
        <v>848.42857142857144</v>
      </c>
      <c r="AD685" s="30">
        <v>161.23000000000002</v>
      </c>
      <c r="AE685" s="30">
        <v>1094</v>
      </c>
      <c r="AF685" s="30"/>
      <c r="AG685" s="30"/>
      <c r="AH685" s="30">
        <v>11.57</v>
      </c>
      <c r="AI685" s="30">
        <v>0</v>
      </c>
      <c r="AJ685" s="34">
        <v>199.92</v>
      </c>
      <c r="AK685" s="30">
        <v>43.46</v>
      </c>
      <c r="AL685" s="30"/>
      <c r="AM685" s="30"/>
      <c r="AN685" s="30">
        <v>-115.87</v>
      </c>
      <c r="AO685" s="30">
        <v>2</v>
      </c>
      <c r="AP685" s="30"/>
      <c r="AQ685" s="30"/>
      <c r="AR685" s="30">
        <v>67.28</v>
      </c>
      <c r="AS685" s="30">
        <v>-695.2</v>
      </c>
      <c r="AT685" s="30">
        <v>-115.87</v>
      </c>
      <c r="AU685" s="30">
        <v>2</v>
      </c>
      <c r="AW685" s="27">
        <f t="shared" si="127"/>
        <v>199.92068499999999</v>
      </c>
      <c r="AX685" s="27">
        <f t="shared" si="128"/>
        <v>161.23068500000002</v>
      </c>
      <c r="AY685" s="27">
        <f t="shared" si="129"/>
        <v>129.67068500000002</v>
      </c>
      <c r="AZ685" s="27">
        <f t="shared" si="130"/>
        <v>6.8499999999999995E-4</v>
      </c>
    </row>
    <row r="686" spans="1:52" ht="15" customHeight="1" x14ac:dyDescent="0.25">
      <c r="A686" s="13" t="str">
        <f>VLOOKUP(L686,[1]VALIDAÇÃO!$D$13:$E$350,2,0)</f>
        <v>DIRETO</v>
      </c>
      <c r="B686" s="14" t="str">
        <f t="shared" si="132"/>
        <v>53RESERVA DO PAIVA SPE 01 LTDA.</v>
      </c>
      <c r="C686" s="15">
        <f t="shared" si="131"/>
        <v>53</v>
      </c>
      <c r="D686" s="16" t="str">
        <f t="shared" si="133"/>
        <v>47RESERVA DO PAIVA SPE 01 LTDA.</v>
      </c>
      <c r="E686" s="17">
        <f t="shared" si="124"/>
        <v>47</v>
      </c>
      <c r="F686" s="18" t="str">
        <f t="shared" si="134"/>
        <v>54RESERVA DO PAIVA SPE 01 LTDA.</v>
      </c>
      <c r="G686" s="18">
        <f t="shared" si="125"/>
        <v>54</v>
      </c>
      <c r="H686" s="19" t="str">
        <f t="shared" si="135"/>
        <v>46RESERVA DO PAIVA SPE 01 LTDA.</v>
      </c>
      <c r="I686" s="19">
        <f t="shared" si="126"/>
        <v>46</v>
      </c>
      <c r="J686" s="30" t="s">
        <v>68</v>
      </c>
      <c r="K686" s="30" t="s">
        <v>814</v>
      </c>
      <c r="L686" s="30" t="s">
        <v>54</v>
      </c>
      <c r="M686" s="30" t="s">
        <v>55</v>
      </c>
      <c r="N686" s="33">
        <v>1618.41</v>
      </c>
      <c r="O686" s="30">
        <v>1622.13</v>
      </c>
      <c r="P686" s="29">
        <v>45938</v>
      </c>
      <c r="Q686" s="29"/>
      <c r="R686" s="30">
        <v>1622.13</v>
      </c>
      <c r="S686" s="30"/>
      <c r="T686" s="30"/>
      <c r="U686" s="30"/>
      <c r="V686" s="30"/>
      <c r="W686" s="30"/>
      <c r="X686" s="30"/>
      <c r="Y686" s="30"/>
      <c r="Z686" s="30"/>
      <c r="AA686" s="30">
        <v>12.46</v>
      </c>
      <c r="AB686" s="30">
        <v>165.66</v>
      </c>
      <c r="AC686" s="30">
        <v>1523.1428571428571</v>
      </c>
      <c r="AD686" s="30">
        <v>165.85000000000002</v>
      </c>
      <c r="AE686" s="30">
        <v>1452.8571428571429</v>
      </c>
      <c r="AF686" s="30"/>
      <c r="AG686" s="30"/>
      <c r="AH686" s="30">
        <v>51.29</v>
      </c>
      <c r="AI686" s="30">
        <v>0</v>
      </c>
      <c r="AJ686" s="34">
        <v>515.65</v>
      </c>
      <c r="AK686" s="30">
        <v>116.94</v>
      </c>
      <c r="AL686" s="30">
        <v>-31.6</v>
      </c>
      <c r="AM686" s="30">
        <v>240</v>
      </c>
      <c r="AN686" s="30"/>
      <c r="AO686" s="30"/>
      <c r="AP686" s="30">
        <v>274.81</v>
      </c>
      <c r="AQ686" s="30">
        <v>2752.5714285714284</v>
      </c>
      <c r="AR686" s="30">
        <v>152.6</v>
      </c>
      <c r="AS686" s="30">
        <v>-695.2</v>
      </c>
      <c r="AT686" s="30"/>
      <c r="AU686" s="30"/>
      <c r="AW686" s="27">
        <f t="shared" si="127"/>
        <v>515.65068599999995</v>
      </c>
      <c r="AX686" s="27">
        <f t="shared" si="128"/>
        <v>165.85068600000002</v>
      </c>
      <c r="AY686" s="27">
        <f t="shared" si="129"/>
        <v>165.660686</v>
      </c>
      <c r="AZ686" s="27">
        <f t="shared" si="130"/>
        <v>274.81068599999998</v>
      </c>
    </row>
    <row r="687" spans="1:52" ht="15" customHeight="1" x14ac:dyDescent="0.25">
      <c r="A687" s="13" t="str">
        <f>VLOOKUP(L687,[1]VALIDAÇÃO!$D$13:$E$350,2,0)</f>
        <v>DIRETO</v>
      </c>
      <c r="B687" s="14" t="str">
        <f t="shared" si="132"/>
        <v>50RIO AVE 200 SPE LTDA.</v>
      </c>
      <c r="C687" s="15">
        <f t="shared" si="131"/>
        <v>50</v>
      </c>
      <c r="D687" s="16" t="str">
        <f t="shared" si="133"/>
        <v>60RIO AVE 200 SPE LTDA.</v>
      </c>
      <c r="E687" s="17">
        <f t="shared" si="124"/>
        <v>60</v>
      </c>
      <c r="F687" s="18" t="str">
        <f t="shared" si="134"/>
        <v>50RIO AVE 200 SPE LTDA.</v>
      </c>
      <c r="G687" s="18">
        <f t="shared" si="125"/>
        <v>50</v>
      </c>
      <c r="H687" s="19" t="str">
        <f t="shared" si="135"/>
        <v>22RIO AVE 200 SPE LTDA.</v>
      </c>
      <c r="I687" s="19">
        <f t="shared" si="126"/>
        <v>22</v>
      </c>
      <c r="J687" s="30" t="s">
        <v>48</v>
      </c>
      <c r="K687" s="30" t="s">
        <v>815</v>
      </c>
      <c r="L687" s="30" t="s">
        <v>54</v>
      </c>
      <c r="M687" s="30" t="s">
        <v>55</v>
      </c>
      <c r="N687" s="33">
        <v>802.35</v>
      </c>
      <c r="O687" s="30">
        <v>1622.13</v>
      </c>
      <c r="P687" s="29">
        <v>45931</v>
      </c>
      <c r="Q687" s="29"/>
      <c r="R687" s="30">
        <v>1622.13</v>
      </c>
      <c r="S687" s="30"/>
      <c r="T687" s="30"/>
      <c r="U687" s="30"/>
      <c r="V687" s="30"/>
      <c r="W687" s="30"/>
      <c r="X687" s="30"/>
      <c r="Y687" s="30"/>
      <c r="Z687" s="30"/>
      <c r="AA687" s="30">
        <v>0.12</v>
      </c>
      <c r="AB687" s="30"/>
      <c r="AC687" s="30"/>
      <c r="AD687" s="30">
        <v>16.04</v>
      </c>
      <c r="AE687" s="30">
        <v>104.57142857142857</v>
      </c>
      <c r="AF687" s="30"/>
      <c r="AG687" s="30"/>
      <c r="AH687" s="30">
        <v>0.56000000000000005</v>
      </c>
      <c r="AI687" s="30">
        <v>0</v>
      </c>
      <c r="AJ687" s="34">
        <v>193.13</v>
      </c>
      <c r="AK687" s="30">
        <v>43.16</v>
      </c>
      <c r="AL687" s="30"/>
      <c r="AM687" s="30"/>
      <c r="AN687" s="30"/>
      <c r="AO687" s="30"/>
      <c r="AP687" s="30"/>
      <c r="AQ687" s="30"/>
      <c r="AR687" s="30">
        <v>3.6000000000000005</v>
      </c>
      <c r="AS687" s="30">
        <v>-695.2</v>
      </c>
      <c r="AT687" s="30"/>
      <c r="AU687" s="30"/>
      <c r="AW687" s="27">
        <f t="shared" si="127"/>
        <v>193.13068699999999</v>
      </c>
      <c r="AX687" s="27">
        <f t="shared" si="128"/>
        <v>16.040686999999998</v>
      </c>
      <c r="AY687" s="27">
        <f t="shared" si="129"/>
        <v>6.87E-4</v>
      </c>
      <c r="AZ687" s="27">
        <f t="shared" si="130"/>
        <v>6.87E-4</v>
      </c>
    </row>
    <row r="688" spans="1:52" ht="15" customHeight="1" x14ac:dyDescent="0.25">
      <c r="A688" s="13" t="str">
        <f>VLOOKUP(L688,[1]VALIDAÇÃO!$D$13:$E$350,2,0)</f>
        <v>INDIRETO</v>
      </c>
      <c r="B688" s="14" t="str">
        <f t="shared" si="132"/>
        <v>133RESERVA DO PAIVA SPE 03 LTDA</v>
      </c>
      <c r="C688" s="15">
        <f t="shared" si="131"/>
        <v>133</v>
      </c>
      <c r="D688" s="16" t="str">
        <f t="shared" si="133"/>
        <v>154RESERVA DO PAIVA SPE 03 LTDA</v>
      </c>
      <c r="E688" s="17">
        <f t="shared" si="124"/>
        <v>154</v>
      </c>
      <c r="F688" s="18" t="str">
        <f t="shared" si="134"/>
        <v>128RESERVA DO PAIVA SPE 03 LTDA</v>
      </c>
      <c r="G688" s="18">
        <f t="shared" si="125"/>
        <v>128</v>
      </c>
      <c r="H688" s="19" t="str">
        <f t="shared" si="135"/>
        <v>84RESERVA DO PAIVA SPE 03 LTDA</v>
      </c>
      <c r="I688" s="19">
        <f t="shared" si="126"/>
        <v>84</v>
      </c>
      <c r="J688" s="30" t="s">
        <v>52</v>
      </c>
      <c r="K688" s="30" t="s">
        <v>816</v>
      </c>
      <c r="L688" s="30" t="s">
        <v>89</v>
      </c>
      <c r="M688" s="30" t="s">
        <v>85</v>
      </c>
      <c r="N688" s="33">
        <v>1379.8</v>
      </c>
      <c r="O688" s="30"/>
      <c r="P688" s="29">
        <v>45726</v>
      </c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4"/>
      <c r="AK688" s="30"/>
      <c r="AL688" s="30"/>
      <c r="AM688" s="30"/>
      <c r="AN688" s="30"/>
      <c r="AO688" s="30"/>
      <c r="AP688" s="30"/>
      <c r="AQ688" s="30"/>
      <c r="AR688" s="30"/>
      <c r="AS688" s="30">
        <v>-520</v>
      </c>
      <c r="AT688" s="30"/>
      <c r="AU688" s="30"/>
      <c r="AW688" s="27">
        <f t="shared" si="127"/>
        <v>6.8800000000000003E-4</v>
      </c>
      <c r="AX688" s="27">
        <f t="shared" si="128"/>
        <v>6.8800000000000003E-4</v>
      </c>
      <c r="AY688" s="27">
        <f t="shared" si="129"/>
        <v>6.8800000000000003E-4</v>
      </c>
      <c r="AZ688" s="27">
        <f t="shared" si="130"/>
        <v>6.8800000000000003E-4</v>
      </c>
    </row>
    <row r="689" spans="1:52" ht="15" customHeight="1" x14ac:dyDescent="0.25">
      <c r="A689" s="13" t="str">
        <f>VLOOKUP(L689,[1]VALIDAÇÃO!$D$13:$E$350,2,0)</f>
        <v>INDIRETO</v>
      </c>
      <c r="B689" s="14" t="str">
        <f t="shared" si="132"/>
        <v>132RESERVA DO PAIVA SPE 03 LTDA</v>
      </c>
      <c r="C689" s="15">
        <f t="shared" si="131"/>
        <v>132</v>
      </c>
      <c r="D689" s="16" t="str">
        <f t="shared" si="133"/>
        <v>153RESERVA DO PAIVA SPE 03 LTDA</v>
      </c>
      <c r="E689" s="17">
        <f t="shared" si="124"/>
        <v>153</v>
      </c>
      <c r="F689" s="18" t="str">
        <f t="shared" si="134"/>
        <v>127RESERVA DO PAIVA SPE 03 LTDA</v>
      </c>
      <c r="G689" s="18">
        <f t="shared" si="125"/>
        <v>127</v>
      </c>
      <c r="H689" s="19" t="str">
        <f t="shared" si="135"/>
        <v>83RESERVA DO PAIVA SPE 03 LTDA</v>
      </c>
      <c r="I689" s="19">
        <f t="shared" si="126"/>
        <v>83</v>
      </c>
      <c r="J689" s="30" t="s">
        <v>52</v>
      </c>
      <c r="K689" s="30" t="s">
        <v>817</v>
      </c>
      <c r="L689" s="30" t="s">
        <v>349</v>
      </c>
      <c r="M689" s="30" t="s">
        <v>85</v>
      </c>
      <c r="N689" s="33">
        <v>1124.1400000000001</v>
      </c>
      <c r="O689" s="30"/>
      <c r="P689" s="29">
        <v>45769</v>
      </c>
      <c r="Q689" s="29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4"/>
      <c r="AK689" s="30"/>
      <c r="AL689" s="30"/>
      <c r="AM689" s="30"/>
      <c r="AN689" s="30"/>
      <c r="AO689" s="30"/>
      <c r="AP689" s="30"/>
      <c r="AQ689" s="30"/>
      <c r="AR689" s="30"/>
      <c r="AS689" s="30">
        <v>-452</v>
      </c>
      <c r="AT689" s="30"/>
      <c r="AU689" s="30"/>
      <c r="AW689" s="27">
        <f t="shared" si="127"/>
        <v>6.8900000000000005E-4</v>
      </c>
      <c r="AX689" s="27">
        <f t="shared" si="128"/>
        <v>6.8900000000000005E-4</v>
      </c>
      <c r="AY689" s="27">
        <f t="shared" si="129"/>
        <v>6.8900000000000005E-4</v>
      </c>
      <c r="AZ689" s="27">
        <f t="shared" si="130"/>
        <v>6.8900000000000005E-4</v>
      </c>
    </row>
    <row r="690" spans="1:52" ht="15" customHeight="1" x14ac:dyDescent="0.25">
      <c r="A690" s="13" t="str">
        <f>VLOOKUP(L690,[1]VALIDAÇÃO!$D$13:$E$350,2,0)</f>
        <v>DIRETO</v>
      </c>
      <c r="B690" s="14" t="str">
        <f t="shared" si="132"/>
        <v>6RIO AVE PRAIA HOTEL SPE LTDA.</v>
      </c>
      <c r="C690" s="15">
        <f t="shared" si="131"/>
        <v>6</v>
      </c>
      <c r="D690" s="16" t="str">
        <f t="shared" si="133"/>
        <v>11RIO AVE PRAIA HOTEL SPE LTDA.</v>
      </c>
      <c r="E690" s="17">
        <f t="shared" si="124"/>
        <v>11</v>
      </c>
      <c r="F690" s="18" t="str">
        <f t="shared" si="134"/>
        <v>20RIO AVE PRAIA HOTEL SPE LTDA.</v>
      </c>
      <c r="G690" s="18">
        <f t="shared" si="125"/>
        <v>20</v>
      </c>
      <c r="H690" s="19" t="str">
        <f t="shared" si="135"/>
        <v>13RIO AVE PRAIA HOTEL SPE LTDA.</v>
      </c>
      <c r="I690" s="19">
        <f t="shared" si="126"/>
        <v>13</v>
      </c>
      <c r="J690" s="30" t="s">
        <v>80</v>
      </c>
      <c r="K690" s="30" t="s">
        <v>818</v>
      </c>
      <c r="L690" s="30" t="s">
        <v>131</v>
      </c>
      <c r="M690" s="30" t="s">
        <v>82</v>
      </c>
      <c r="N690" s="33">
        <v>1795.8</v>
      </c>
      <c r="O690" s="30">
        <v>2079</v>
      </c>
      <c r="P690" s="29">
        <v>45419</v>
      </c>
      <c r="Q690" s="30"/>
      <c r="R690" s="30">
        <v>2079</v>
      </c>
      <c r="S690" s="30"/>
      <c r="T690" s="30"/>
      <c r="U690" s="30"/>
      <c r="V690" s="30"/>
      <c r="W690" s="30"/>
      <c r="X690" s="30"/>
      <c r="Y690" s="30"/>
      <c r="Z690" s="30"/>
      <c r="AA690" s="30">
        <v>10.17</v>
      </c>
      <c r="AB690" s="30">
        <v>272.47000000000003</v>
      </c>
      <c r="AC690" s="30">
        <v>955.34142857142865</v>
      </c>
      <c r="AD690" s="30">
        <v>192.01</v>
      </c>
      <c r="AE690" s="30">
        <v>672.60142857142853</v>
      </c>
      <c r="AF690" s="30"/>
      <c r="AG690" s="30"/>
      <c r="AH690" s="30">
        <v>48.11</v>
      </c>
      <c r="AI690" s="30">
        <v>0</v>
      </c>
      <c r="AJ690" s="34">
        <v>763.05</v>
      </c>
      <c r="AK690" s="30">
        <v>160.1</v>
      </c>
      <c r="AL690" s="30">
        <v>-5.95</v>
      </c>
      <c r="AM690" s="30">
        <v>34</v>
      </c>
      <c r="AN690" s="30"/>
      <c r="AO690" s="30"/>
      <c r="AP690" s="30">
        <v>359.56</v>
      </c>
      <c r="AQ690" s="30">
        <v>1035.5342857142857</v>
      </c>
      <c r="AR690" s="30">
        <v>174.39999999999998</v>
      </c>
      <c r="AS690" s="30">
        <v>-924</v>
      </c>
      <c r="AT690" s="30"/>
      <c r="AU690" s="30"/>
      <c r="AW690" s="27">
        <f t="shared" si="127"/>
        <v>763.05068999999992</v>
      </c>
      <c r="AX690" s="27">
        <f t="shared" si="128"/>
        <v>192.01068999999998</v>
      </c>
      <c r="AY690" s="27">
        <f t="shared" si="129"/>
        <v>272.47069000000005</v>
      </c>
      <c r="AZ690" s="27">
        <f t="shared" si="130"/>
        <v>359.56069000000002</v>
      </c>
    </row>
    <row r="691" spans="1:52" ht="15" customHeight="1" x14ac:dyDescent="0.25">
      <c r="A691" s="13" t="str">
        <f>VLOOKUP(L691,[1]VALIDAÇÃO!$D$13:$E$350,2,0)</f>
        <v>DIRETO</v>
      </c>
      <c r="B691" s="14" t="str">
        <f t="shared" si="132"/>
        <v>33RIO AVE 200 SPE LTDA.</v>
      </c>
      <c r="C691" s="15">
        <f t="shared" si="131"/>
        <v>33</v>
      </c>
      <c r="D691" s="16" t="str">
        <f t="shared" si="133"/>
        <v>14RIO AVE 200 SPE LTDA.</v>
      </c>
      <c r="E691" s="17">
        <f t="shared" si="124"/>
        <v>14</v>
      </c>
      <c r="F691" s="18" t="str">
        <f t="shared" si="134"/>
        <v>21RIO AVE 200 SPE LTDA.</v>
      </c>
      <c r="G691" s="18">
        <f t="shared" si="125"/>
        <v>21</v>
      </c>
      <c r="H691" s="19" t="str">
        <f t="shared" si="135"/>
        <v>11RIO AVE 200 SPE LTDA.</v>
      </c>
      <c r="I691" s="19">
        <f t="shared" si="126"/>
        <v>11</v>
      </c>
      <c r="J691" s="30" t="s">
        <v>48</v>
      </c>
      <c r="K691" s="30" t="s">
        <v>819</v>
      </c>
      <c r="L691" s="30" t="s">
        <v>54</v>
      </c>
      <c r="M691" s="30" t="s">
        <v>55</v>
      </c>
      <c r="N691" s="33">
        <v>1299.1199999999999</v>
      </c>
      <c r="O691" s="30">
        <v>1622.13</v>
      </c>
      <c r="P691" s="29">
        <v>45902</v>
      </c>
      <c r="Q691" s="29"/>
      <c r="R691" s="30">
        <v>1622.13</v>
      </c>
      <c r="S691" s="30"/>
      <c r="T691" s="30"/>
      <c r="U691" s="30"/>
      <c r="V691" s="30"/>
      <c r="W691" s="30"/>
      <c r="X691" s="30"/>
      <c r="Y691" s="30"/>
      <c r="Z691" s="30"/>
      <c r="AA691" s="30">
        <v>5.1300000000000008</v>
      </c>
      <c r="AB691" s="30">
        <v>73.62</v>
      </c>
      <c r="AC691" s="30">
        <v>1084.2857142857142</v>
      </c>
      <c r="AD691" s="30">
        <v>228.01000000000002</v>
      </c>
      <c r="AE691" s="30">
        <v>1543.8142857142857</v>
      </c>
      <c r="AF691" s="30"/>
      <c r="AG691" s="30"/>
      <c r="AH691" s="30">
        <v>21.97</v>
      </c>
      <c r="AI691" s="30">
        <v>0</v>
      </c>
      <c r="AJ691" s="34">
        <v>426.05</v>
      </c>
      <c r="AK691" s="30">
        <v>95.570000000000007</v>
      </c>
      <c r="AL691" s="30"/>
      <c r="AM691" s="24"/>
      <c r="AN691" s="30"/>
      <c r="AO691" s="30"/>
      <c r="AP691" s="30">
        <v>27.43</v>
      </c>
      <c r="AQ691" s="30">
        <v>343.32857142857142</v>
      </c>
      <c r="AR691" s="30">
        <v>73.889999999999986</v>
      </c>
      <c r="AS691" s="30">
        <v>-695.2</v>
      </c>
      <c r="AT691" s="30"/>
      <c r="AU691" s="30"/>
      <c r="AW691" s="27">
        <f t="shared" si="127"/>
        <v>426.05069100000003</v>
      </c>
      <c r="AX691" s="27">
        <f t="shared" si="128"/>
        <v>228.01069100000001</v>
      </c>
      <c r="AY691" s="27">
        <f t="shared" si="129"/>
        <v>73.620691000000008</v>
      </c>
      <c r="AZ691" s="27">
        <f t="shared" si="130"/>
        <v>27.430690999999999</v>
      </c>
    </row>
    <row r="692" spans="1:52" ht="15" customHeight="1" x14ac:dyDescent="0.25">
      <c r="A692" s="13" t="str">
        <f>VLOOKUP(L692,[1]VALIDAÇÃO!$D$13:$E$350,2,0)</f>
        <v>DIRETO</v>
      </c>
      <c r="B692" s="14" t="str">
        <f t="shared" si="132"/>
        <v>38RIO AVE 130 SPE LTDA</v>
      </c>
      <c r="C692" s="15">
        <f t="shared" si="131"/>
        <v>38</v>
      </c>
      <c r="D692" s="16" t="str">
        <f t="shared" si="133"/>
        <v>20RIO AVE 130 SPE LTDA</v>
      </c>
      <c r="E692" s="17">
        <f t="shared" si="124"/>
        <v>20</v>
      </c>
      <c r="F692" s="18" t="str">
        <f t="shared" si="134"/>
        <v>10RIO AVE 130 SPE LTDA</v>
      </c>
      <c r="G692" s="18">
        <f t="shared" si="125"/>
        <v>10</v>
      </c>
      <c r="H692" s="19" t="str">
        <f t="shared" si="135"/>
        <v>30RIO AVE 130 SPE LTDA</v>
      </c>
      <c r="I692" s="19">
        <f t="shared" si="126"/>
        <v>30</v>
      </c>
      <c r="J692" s="30" t="s">
        <v>102</v>
      </c>
      <c r="K692" s="30" t="s">
        <v>820</v>
      </c>
      <c r="L692" s="30" t="s">
        <v>54</v>
      </c>
      <c r="M692" s="30" t="s">
        <v>55</v>
      </c>
      <c r="N692" s="33">
        <v>1373.12</v>
      </c>
      <c r="O692" s="30">
        <v>1622.13</v>
      </c>
      <c r="P692" s="29">
        <v>44805</v>
      </c>
      <c r="Q692" s="30"/>
      <c r="R692" s="30">
        <v>1622.13</v>
      </c>
      <c r="S692" s="30"/>
      <c r="T692" s="30"/>
      <c r="U692" s="30"/>
      <c r="V692" s="30"/>
      <c r="W692" s="30"/>
      <c r="X692" s="30"/>
      <c r="Y692" s="30"/>
      <c r="Z692" s="30"/>
      <c r="AA692" s="30">
        <v>8.9300000000000015</v>
      </c>
      <c r="AB692" s="30">
        <v>311.54000000000002</v>
      </c>
      <c r="AC692" s="30">
        <v>1541.7514285714285</v>
      </c>
      <c r="AD692" s="30">
        <v>478.26000000000005</v>
      </c>
      <c r="AE692" s="30">
        <v>2386.8871428571424</v>
      </c>
      <c r="AF692" s="30"/>
      <c r="AG692" s="30"/>
      <c r="AH692" s="30">
        <v>40.03</v>
      </c>
      <c r="AI692" s="30">
        <v>0</v>
      </c>
      <c r="AJ692" s="34">
        <v>450.22</v>
      </c>
      <c r="AK692" s="30">
        <v>100.69</v>
      </c>
      <c r="AL692" s="30"/>
      <c r="AM692" s="30"/>
      <c r="AN692" s="30"/>
      <c r="AO692" s="30"/>
      <c r="AP692" s="30">
        <v>18.48</v>
      </c>
      <c r="AQ692" s="30">
        <v>70.17</v>
      </c>
      <c r="AR692" s="30">
        <v>171.64</v>
      </c>
      <c r="AS692" s="30">
        <v>-695.2</v>
      </c>
      <c r="AT692" s="30"/>
      <c r="AU692" s="30"/>
      <c r="AW692" s="27">
        <f t="shared" si="127"/>
        <v>450.22069200000004</v>
      </c>
      <c r="AX692" s="27">
        <f t="shared" si="128"/>
        <v>478.26069200000006</v>
      </c>
      <c r="AY692" s="27">
        <f t="shared" si="129"/>
        <v>311.54069200000004</v>
      </c>
      <c r="AZ692" s="27">
        <f t="shared" si="130"/>
        <v>18.480692000000001</v>
      </c>
    </row>
    <row r="693" spans="1:52" ht="15" customHeight="1" x14ac:dyDescent="0.25">
      <c r="A693" s="13" t="str">
        <f>VLOOKUP(L693,[1]VALIDAÇÃO!$D$13:$E$350,2,0)</f>
        <v>INDIRETO</v>
      </c>
      <c r="B693" s="14" t="str">
        <f t="shared" si="132"/>
        <v>5RIO AVE SUBHOLDING INCORPORACAO LTDA</v>
      </c>
      <c r="C693" s="15">
        <f t="shared" si="131"/>
        <v>5</v>
      </c>
      <c r="D693" s="16" t="str">
        <f t="shared" si="133"/>
        <v>7RIO AVE SUBHOLDING INCORPORACAO LTDA</v>
      </c>
      <c r="E693" s="17">
        <f t="shared" si="124"/>
        <v>7</v>
      </c>
      <c r="F693" s="18" t="str">
        <f t="shared" si="134"/>
        <v>5RIO AVE SUBHOLDING INCORPORACAO LTDA</v>
      </c>
      <c r="G693" s="18">
        <f t="shared" si="125"/>
        <v>5</v>
      </c>
      <c r="H693" s="19" t="str">
        <f t="shared" si="135"/>
        <v>3RIO AVE SUBHOLDING INCORPORACAO LTDA</v>
      </c>
      <c r="I693" s="19">
        <f t="shared" si="126"/>
        <v>3</v>
      </c>
      <c r="J693" s="30" t="s">
        <v>124</v>
      </c>
      <c r="K693" s="30" t="s">
        <v>821</v>
      </c>
      <c r="L693" s="30" t="s">
        <v>822</v>
      </c>
      <c r="M693" s="30" t="s">
        <v>127</v>
      </c>
      <c r="N693" s="33">
        <v>8497.69</v>
      </c>
      <c r="O693" s="30">
        <v>13629.22</v>
      </c>
      <c r="P693" s="29">
        <v>45261</v>
      </c>
      <c r="Q693" s="30"/>
      <c r="R693" s="30">
        <v>13629.22</v>
      </c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25"/>
      <c r="AK693" s="30"/>
      <c r="AL693" s="30"/>
      <c r="AM693" s="30"/>
      <c r="AN693" s="30"/>
      <c r="AO693" s="30"/>
      <c r="AP693" s="30"/>
      <c r="AQ693" s="30"/>
      <c r="AR693" s="30"/>
      <c r="AS693" s="30">
        <v>-6057.43</v>
      </c>
      <c r="AT693" s="30"/>
      <c r="AU693" s="30"/>
      <c r="AW693" s="27">
        <f t="shared" si="127"/>
        <v>6.9300000000000004E-4</v>
      </c>
      <c r="AX693" s="27">
        <f t="shared" si="128"/>
        <v>6.9300000000000004E-4</v>
      </c>
      <c r="AY693" s="27">
        <f t="shared" si="129"/>
        <v>6.9300000000000004E-4</v>
      </c>
      <c r="AZ693" s="27">
        <f t="shared" si="130"/>
        <v>6.9300000000000004E-4</v>
      </c>
    </row>
    <row r="694" spans="1:52" ht="15" customHeight="1" x14ac:dyDescent="0.25">
      <c r="A694" s="13" t="str">
        <f>VLOOKUP(L694,[1]VALIDAÇÃO!$D$13:$E$350,2,0)</f>
        <v>DIRETO</v>
      </c>
      <c r="B694" s="14" t="str">
        <f t="shared" si="132"/>
        <v>1RESERVA DO PAIVA SPE 01 LTDA.</v>
      </c>
      <c r="C694" s="15">
        <f t="shared" si="131"/>
        <v>1</v>
      </c>
      <c r="D694" s="16" t="str">
        <f t="shared" si="133"/>
        <v>77RESERVA DO PAIVA SPE 01 LTDA.</v>
      </c>
      <c r="E694" s="17">
        <f t="shared" si="124"/>
        <v>77</v>
      </c>
      <c r="F694" s="18" t="str">
        <f t="shared" si="134"/>
        <v>74RESERVA DO PAIVA SPE 01 LTDA.</v>
      </c>
      <c r="G694" s="18">
        <f t="shared" si="125"/>
        <v>74</v>
      </c>
      <c r="H694" s="19" t="str">
        <f t="shared" si="135"/>
        <v>75RESERVA DO PAIVA SPE 01 LTDA.</v>
      </c>
      <c r="I694" s="19">
        <f t="shared" si="126"/>
        <v>75</v>
      </c>
      <c r="J694" s="30" t="s">
        <v>68</v>
      </c>
      <c r="K694" s="30" t="s">
        <v>823</v>
      </c>
      <c r="L694" s="30" t="s">
        <v>63</v>
      </c>
      <c r="M694" s="30" t="s">
        <v>55</v>
      </c>
      <c r="N694" s="33">
        <v>2916.98</v>
      </c>
      <c r="O694" s="30">
        <v>2156</v>
      </c>
      <c r="P694" s="29">
        <v>45866</v>
      </c>
      <c r="Q694" s="30"/>
      <c r="R694" s="30">
        <v>2156</v>
      </c>
      <c r="S694" s="30"/>
      <c r="T694" s="30"/>
      <c r="U694" s="30"/>
      <c r="V694" s="30"/>
      <c r="W694" s="30"/>
      <c r="X694" s="30"/>
      <c r="Y694" s="30"/>
      <c r="Z694" s="30"/>
      <c r="AA694" s="30">
        <v>5.17</v>
      </c>
      <c r="AB694" s="30">
        <v>14.63</v>
      </c>
      <c r="AC694" s="30">
        <v>136.04285714285714</v>
      </c>
      <c r="AD694" s="30">
        <v>3.5100000000000002</v>
      </c>
      <c r="AE694" s="30">
        <v>32.657142857142858</v>
      </c>
      <c r="AF694" s="30"/>
      <c r="AG694" s="30"/>
      <c r="AH694" s="30">
        <v>18.560000000000002</v>
      </c>
      <c r="AI694" s="30">
        <v>0</v>
      </c>
      <c r="AJ694" s="25">
        <v>3231.43</v>
      </c>
      <c r="AK694" s="30">
        <v>707.17000000000007</v>
      </c>
      <c r="AL694" s="30">
        <v>-13.67</v>
      </c>
      <c r="AM694" s="30">
        <v>78.14</v>
      </c>
      <c r="AN694" s="30">
        <v>-231</v>
      </c>
      <c r="AO694" s="30">
        <v>3</v>
      </c>
      <c r="AP694" s="30">
        <v>35.92</v>
      </c>
      <c r="AQ694" s="30">
        <v>283.75714285714287</v>
      </c>
      <c r="AR694" s="30">
        <v>15.17</v>
      </c>
      <c r="AS694" s="30">
        <v>-924</v>
      </c>
      <c r="AT694" s="30">
        <v>-154</v>
      </c>
      <c r="AU694" s="30">
        <v>2</v>
      </c>
      <c r="AW694" s="27">
        <f t="shared" si="127"/>
        <v>3231.4306939999997</v>
      </c>
      <c r="AX694" s="27">
        <f t="shared" si="128"/>
        <v>3.5106940000000004</v>
      </c>
      <c r="AY694" s="27">
        <f t="shared" si="129"/>
        <v>14.630694</v>
      </c>
      <c r="AZ694" s="27">
        <f t="shared" si="130"/>
        <v>35.920694000000005</v>
      </c>
    </row>
    <row r="695" spans="1:52" ht="15" customHeight="1" x14ac:dyDescent="0.25">
      <c r="A695" s="13" t="str">
        <f>VLOOKUP(L695,[1]VALIDAÇÃO!$D$13:$E$350,2,0)</f>
        <v>DIRETO</v>
      </c>
      <c r="B695" s="14" t="str">
        <f t="shared" si="132"/>
        <v>119RIO AVE CARNEIROS 01 SPE LTDA.</v>
      </c>
      <c r="C695" s="15">
        <f t="shared" si="131"/>
        <v>119</v>
      </c>
      <c r="D695" s="16" t="str">
        <f t="shared" si="133"/>
        <v>101RIO AVE CARNEIROS 01 SPE LTDA.</v>
      </c>
      <c r="E695" s="17">
        <f t="shared" si="124"/>
        <v>101</v>
      </c>
      <c r="F695" s="18" t="str">
        <f t="shared" si="134"/>
        <v>74RIO AVE CARNEIROS 01 SPE LTDA.</v>
      </c>
      <c r="G695" s="18">
        <f t="shared" si="125"/>
        <v>74</v>
      </c>
      <c r="H695" s="19" t="str">
        <f t="shared" si="135"/>
        <v>90RIO AVE CARNEIROS 01 SPE LTDA.</v>
      </c>
      <c r="I695" s="19">
        <f t="shared" si="126"/>
        <v>90</v>
      </c>
      <c r="J695" s="30" t="s">
        <v>61</v>
      </c>
      <c r="K695" s="30" t="s">
        <v>824</v>
      </c>
      <c r="L695" s="30" t="s">
        <v>149</v>
      </c>
      <c r="M695" s="30" t="s">
        <v>55</v>
      </c>
      <c r="N695" s="33">
        <v>801.96</v>
      </c>
      <c r="O695" s="30">
        <v>1622.13</v>
      </c>
      <c r="P695" s="29">
        <v>45901</v>
      </c>
      <c r="Q695" s="29"/>
      <c r="R695" s="30">
        <v>1622.13</v>
      </c>
      <c r="S695" s="30"/>
      <c r="T695" s="30"/>
      <c r="U695" s="30"/>
      <c r="V695" s="30"/>
      <c r="W695" s="30"/>
      <c r="X695" s="30"/>
      <c r="Y695" s="30"/>
      <c r="Z695" s="30"/>
      <c r="AA695" s="30">
        <v>0.82000000000000006</v>
      </c>
      <c r="AB695" s="30">
        <v>75.92</v>
      </c>
      <c r="AC695" s="30">
        <v>1118.0999999999999</v>
      </c>
      <c r="AD695" s="30">
        <v>20.310000000000002</v>
      </c>
      <c r="AE695" s="30">
        <v>273.85714285714283</v>
      </c>
      <c r="AF695" s="30"/>
      <c r="AG695" s="30"/>
      <c r="AH695" s="30">
        <v>4.34</v>
      </c>
      <c r="AI695" s="30">
        <v>0</v>
      </c>
      <c r="AJ695" s="25">
        <v>83.63</v>
      </c>
      <c r="AK695" s="30">
        <v>17.61</v>
      </c>
      <c r="AL695" s="30">
        <v>-5.27</v>
      </c>
      <c r="AM695" s="30">
        <v>40</v>
      </c>
      <c r="AN695" s="30"/>
      <c r="AO695" s="30"/>
      <c r="AP695" s="30"/>
      <c r="AQ695" s="30"/>
      <c r="AR695" s="30">
        <v>18.459999999999997</v>
      </c>
      <c r="AS695" s="30">
        <v>-783.4</v>
      </c>
      <c r="AT695" s="30"/>
      <c r="AU695" s="30"/>
      <c r="AW695" s="27">
        <f t="shared" si="127"/>
        <v>83.630694999999989</v>
      </c>
      <c r="AX695" s="27">
        <f t="shared" si="128"/>
        <v>20.310695000000003</v>
      </c>
      <c r="AY695" s="27">
        <f t="shared" si="129"/>
        <v>75.920694999999995</v>
      </c>
      <c r="AZ695" s="27">
        <f t="shared" si="130"/>
        <v>6.9499999999999998E-4</v>
      </c>
    </row>
    <row r="696" spans="1:52" ht="15" customHeight="1" x14ac:dyDescent="0.25">
      <c r="A696" s="13" t="str">
        <f>VLOOKUP(L696,[1]VALIDAÇÃO!$D$13:$E$350,2,0)</f>
        <v>DIRETO</v>
      </c>
      <c r="B696" s="14" t="str">
        <f t="shared" si="132"/>
        <v>80CONDOMINIO DO EDIFICIO EMPRESARIAL MARIE CURIE</v>
      </c>
      <c r="C696" s="15">
        <f t="shared" si="131"/>
        <v>80</v>
      </c>
      <c r="D696" s="16" t="str">
        <f t="shared" si="133"/>
        <v>91CONDOMINIO DO EDIFICIO EMPRESARIAL MARIE CURIE</v>
      </c>
      <c r="E696" s="17">
        <f t="shared" si="124"/>
        <v>91</v>
      </c>
      <c r="F696" s="18" t="str">
        <f t="shared" si="134"/>
        <v>95CONDOMINIO DO EDIFICIO EMPRESARIAL MARIE CURIE</v>
      </c>
      <c r="G696" s="18">
        <f t="shared" si="125"/>
        <v>95</v>
      </c>
      <c r="H696" s="19" t="str">
        <f t="shared" si="135"/>
        <v>42CONDOMINIO DO EDIFICIO EMPRESARIAL MARIE CURIE</v>
      </c>
      <c r="I696" s="19">
        <f t="shared" si="126"/>
        <v>42</v>
      </c>
      <c r="J696" s="30" t="s">
        <v>57</v>
      </c>
      <c r="K696" s="30" t="s">
        <v>825</v>
      </c>
      <c r="L696" s="30" t="s">
        <v>54</v>
      </c>
      <c r="M696" s="30" t="s">
        <v>60</v>
      </c>
      <c r="N696" s="33">
        <v>48.44</v>
      </c>
      <c r="O696" s="30">
        <v>1622.13</v>
      </c>
      <c r="P696" s="29">
        <v>45904</v>
      </c>
      <c r="Q696" s="30"/>
      <c r="R696" s="30">
        <v>1622.13</v>
      </c>
      <c r="S696" s="30"/>
      <c r="T696" s="30"/>
      <c r="U696" s="30"/>
      <c r="V696" s="30"/>
      <c r="W696" s="30"/>
      <c r="X696" s="30"/>
      <c r="Y696" s="30"/>
      <c r="Z696" s="30"/>
      <c r="AA696" s="30">
        <v>0.48</v>
      </c>
      <c r="AB696" s="30"/>
      <c r="AC696" s="30"/>
      <c r="AD696" s="30">
        <v>44.79</v>
      </c>
      <c r="AE696" s="30">
        <v>206.71857142857144</v>
      </c>
      <c r="AF696" s="30"/>
      <c r="AG696" s="30"/>
      <c r="AH696" s="30">
        <v>2.2199999999999998</v>
      </c>
      <c r="AI696" s="30">
        <v>0</v>
      </c>
      <c r="AJ696" s="25">
        <v>257.11</v>
      </c>
      <c r="AK696" s="30">
        <v>57.82</v>
      </c>
      <c r="AL696" s="30"/>
      <c r="AM696" s="30"/>
      <c r="AN696" s="30"/>
      <c r="AO696" s="30"/>
      <c r="AP696" s="30"/>
      <c r="AQ696" s="30"/>
      <c r="AR696" s="30">
        <v>9.73</v>
      </c>
      <c r="AS696" s="30">
        <v>-695.2</v>
      </c>
      <c r="AT696" s="30"/>
      <c r="AU696" s="30"/>
      <c r="AW696" s="27">
        <f t="shared" si="127"/>
        <v>257.11069600000002</v>
      </c>
      <c r="AX696" s="27">
        <f t="shared" si="128"/>
        <v>44.790695999999997</v>
      </c>
      <c r="AY696" s="27">
        <f t="shared" si="129"/>
        <v>6.96E-4</v>
      </c>
      <c r="AZ696" s="27">
        <f t="shared" si="130"/>
        <v>6.96E-4</v>
      </c>
    </row>
    <row r="697" spans="1:52" ht="15" customHeight="1" x14ac:dyDescent="0.25">
      <c r="A697" s="13" t="str">
        <f>VLOOKUP(L697,[1]VALIDAÇÃO!$D$13:$E$350,2,0)</f>
        <v>DIRETO</v>
      </c>
      <c r="B697" s="14" t="str">
        <f t="shared" si="132"/>
        <v>55RIO AVE CARNEIROS 01 SPE LTDA.</v>
      </c>
      <c r="C697" s="15">
        <f t="shared" si="131"/>
        <v>55</v>
      </c>
      <c r="D697" s="16" t="str">
        <f t="shared" si="133"/>
        <v>36RIO AVE CARNEIROS 01 SPE LTDA.</v>
      </c>
      <c r="E697" s="17">
        <f t="shared" si="124"/>
        <v>36</v>
      </c>
      <c r="F697" s="18" t="str">
        <f t="shared" si="134"/>
        <v>35RIO AVE CARNEIROS 01 SPE LTDA.</v>
      </c>
      <c r="G697" s="18">
        <f t="shared" si="125"/>
        <v>35</v>
      </c>
      <c r="H697" s="19" t="str">
        <f t="shared" si="135"/>
        <v>64RIO AVE CARNEIROS 01 SPE LTDA.</v>
      </c>
      <c r="I697" s="19">
        <f t="shared" si="126"/>
        <v>64</v>
      </c>
      <c r="J697" s="30" t="s">
        <v>61</v>
      </c>
      <c r="K697" s="30" t="s">
        <v>826</v>
      </c>
      <c r="L697" s="30" t="s">
        <v>131</v>
      </c>
      <c r="M697" s="30" t="s">
        <v>55</v>
      </c>
      <c r="N697" s="33">
        <v>392.31</v>
      </c>
      <c r="O697" s="30">
        <v>2156</v>
      </c>
      <c r="P697" s="29">
        <v>45792</v>
      </c>
      <c r="Q697" s="30"/>
      <c r="R697" s="30">
        <v>2156</v>
      </c>
      <c r="S697" s="30"/>
      <c r="T697" s="30"/>
      <c r="U697" s="30"/>
      <c r="V697" s="30"/>
      <c r="W697" s="30"/>
      <c r="X697" s="30"/>
      <c r="Y697" s="30"/>
      <c r="Z697" s="30"/>
      <c r="AA697" s="30">
        <v>8.08</v>
      </c>
      <c r="AB697" s="30">
        <v>159.63</v>
      </c>
      <c r="AC697" s="30">
        <v>999.8</v>
      </c>
      <c r="AD697" s="30">
        <v>262.87</v>
      </c>
      <c r="AE697" s="30">
        <v>1372.7142857142858</v>
      </c>
      <c r="AF697" s="30"/>
      <c r="AG697" s="30"/>
      <c r="AH697" s="30">
        <v>39.799999999999997</v>
      </c>
      <c r="AI697" s="30">
        <v>0</v>
      </c>
      <c r="AJ697" s="25">
        <v>422.27</v>
      </c>
      <c r="AK697" s="30">
        <v>92.539999999999992</v>
      </c>
      <c r="AL697" s="30">
        <v>-7.35</v>
      </c>
      <c r="AM697" s="30">
        <v>42</v>
      </c>
      <c r="AN697" s="30">
        <v>-77</v>
      </c>
      <c r="AO697" s="30">
        <v>1</v>
      </c>
      <c r="AP697" s="30">
        <v>18.399999999999999</v>
      </c>
      <c r="AQ697" s="30">
        <v>97.957142857142841</v>
      </c>
      <c r="AR697" s="30">
        <v>91.63</v>
      </c>
      <c r="AS697" s="30">
        <v>-1014</v>
      </c>
      <c r="AT697" s="30">
        <v>-77</v>
      </c>
      <c r="AU697" s="30">
        <v>1</v>
      </c>
      <c r="AW697" s="27">
        <f t="shared" si="127"/>
        <v>422.27069699999998</v>
      </c>
      <c r="AX697" s="27">
        <f t="shared" si="128"/>
        <v>262.87069700000001</v>
      </c>
      <c r="AY697" s="27">
        <f t="shared" si="129"/>
        <v>159.630697</v>
      </c>
      <c r="AZ697" s="27">
        <f t="shared" si="130"/>
        <v>18.400696999999997</v>
      </c>
    </row>
    <row r="698" spans="1:52" ht="15" customHeight="1" x14ac:dyDescent="0.25">
      <c r="A698" s="13" t="str">
        <f>VLOOKUP(L698,[1]VALIDAÇÃO!$D$13:$E$350,2,0)</f>
        <v>DIRETO</v>
      </c>
      <c r="B698" s="14" t="str">
        <f t="shared" si="132"/>
        <v>12RIO AVE 130 SPE LTDA</v>
      </c>
      <c r="C698" s="15">
        <f t="shared" si="131"/>
        <v>12</v>
      </c>
      <c r="D698" s="16" t="str">
        <f t="shared" si="133"/>
        <v>30RIO AVE 130 SPE LTDA</v>
      </c>
      <c r="E698" s="17">
        <f t="shared" si="124"/>
        <v>30</v>
      </c>
      <c r="F698" s="18" t="str">
        <f t="shared" si="134"/>
        <v>25RIO AVE 130 SPE LTDA</v>
      </c>
      <c r="G698" s="18">
        <f t="shared" si="125"/>
        <v>25</v>
      </c>
      <c r="H698" s="19" t="str">
        <f t="shared" si="135"/>
        <v>17RIO AVE 130 SPE LTDA</v>
      </c>
      <c r="I698" s="19">
        <f t="shared" si="126"/>
        <v>17</v>
      </c>
      <c r="J698" s="30" t="s">
        <v>102</v>
      </c>
      <c r="K698" s="30" t="s">
        <v>827</v>
      </c>
      <c r="L698" s="30" t="s">
        <v>92</v>
      </c>
      <c r="M698" s="30" t="s">
        <v>55</v>
      </c>
      <c r="N698" s="33">
        <v>129.68</v>
      </c>
      <c r="O698" s="30">
        <v>2156</v>
      </c>
      <c r="P698" s="29">
        <v>45754</v>
      </c>
      <c r="Q698" s="29"/>
      <c r="R698" s="30">
        <v>2156</v>
      </c>
      <c r="S698" s="30"/>
      <c r="T698" s="30"/>
      <c r="U698" s="30"/>
      <c r="V698" s="30"/>
      <c r="W698" s="30"/>
      <c r="X698" s="30"/>
      <c r="Y698" s="30"/>
      <c r="Z698" s="30"/>
      <c r="AA698" s="30">
        <v>9.0499999999999989</v>
      </c>
      <c r="AB698" s="30">
        <v>204.64000000000001</v>
      </c>
      <c r="AC698" s="30">
        <v>870.18571428571431</v>
      </c>
      <c r="AD698" s="30">
        <v>96.61</v>
      </c>
      <c r="AE698" s="30">
        <v>361.97142857142859</v>
      </c>
      <c r="AF698" s="30"/>
      <c r="AG698" s="30"/>
      <c r="AH698" s="30">
        <v>40.31</v>
      </c>
      <c r="AI698" s="30">
        <v>0</v>
      </c>
      <c r="AJ698" s="25">
        <v>890</v>
      </c>
      <c r="AK698" s="30">
        <v>191.29</v>
      </c>
      <c r="AL698" s="30"/>
      <c r="AM698" s="30"/>
      <c r="AN698" s="30"/>
      <c r="AO698" s="30"/>
      <c r="AP698" s="30">
        <v>138.1</v>
      </c>
      <c r="AQ698" s="30">
        <v>417.42857142857144</v>
      </c>
      <c r="AR698" s="30">
        <v>98.16</v>
      </c>
      <c r="AS698" s="30">
        <v>-924</v>
      </c>
      <c r="AT698" s="30"/>
      <c r="AU698" s="30"/>
      <c r="AW698" s="27">
        <f t="shared" si="127"/>
        <v>890.00069800000006</v>
      </c>
      <c r="AX698" s="27">
        <f t="shared" si="128"/>
        <v>96.610697999999999</v>
      </c>
      <c r="AY698" s="27">
        <f t="shared" si="129"/>
        <v>204.64069800000001</v>
      </c>
      <c r="AZ698" s="27">
        <f t="shared" si="130"/>
        <v>138.10069799999999</v>
      </c>
    </row>
    <row r="699" spans="1:52" ht="15" customHeight="1" x14ac:dyDescent="0.25">
      <c r="A699" s="13" t="str">
        <f>VLOOKUP(L699,[1]VALIDAÇÃO!$D$13:$E$350,2,0)</f>
        <v>DIRETO</v>
      </c>
      <c r="B699" s="14" t="str">
        <f t="shared" si="132"/>
        <v>16RIO AVE PRAIA HOTEL SPE LTDA.</v>
      </c>
      <c r="C699" s="15">
        <f t="shared" si="131"/>
        <v>16</v>
      </c>
      <c r="D699" s="16" t="str">
        <f t="shared" si="133"/>
        <v>4RIO AVE PRAIA HOTEL SPE LTDA.</v>
      </c>
      <c r="E699" s="17">
        <f t="shared" si="124"/>
        <v>4</v>
      </c>
      <c r="F699" s="18" t="str">
        <f t="shared" si="134"/>
        <v>7RIO AVE PRAIA HOTEL SPE LTDA.</v>
      </c>
      <c r="G699" s="18">
        <f t="shared" si="125"/>
        <v>7</v>
      </c>
      <c r="H699" s="19" t="str">
        <f t="shared" si="135"/>
        <v>14RIO AVE PRAIA HOTEL SPE LTDA.</v>
      </c>
      <c r="I699" s="19">
        <f t="shared" si="126"/>
        <v>14</v>
      </c>
      <c r="J699" s="30" t="s">
        <v>80</v>
      </c>
      <c r="K699" s="30" t="s">
        <v>828</v>
      </c>
      <c r="L699" s="30" t="s">
        <v>54</v>
      </c>
      <c r="M699" s="30" t="s">
        <v>82</v>
      </c>
      <c r="N699" s="33">
        <v>1574.25</v>
      </c>
      <c r="O699" s="30">
        <v>1564.2</v>
      </c>
      <c r="P699" s="29">
        <v>45063</v>
      </c>
      <c r="Q699" s="30"/>
      <c r="R699" s="30">
        <v>1564.2</v>
      </c>
      <c r="S699" s="30"/>
      <c r="T699" s="30"/>
      <c r="U699" s="30"/>
      <c r="V699" s="30"/>
      <c r="W699" s="30">
        <v>0.02</v>
      </c>
      <c r="X699" s="30">
        <v>0</v>
      </c>
      <c r="Y699" s="30"/>
      <c r="Z699" s="30"/>
      <c r="AA699" s="30">
        <v>6.21</v>
      </c>
      <c r="AB699" s="30">
        <v>431.5</v>
      </c>
      <c r="AC699" s="30">
        <v>2193.727142857143</v>
      </c>
      <c r="AD699" s="30">
        <v>603.45000000000005</v>
      </c>
      <c r="AE699" s="30">
        <v>3197.05</v>
      </c>
      <c r="AF699" s="30"/>
      <c r="AG699" s="30"/>
      <c r="AH699" s="30">
        <v>28.9</v>
      </c>
      <c r="AI699" s="30">
        <v>0</v>
      </c>
      <c r="AJ699" s="25">
        <v>193.66000000000003</v>
      </c>
      <c r="AK699" s="30">
        <v>40.18</v>
      </c>
      <c r="AL699" s="30"/>
      <c r="AM699" s="30"/>
      <c r="AN699" s="30"/>
      <c r="AO699" s="30"/>
      <c r="AP699" s="30">
        <v>356.57000000000005</v>
      </c>
      <c r="AQ699" s="30">
        <v>1380.302857142857</v>
      </c>
      <c r="AR699" s="30">
        <v>292.72000000000003</v>
      </c>
      <c r="AS699" s="30">
        <v>-695.2</v>
      </c>
      <c r="AT699" s="30"/>
      <c r="AU699" s="30"/>
      <c r="AW699" s="27">
        <f t="shared" si="127"/>
        <v>193.66069900000002</v>
      </c>
      <c r="AX699" s="27">
        <f t="shared" si="128"/>
        <v>603.4506990000001</v>
      </c>
      <c r="AY699" s="27">
        <f t="shared" si="129"/>
        <v>431.500699</v>
      </c>
      <c r="AZ699" s="27">
        <f t="shared" si="130"/>
        <v>356.57069900000005</v>
      </c>
    </row>
    <row r="700" spans="1:52" ht="15" customHeight="1" x14ac:dyDescent="0.25">
      <c r="A700" s="13" t="str">
        <f>VLOOKUP(L700,[1]VALIDAÇÃO!$D$13:$E$350,2,0)</f>
        <v>DIRETO</v>
      </c>
      <c r="B700" s="14" t="str">
        <f t="shared" si="132"/>
        <v>21RESERVA DO PAIVA SPE 01 LTDA.</v>
      </c>
      <c r="C700" s="15">
        <f t="shared" si="131"/>
        <v>21</v>
      </c>
      <c r="D700" s="16" t="str">
        <f t="shared" si="133"/>
        <v>21RESERVA DO PAIVA SPE 01 LTDA.</v>
      </c>
      <c r="E700" s="17">
        <f t="shared" si="124"/>
        <v>21</v>
      </c>
      <c r="F700" s="18" t="str">
        <f t="shared" si="134"/>
        <v>21RESERVA DO PAIVA SPE 01 LTDA.</v>
      </c>
      <c r="G700" s="18">
        <f t="shared" si="125"/>
        <v>21</v>
      </c>
      <c r="H700" s="19" t="str">
        <f t="shared" si="135"/>
        <v>20RESERVA DO PAIVA SPE 01 LTDA.</v>
      </c>
      <c r="I700" s="19">
        <f t="shared" si="126"/>
        <v>20</v>
      </c>
      <c r="J700" s="30" t="s">
        <v>68</v>
      </c>
      <c r="K700" s="30" t="s">
        <v>829</v>
      </c>
      <c r="L700" s="30" t="s">
        <v>54</v>
      </c>
      <c r="M700" s="30" t="s">
        <v>55</v>
      </c>
      <c r="N700" s="33">
        <v>2579.81</v>
      </c>
      <c r="O700" s="30">
        <v>1622.13</v>
      </c>
      <c r="P700" s="29">
        <v>45705</v>
      </c>
      <c r="Q700" s="29"/>
      <c r="R700" s="30">
        <v>1622.13</v>
      </c>
      <c r="S700" s="30"/>
      <c r="T700" s="30"/>
      <c r="U700" s="30"/>
      <c r="V700" s="30"/>
      <c r="W700" s="30">
        <v>0.9</v>
      </c>
      <c r="X700" s="30">
        <v>34.14</v>
      </c>
      <c r="Y700" s="30"/>
      <c r="Z700" s="30"/>
      <c r="AA700" s="30">
        <v>41.44</v>
      </c>
      <c r="AB700" s="30">
        <v>416.04999999999995</v>
      </c>
      <c r="AC700" s="30">
        <v>2260.1828571428573</v>
      </c>
      <c r="AD700" s="30">
        <v>607.89</v>
      </c>
      <c r="AE700" s="30">
        <v>3312.6114285714284</v>
      </c>
      <c r="AF700" s="30"/>
      <c r="AG700" s="30"/>
      <c r="AH700" s="30">
        <v>186.75</v>
      </c>
      <c r="AI700" s="30">
        <v>0</v>
      </c>
      <c r="AJ700" s="25">
        <v>886.64</v>
      </c>
      <c r="AK700" s="30">
        <v>195.64999999999998</v>
      </c>
      <c r="AL700" s="30"/>
      <c r="AM700" s="30"/>
      <c r="AN700" s="30"/>
      <c r="AO700" s="30"/>
      <c r="AP700" s="30">
        <v>526.89</v>
      </c>
      <c r="AQ700" s="30">
        <v>2283.5257142857145</v>
      </c>
      <c r="AR700" s="30">
        <v>349.51</v>
      </c>
      <c r="AS700" s="30">
        <v>-695.2</v>
      </c>
      <c r="AT700" s="30"/>
      <c r="AU700" s="30"/>
      <c r="AW700" s="27">
        <f t="shared" si="127"/>
        <v>886.64070000000004</v>
      </c>
      <c r="AX700" s="27">
        <f t="shared" si="128"/>
        <v>607.89070000000004</v>
      </c>
      <c r="AY700" s="27">
        <f t="shared" si="129"/>
        <v>416.05069999999995</v>
      </c>
      <c r="AZ700" s="27">
        <f t="shared" si="130"/>
        <v>526.89070000000004</v>
      </c>
    </row>
    <row r="701" spans="1:52" ht="15" customHeight="1" x14ac:dyDescent="0.25">
      <c r="A701" s="13" t="str">
        <f>VLOOKUP(L701,[1]VALIDAÇÃO!$D$13:$E$350,2,0)</f>
        <v>DIRETO</v>
      </c>
      <c r="B701" s="14" t="str">
        <f t="shared" si="132"/>
        <v>70RIO AVE CARNEIROS 01 SPE LTDA.</v>
      </c>
      <c r="C701" s="15">
        <f t="shared" si="131"/>
        <v>70</v>
      </c>
      <c r="D701" s="16" t="str">
        <f t="shared" si="133"/>
        <v>93RIO AVE CARNEIROS 01 SPE LTDA.</v>
      </c>
      <c r="E701" s="17">
        <f t="shared" si="124"/>
        <v>93</v>
      </c>
      <c r="F701" s="18" t="str">
        <f t="shared" si="134"/>
        <v>89RIO AVE CARNEIROS 01 SPE LTDA.</v>
      </c>
      <c r="G701" s="18">
        <f t="shared" si="125"/>
        <v>89</v>
      </c>
      <c r="H701" s="19" t="str">
        <f t="shared" si="135"/>
        <v>89RIO AVE CARNEIROS 01 SPE LTDA.</v>
      </c>
      <c r="I701" s="19">
        <f t="shared" si="126"/>
        <v>89</v>
      </c>
      <c r="J701" s="30" t="s">
        <v>61</v>
      </c>
      <c r="K701" s="30" t="s">
        <v>830</v>
      </c>
      <c r="L701" s="30" t="s">
        <v>87</v>
      </c>
      <c r="M701" s="30" t="s">
        <v>55</v>
      </c>
      <c r="N701" s="33">
        <v>1010.22</v>
      </c>
      <c r="O701" s="30">
        <v>2156</v>
      </c>
      <c r="P701" s="29">
        <v>45698</v>
      </c>
      <c r="Q701" s="30"/>
      <c r="R701" s="30">
        <v>2156</v>
      </c>
      <c r="S701" s="30"/>
      <c r="T701" s="30"/>
      <c r="U701" s="30"/>
      <c r="V701" s="30"/>
      <c r="W701" s="30"/>
      <c r="X701" s="30"/>
      <c r="Y701" s="30"/>
      <c r="Z701" s="30"/>
      <c r="AA701" s="30">
        <v>1.04</v>
      </c>
      <c r="AB701" s="30">
        <v>47.04</v>
      </c>
      <c r="AC701" s="30">
        <v>217.28571428571428</v>
      </c>
      <c r="AD701" s="30">
        <v>29.79</v>
      </c>
      <c r="AE701" s="30">
        <v>140.71428571428572</v>
      </c>
      <c r="AF701" s="30"/>
      <c r="AG701" s="30"/>
      <c r="AH701" s="30">
        <v>5.38</v>
      </c>
      <c r="AI701" s="30">
        <v>0</v>
      </c>
      <c r="AJ701" s="25">
        <v>361.94</v>
      </c>
      <c r="AK701" s="30">
        <v>81.929999999999993</v>
      </c>
      <c r="AL701" s="30">
        <v>-4.03</v>
      </c>
      <c r="AM701" s="30">
        <v>23</v>
      </c>
      <c r="AN701" s="30"/>
      <c r="AO701" s="30"/>
      <c r="AP701" s="30"/>
      <c r="AQ701" s="30"/>
      <c r="AR701" s="30">
        <v>14.98</v>
      </c>
      <c r="AS701" s="30">
        <v>-1004</v>
      </c>
      <c r="AT701" s="30"/>
      <c r="AU701" s="30"/>
      <c r="AW701" s="27">
        <f t="shared" si="127"/>
        <v>361.94070099999999</v>
      </c>
      <c r="AX701" s="27">
        <f t="shared" si="128"/>
        <v>29.790700999999999</v>
      </c>
      <c r="AY701" s="27">
        <f t="shared" si="129"/>
        <v>47.040700999999999</v>
      </c>
      <c r="AZ701" s="27">
        <f t="shared" si="130"/>
        <v>7.0100000000000002E-4</v>
      </c>
    </row>
    <row r="702" spans="1:52" ht="15" customHeight="1" x14ac:dyDescent="0.25">
      <c r="A702" s="13" t="str">
        <f>VLOOKUP(L702,[1]VALIDAÇÃO!$D$13:$E$350,2,0)</f>
        <v>DIRETO</v>
      </c>
      <c r="B702" s="14" t="str">
        <f t="shared" si="132"/>
        <v>57RIO AVE 200 SPE LTDA.</v>
      </c>
      <c r="C702" s="15">
        <f t="shared" si="131"/>
        <v>57</v>
      </c>
      <c r="D702" s="16" t="str">
        <f t="shared" si="133"/>
        <v>68RIO AVE 200 SPE LTDA.</v>
      </c>
      <c r="E702" s="17">
        <f t="shared" si="124"/>
        <v>68</v>
      </c>
      <c r="F702" s="18" t="str">
        <f t="shared" si="134"/>
        <v>49RIO AVE 200 SPE LTDA.</v>
      </c>
      <c r="G702" s="18">
        <f t="shared" si="125"/>
        <v>49</v>
      </c>
      <c r="H702" s="19" t="str">
        <f t="shared" si="135"/>
        <v>21RIO AVE 200 SPE LTDA.</v>
      </c>
      <c r="I702" s="19">
        <f t="shared" si="126"/>
        <v>21</v>
      </c>
      <c r="J702" s="30" t="s">
        <v>48</v>
      </c>
      <c r="K702" s="30" t="s">
        <v>831</v>
      </c>
      <c r="L702" s="30" t="s">
        <v>87</v>
      </c>
      <c r="M702" s="30" t="s">
        <v>55</v>
      </c>
      <c r="N702" s="33">
        <v>967.57</v>
      </c>
      <c r="O702" s="30">
        <v>1925</v>
      </c>
      <c r="P702" s="29">
        <v>45995</v>
      </c>
      <c r="Q702" s="29"/>
      <c r="R702" s="30">
        <v>1925</v>
      </c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25"/>
      <c r="AK702" s="30"/>
      <c r="AL702" s="30"/>
      <c r="AM702" s="30"/>
      <c r="AN702" s="30"/>
      <c r="AO702" s="30"/>
      <c r="AP702" s="30"/>
      <c r="AQ702" s="30"/>
      <c r="AR702" s="30"/>
      <c r="AS702" s="30">
        <v>-994</v>
      </c>
      <c r="AT702" s="30"/>
      <c r="AU702" s="30"/>
      <c r="AW702" s="27">
        <f t="shared" si="127"/>
        <v>7.0200000000000004E-4</v>
      </c>
      <c r="AX702" s="27">
        <f t="shared" si="128"/>
        <v>7.0200000000000004E-4</v>
      </c>
      <c r="AY702" s="27">
        <f t="shared" si="129"/>
        <v>7.0200000000000004E-4</v>
      </c>
      <c r="AZ702" s="27">
        <f t="shared" si="130"/>
        <v>7.0200000000000004E-4</v>
      </c>
    </row>
    <row r="703" spans="1:52" ht="15" customHeight="1" x14ac:dyDescent="0.25">
      <c r="A703" s="13" t="str">
        <f>VLOOKUP(L703,[1]VALIDAÇÃO!$D$13:$E$350,2,0)</f>
        <v>DIRETO</v>
      </c>
      <c r="B703" s="14" t="str">
        <f t="shared" si="132"/>
        <v>57RIO AVE 130 SPE LTDA</v>
      </c>
      <c r="C703" s="15">
        <f t="shared" si="131"/>
        <v>57</v>
      </c>
      <c r="D703" s="16" t="str">
        <f t="shared" si="133"/>
        <v>60RIO AVE 130 SPE LTDA</v>
      </c>
      <c r="E703" s="17">
        <f t="shared" si="124"/>
        <v>60</v>
      </c>
      <c r="F703" s="18" t="str">
        <f t="shared" si="134"/>
        <v>56RIO AVE 130 SPE LTDA</v>
      </c>
      <c r="G703" s="18">
        <f t="shared" si="125"/>
        <v>56</v>
      </c>
      <c r="H703" s="19" t="str">
        <f t="shared" si="135"/>
        <v>37RIO AVE 130 SPE LTDA</v>
      </c>
      <c r="I703" s="19">
        <f t="shared" si="126"/>
        <v>37</v>
      </c>
      <c r="J703" s="30" t="s">
        <v>102</v>
      </c>
      <c r="K703" s="30" t="s">
        <v>832</v>
      </c>
      <c r="L703" s="30" t="s">
        <v>59</v>
      </c>
      <c r="M703" s="30" t="s">
        <v>55</v>
      </c>
      <c r="N703" s="33"/>
      <c r="O703" s="30"/>
      <c r="P703" s="29">
        <v>45048</v>
      </c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25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W703" s="27">
        <f t="shared" si="127"/>
        <v>7.0299999999999996E-4</v>
      </c>
      <c r="AX703" s="27">
        <f t="shared" si="128"/>
        <v>7.0299999999999996E-4</v>
      </c>
      <c r="AY703" s="27">
        <f t="shared" si="129"/>
        <v>7.0299999999999996E-4</v>
      </c>
      <c r="AZ703" s="27">
        <f t="shared" si="130"/>
        <v>7.0299999999999996E-4</v>
      </c>
    </row>
    <row r="704" spans="1:52" ht="15" customHeight="1" x14ac:dyDescent="0.25">
      <c r="A704" s="13" t="str">
        <f>VLOOKUP(L704,[1]VALIDAÇÃO!$D$13:$E$350,2,0)</f>
        <v>INDIRETO</v>
      </c>
      <c r="B704" s="14" t="str">
        <f t="shared" si="132"/>
        <v>131RESERVA DO PAIVA SPE 03 LTDA</v>
      </c>
      <c r="C704" s="15">
        <f t="shared" si="131"/>
        <v>131</v>
      </c>
      <c r="D704" s="16" t="str">
        <f t="shared" si="133"/>
        <v>152RESERVA DO PAIVA SPE 03 LTDA</v>
      </c>
      <c r="E704" s="17">
        <f t="shared" si="124"/>
        <v>152</v>
      </c>
      <c r="F704" s="18" t="str">
        <f t="shared" si="134"/>
        <v>126RESERVA DO PAIVA SPE 03 LTDA</v>
      </c>
      <c r="G704" s="18">
        <f t="shared" si="125"/>
        <v>126</v>
      </c>
      <c r="H704" s="19" t="str">
        <f t="shared" si="135"/>
        <v>82RESERVA DO PAIVA SPE 03 LTDA</v>
      </c>
      <c r="I704" s="19">
        <f t="shared" si="126"/>
        <v>82</v>
      </c>
      <c r="J704" s="30" t="s">
        <v>52</v>
      </c>
      <c r="K704" s="30" t="s">
        <v>833</v>
      </c>
      <c r="L704" s="30" t="s">
        <v>318</v>
      </c>
      <c r="M704" s="30" t="s">
        <v>85</v>
      </c>
      <c r="N704" s="33">
        <v>2566.13</v>
      </c>
      <c r="O704" s="30">
        <v>8262.19</v>
      </c>
      <c r="P704" s="29">
        <v>45524</v>
      </c>
      <c r="Q704" s="29"/>
      <c r="R704" s="30">
        <v>8262.19</v>
      </c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25"/>
      <c r="AK704" s="30"/>
      <c r="AL704" s="30"/>
      <c r="AM704" s="30"/>
      <c r="AN704" s="30"/>
      <c r="AO704" s="30"/>
      <c r="AP704" s="30"/>
      <c r="AQ704" s="30"/>
      <c r="AR704" s="30"/>
      <c r="AS704" s="30">
        <v>-3540.94</v>
      </c>
      <c r="AT704" s="30"/>
      <c r="AU704" s="30"/>
      <c r="AW704" s="27">
        <f t="shared" si="127"/>
        <v>7.0399999999999998E-4</v>
      </c>
      <c r="AX704" s="27">
        <f t="shared" si="128"/>
        <v>7.0399999999999998E-4</v>
      </c>
      <c r="AY704" s="27">
        <f t="shared" si="129"/>
        <v>7.0399999999999998E-4</v>
      </c>
      <c r="AZ704" s="27">
        <f t="shared" si="130"/>
        <v>7.0399999999999998E-4</v>
      </c>
    </row>
    <row r="705" spans="1:52" ht="15" customHeight="1" x14ac:dyDescent="0.25">
      <c r="A705" s="13" t="str">
        <f>VLOOKUP(L705,[1]VALIDAÇÃO!$D$13:$E$350,2,0)</f>
        <v>DIRETO</v>
      </c>
      <c r="B705" s="14" t="str">
        <f t="shared" si="132"/>
        <v>83RIO AVE CARNEIROS 01 SPE LTDA.</v>
      </c>
      <c r="C705" s="15">
        <f t="shared" si="131"/>
        <v>83</v>
      </c>
      <c r="D705" s="16" t="str">
        <f t="shared" si="133"/>
        <v>11RIO AVE CARNEIROS 01 SPE LTDA.</v>
      </c>
      <c r="E705" s="17">
        <f t="shared" si="124"/>
        <v>11</v>
      </c>
      <c r="F705" s="18" t="str">
        <f t="shared" si="134"/>
        <v>57RIO AVE CARNEIROS 01 SPE LTDA.</v>
      </c>
      <c r="G705" s="18">
        <f t="shared" si="125"/>
        <v>57</v>
      </c>
      <c r="H705" s="19" t="str">
        <f t="shared" si="135"/>
        <v>88RIO AVE CARNEIROS 01 SPE LTDA.</v>
      </c>
      <c r="I705" s="19">
        <f t="shared" si="126"/>
        <v>88</v>
      </c>
      <c r="J705" s="30" t="s">
        <v>61</v>
      </c>
      <c r="K705" s="30" t="s">
        <v>834</v>
      </c>
      <c r="L705" s="30" t="s">
        <v>63</v>
      </c>
      <c r="M705" s="30" t="s">
        <v>55</v>
      </c>
      <c r="N705" s="33">
        <v>1339.63</v>
      </c>
      <c r="O705" s="30">
        <v>2156</v>
      </c>
      <c r="P705" s="29">
        <v>45691</v>
      </c>
      <c r="Q705" s="30"/>
      <c r="R705" s="30">
        <v>2156</v>
      </c>
      <c r="S705" s="30"/>
      <c r="T705" s="30"/>
      <c r="U705" s="30"/>
      <c r="V705" s="30"/>
      <c r="W705" s="30"/>
      <c r="X705" s="30"/>
      <c r="Y705" s="30"/>
      <c r="Z705" s="30"/>
      <c r="AA705" s="30">
        <v>5.75</v>
      </c>
      <c r="AB705" s="30">
        <v>104.67</v>
      </c>
      <c r="AC705" s="30">
        <v>486.71428571428567</v>
      </c>
      <c r="AD705" s="30">
        <v>648.54</v>
      </c>
      <c r="AE705" s="30">
        <v>2651.5714285714284</v>
      </c>
      <c r="AF705" s="30"/>
      <c r="AG705" s="30"/>
      <c r="AH705" s="30">
        <v>24.41</v>
      </c>
      <c r="AI705" s="30">
        <v>0</v>
      </c>
      <c r="AJ705" s="25">
        <v>297.63</v>
      </c>
      <c r="AK705" s="30">
        <v>69.77</v>
      </c>
      <c r="AL705" s="30">
        <v>-40.6</v>
      </c>
      <c r="AM705" s="30">
        <v>232</v>
      </c>
      <c r="AN705" s="30"/>
      <c r="AO705" s="30"/>
      <c r="AP705" s="30"/>
      <c r="AQ705" s="30"/>
      <c r="AR705" s="30">
        <v>149.97</v>
      </c>
      <c r="AS705" s="30">
        <v>-1014</v>
      </c>
      <c r="AT705" s="30"/>
      <c r="AU705" s="30"/>
      <c r="AW705" s="27">
        <f t="shared" si="127"/>
        <v>297.63070499999998</v>
      </c>
      <c r="AX705" s="27">
        <f t="shared" si="128"/>
        <v>648.540705</v>
      </c>
      <c r="AY705" s="27">
        <f t="shared" si="129"/>
        <v>104.670705</v>
      </c>
      <c r="AZ705" s="27">
        <f t="shared" si="130"/>
        <v>7.0500000000000001E-4</v>
      </c>
    </row>
    <row r="706" spans="1:52" ht="15" customHeight="1" x14ac:dyDescent="0.25">
      <c r="A706" s="13" t="str">
        <f>VLOOKUP(L706,[1]VALIDAÇÃO!$D$13:$E$350,2,0)</f>
        <v>DIRETO</v>
      </c>
      <c r="B706" s="14" t="str">
        <f t="shared" si="132"/>
        <v>19RIO AVE PRAIA HOTEL SPE LTDA.</v>
      </c>
      <c r="C706" s="15">
        <f t="shared" si="131"/>
        <v>19</v>
      </c>
      <c r="D706" s="16" t="str">
        <f t="shared" si="133"/>
        <v>7RIO AVE PRAIA HOTEL SPE LTDA.</v>
      </c>
      <c r="E706" s="17">
        <f t="shared" ref="E706:E769" si="136">1+SUMPRODUCT(($J$2:$J$1437=$J706)*(AX$2:AX$1437&gt;AX706))</f>
        <v>7</v>
      </c>
      <c r="F706" s="18" t="str">
        <f t="shared" si="134"/>
        <v>11RIO AVE PRAIA HOTEL SPE LTDA.</v>
      </c>
      <c r="G706" s="18">
        <f t="shared" ref="G706:G769" si="137">1+SUMPRODUCT(($J$2:$J$1437=$J706)*(AY$2:AY$1437&gt;AY706))</f>
        <v>11</v>
      </c>
      <c r="H706" s="19" t="str">
        <f t="shared" si="135"/>
        <v>9RIO AVE PRAIA HOTEL SPE LTDA.</v>
      </c>
      <c r="I706" s="19">
        <f t="shared" ref="I706:I769" si="138">1+SUMPRODUCT(($J$2:$J$1437=$J706)*(AZ$2:AZ$1437&gt;AZ706))</f>
        <v>9</v>
      </c>
      <c r="J706" s="30" t="s">
        <v>80</v>
      </c>
      <c r="K706" s="30" t="s">
        <v>835</v>
      </c>
      <c r="L706" s="30" t="s">
        <v>54</v>
      </c>
      <c r="M706" s="30" t="s">
        <v>82</v>
      </c>
      <c r="N706" s="33">
        <v>1264.03</v>
      </c>
      <c r="O706" s="30">
        <v>1564.2</v>
      </c>
      <c r="P706" s="29">
        <v>45056</v>
      </c>
      <c r="Q706" s="29"/>
      <c r="R706" s="30">
        <v>1564.2</v>
      </c>
      <c r="S706" s="30"/>
      <c r="T706" s="30"/>
      <c r="U706" s="30"/>
      <c r="V706" s="30"/>
      <c r="W706" s="30"/>
      <c r="X706" s="30"/>
      <c r="Y706" s="30"/>
      <c r="Z706" s="30"/>
      <c r="AA706" s="30">
        <v>1.6199999999999999</v>
      </c>
      <c r="AB706" s="30">
        <v>356.72999999999996</v>
      </c>
      <c r="AC706" s="30">
        <v>1853.2971428571429</v>
      </c>
      <c r="AD706" s="30">
        <v>392</v>
      </c>
      <c r="AE706" s="30">
        <v>2187.5957142857142</v>
      </c>
      <c r="AF706" s="30"/>
      <c r="AG706" s="30"/>
      <c r="AH706" s="30">
        <v>7.9</v>
      </c>
      <c r="AI706" s="30">
        <v>0</v>
      </c>
      <c r="AJ706" s="25">
        <v>59.08</v>
      </c>
      <c r="AK706" s="30">
        <v>11.57</v>
      </c>
      <c r="AL706" s="30">
        <v>-5.53</v>
      </c>
      <c r="AM706" s="30">
        <v>42</v>
      </c>
      <c r="AN706" s="30"/>
      <c r="AO706" s="30"/>
      <c r="AP706" s="30">
        <v>499.57</v>
      </c>
      <c r="AQ706" s="30">
        <v>1928.8071428571429</v>
      </c>
      <c r="AR706" s="30">
        <v>254.73000000000002</v>
      </c>
      <c r="AS706" s="30">
        <v>-695.2</v>
      </c>
      <c r="AT706" s="30"/>
      <c r="AU706" s="30"/>
      <c r="AW706" s="27">
        <f t="shared" ref="AW706:AW769" si="139">AJ706+ROW(C706)/1000000</f>
        <v>59.080705999999999</v>
      </c>
      <c r="AX706" s="27">
        <f t="shared" ref="AX706:AX769" si="140">AD706+ROW(C706)/1000000</f>
        <v>392.00070599999998</v>
      </c>
      <c r="AY706" s="27">
        <f t="shared" ref="AY706:AY769" si="141">AB706+ROW(A706)/1000000</f>
        <v>356.73070599999994</v>
      </c>
      <c r="AZ706" s="27">
        <f t="shared" ref="AZ706:AZ769" si="142">AP706+ROW(A706)/1000000</f>
        <v>499.57070599999997</v>
      </c>
    </row>
    <row r="707" spans="1:52" ht="15" customHeight="1" x14ac:dyDescent="0.25">
      <c r="A707" s="13" t="str">
        <f>VLOOKUP(L707,[1]VALIDAÇÃO!$D$13:$E$350,2,0)</f>
        <v>DIRETO</v>
      </c>
      <c r="B707" s="14" t="str">
        <f t="shared" si="132"/>
        <v>71CONDOMINIO DO EDIFICIO EMPRESARIAL MARIE CURIE</v>
      </c>
      <c r="C707" s="15">
        <f t="shared" ref="C707:C770" si="143">1+SUMPRODUCT(($J$2:$J$1437=J707)*($AW$2:$AW$1437&gt;AW707))</f>
        <v>71</v>
      </c>
      <c r="D707" s="16" t="str">
        <f t="shared" si="133"/>
        <v>101CONDOMINIO DO EDIFICIO EMPRESARIAL MARIE CURIE</v>
      </c>
      <c r="E707" s="17">
        <f t="shared" si="136"/>
        <v>101</v>
      </c>
      <c r="F707" s="18" t="str">
        <f t="shared" si="134"/>
        <v>18CONDOMINIO DO EDIFICIO EMPRESARIAL MARIE CURIE</v>
      </c>
      <c r="G707" s="18">
        <f t="shared" si="137"/>
        <v>18</v>
      </c>
      <c r="H707" s="19" t="str">
        <f t="shared" si="135"/>
        <v>9CONDOMINIO DO EDIFICIO EMPRESARIAL MARIE CURIE</v>
      </c>
      <c r="I707" s="19">
        <f t="shared" si="138"/>
        <v>9</v>
      </c>
      <c r="J707" s="30" t="s">
        <v>57</v>
      </c>
      <c r="K707" s="30" t="s">
        <v>836</v>
      </c>
      <c r="L707" s="30" t="s">
        <v>63</v>
      </c>
      <c r="M707" s="30" t="s">
        <v>60</v>
      </c>
      <c r="N707" s="33">
        <v>448.05</v>
      </c>
      <c r="O707" s="30">
        <v>2156</v>
      </c>
      <c r="P707" s="29">
        <v>45964</v>
      </c>
      <c r="Q707" s="29"/>
      <c r="R707" s="30">
        <v>2156</v>
      </c>
      <c r="S707" s="30"/>
      <c r="T707" s="30"/>
      <c r="U707" s="30"/>
      <c r="V707" s="30"/>
      <c r="W707" s="30"/>
      <c r="X707" s="30"/>
      <c r="Y707" s="30"/>
      <c r="Z707" s="30"/>
      <c r="AA707" s="30">
        <v>4.1900000000000004</v>
      </c>
      <c r="AB707" s="30">
        <v>248.09</v>
      </c>
      <c r="AC707" s="30">
        <v>1468.6</v>
      </c>
      <c r="AD707" s="30">
        <v>22.979999999999997</v>
      </c>
      <c r="AE707" s="30">
        <v>258.60000000000002</v>
      </c>
      <c r="AF707" s="30"/>
      <c r="AG707" s="30"/>
      <c r="AH707" s="30">
        <v>19.29</v>
      </c>
      <c r="AI707" s="30">
        <v>0</v>
      </c>
      <c r="AJ707" s="25">
        <v>296.14999999999998</v>
      </c>
      <c r="AK707" s="30">
        <v>64.38</v>
      </c>
      <c r="AL707" s="30"/>
      <c r="AM707" s="30"/>
      <c r="AN707" s="30"/>
      <c r="AO707" s="30"/>
      <c r="AP707" s="30">
        <v>207.95</v>
      </c>
      <c r="AQ707" s="30">
        <v>1164.8</v>
      </c>
      <c r="AR707" s="30">
        <v>109.04</v>
      </c>
      <c r="AS707" s="30">
        <v>-924</v>
      </c>
      <c r="AT707" s="30"/>
      <c r="AU707" s="30"/>
      <c r="AW707" s="27">
        <f t="shared" si="139"/>
        <v>296.15070699999995</v>
      </c>
      <c r="AX707" s="27">
        <f t="shared" si="140"/>
        <v>22.980706999999995</v>
      </c>
      <c r="AY707" s="27">
        <f t="shared" si="141"/>
        <v>248.09070700000001</v>
      </c>
      <c r="AZ707" s="27">
        <f t="shared" si="142"/>
        <v>207.95070699999999</v>
      </c>
    </row>
    <row r="708" spans="1:52" ht="15" customHeight="1" x14ac:dyDescent="0.25">
      <c r="A708" s="13" t="str">
        <f>VLOOKUP(L708,[1]VALIDAÇÃO!$D$13:$E$350,2,0)</f>
        <v>DIRETO</v>
      </c>
      <c r="B708" s="14" t="str">
        <f t="shared" si="132"/>
        <v>130RESERVA DO PAIVA SPE 03 LTDA</v>
      </c>
      <c r="C708" s="15">
        <f t="shared" si="143"/>
        <v>130</v>
      </c>
      <c r="D708" s="16" t="str">
        <f t="shared" si="133"/>
        <v>113RESERVA DO PAIVA SPE 03 LTDA</v>
      </c>
      <c r="E708" s="17">
        <f t="shared" si="136"/>
        <v>113</v>
      </c>
      <c r="F708" s="18" t="str">
        <f t="shared" si="134"/>
        <v>125RESERVA DO PAIVA SPE 03 LTDA</v>
      </c>
      <c r="G708" s="18">
        <f t="shared" si="137"/>
        <v>125</v>
      </c>
      <c r="H708" s="19" t="str">
        <f t="shared" si="135"/>
        <v>44RESERVA DO PAIVA SPE 03 LTDA</v>
      </c>
      <c r="I708" s="19">
        <f t="shared" si="138"/>
        <v>44</v>
      </c>
      <c r="J708" s="30" t="s">
        <v>52</v>
      </c>
      <c r="K708" s="30" t="s">
        <v>837</v>
      </c>
      <c r="L708" s="30" t="s">
        <v>54</v>
      </c>
      <c r="M708" s="30" t="s">
        <v>55</v>
      </c>
      <c r="N708" s="33">
        <v>944.41</v>
      </c>
      <c r="O708" s="30">
        <v>1622.13</v>
      </c>
      <c r="P708" s="29">
        <v>45971</v>
      </c>
      <c r="Q708" s="29"/>
      <c r="R708" s="30">
        <v>1622.13</v>
      </c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>
        <v>94.34</v>
      </c>
      <c r="AE708" s="30">
        <v>598.79999999999995</v>
      </c>
      <c r="AF708" s="30"/>
      <c r="AG708" s="30"/>
      <c r="AH708" s="30"/>
      <c r="AI708" s="30"/>
      <c r="AJ708" s="25"/>
      <c r="AK708" s="30"/>
      <c r="AL708" s="30">
        <v>-20.8</v>
      </c>
      <c r="AM708" s="30">
        <v>158</v>
      </c>
      <c r="AN708" s="30"/>
      <c r="AO708" s="30"/>
      <c r="AP708" s="30">
        <v>126.66</v>
      </c>
      <c r="AQ708" s="30">
        <v>481</v>
      </c>
      <c r="AR708" s="30">
        <v>48.8</v>
      </c>
      <c r="AS708" s="30">
        <v>-695.2</v>
      </c>
      <c r="AT708" s="30"/>
      <c r="AU708" s="30"/>
      <c r="AW708" s="27">
        <f t="shared" si="139"/>
        <v>7.0799999999999997E-4</v>
      </c>
      <c r="AX708" s="27">
        <f t="shared" si="140"/>
        <v>94.340708000000006</v>
      </c>
      <c r="AY708" s="27">
        <f t="shared" si="141"/>
        <v>7.0799999999999997E-4</v>
      </c>
      <c r="AZ708" s="27">
        <f t="shared" si="142"/>
        <v>126.660708</v>
      </c>
    </row>
    <row r="709" spans="1:52" ht="15" customHeight="1" x14ac:dyDescent="0.25">
      <c r="A709" s="13" t="str">
        <f>VLOOKUP(L709,[1]VALIDAÇÃO!$D$13:$E$350,2,0)</f>
        <v>INDIRETO</v>
      </c>
      <c r="B709" s="14" t="str">
        <f t="shared" si="132"/>
        <v>12RIO AVE INVESTIMENTOS LTDA</v>
      </c>
      <c r="C709" s="15">
        <f t="shared" si="143"/>
        <v>12</v>
      </c>
      <c r="D709" s="16" t="str">
        <f t="shared" si="133"/>
        <v>1RIO AVE INVESTIMENTOS LTDA</v>
      </c>
      <c r="E709" s="17">
        <f t="shared" si="136"/>
        <v>1</v>
      </c>
      <c r="F709" s="18" t="str">
        <f t="shared" si="134"/>
        <v>1RIO AVE INVESTIMENTOS LTDA</v>
      </c>
      <c r="G709" s="18">
        <f t="shared" si="137"/>
        <v>1</v>
      </c>
      <c r="H709" s="19" t="str">
        <f t="shared" si="135"/>
        <v>1RIO AVE INVESTIMENTOS LTDA</v>
      </c>
      <c r="I709" s="19">
        <f t="shared" si="138"/>
        <v>1</v>
      </c>
      <c r="J709" s="30" t="s">
        <v>304</v>
      </c>
      <c r="K709" s="30" t="s">
        <v>838</v>
      </c>
      <c r="L709" s="30" t="s">
        <v>839</v>
      </c>
      <c r="M709" s="30" t="s">
        <v>306</v>
      </c>
      <c r="N709" s="33">
        <v>3245.7</v>
      </c>
      <c r="O709" s="30">
        <v>4047.57</v>
      </c>
      <c r="P709" s="29">
        <v>45062</v>
      </c>
      <c r="Q709" s="29"/>
      <c r="R709" s="30">
        <v>4047.57</v>
      </c>
      <c r="S709" s="30"/>
      <c r="T709" s="30"/>
      <c r="U709" s="30"/>
      <c r="V709" s="30"/>
      <c r="W709" s="30">
        <v>2.5</v>
      </c>
      <c r="X709" s="30">
        <v>40.82</v>
      </c>
      <c r="Y709" s="30"/>
      <c r="Z709" s="30"/>
      <c r="AA709" s="30"/>
      <c r="AB709" s="30">
        <v>919.86999999999989</v>
      </c>
      <c r="AC709" s="30">
        <v>1764.6399999999999</v>
      </c>
      <c r="AD709" s="30">
        <v>2417.12</v>
      </c>
      <c r="AE709" s="30">
        <v>4636.8999999999996</v>
      </c>
      <c r="AF709" s="30"/>
      <c r="AG709" s="30"/>
      <c r="AH709" s="30"/>
      <c r="AI709" s="30"/>
      <c r="AJ709" s="25"/>
      <c r="AK709" s="30"/>
      <c r="AL709" s="30">
        <v>-44.16</v>
      </c>
      <c r="AM709" s="30">
        <v>144</v>
      </c>
      <c r="AN709" s="30"/>
      <c r="AO709" s="30"/>
      <c r="AP709" s="30">
        <v>459.51</v>
      </c>
      <c r="AQ709" s="30">
        <v>749.29</v>
      </c>
      <c r="AR709" s="30">
        <v>751.64</v>
      </c>
      <c r="AS709" s="30">
        <v>-1619.03</v>
      </c>
      <c r="AT709" s="30"/>
      <c r="AU709" s="30"/>
      <c r="AW709" s="27">
        <f t="shared" si="139"/>
        <v>7.0899999999999999E-4</v>
      </c>
      <c r="AX709" s="27">
        <f t="shared" si="140"/>
        <v>2417.1207089999998</v>
      </c>
      <c r="AY709" s="27">
        <f t="shared" si="141"/>
        <v>919.87070899999992</v>
      </c>
      <c r="AZ709" s="27">
        <f t="shared" si="142"/>
        <v>459.51070899999996</v>
      </c>
    </row>
    <row r="710" spans="1:52" ht="15" customHeight="1" x14ac:dyDescent="0.25">
      <c r="A710" s="13" t="str">
        <f>VLOOKUP(L710,[1]VALIDAÇÃO!$D$13:$E$350,2,0)</f>
        <v>DIRETO</v>
      </c>
      <c r="B710" s="14" t="str">
        <f t="shared" si="132"/>
        <v>114RIO AVE CARNEIROS 01 SPE LTDA.</v>
      </c>
      <c r="C710" s="15">
        <f t="shared" si="143"/>
        <v>114</v>
      </c>
      <c r="D710" s="16" t="str">
        <f t="shared" si="133"/>
        <v>60RIO AVE CARNEIROS 01 SPE LTDA.</v>
      </c>
      <c r="E710" s="17">
        <f t="shared" si="136"/>
        <v>60</v>
      </c>
      <c r="F710" s="18" t="str">
        <f t="shared" si="134"/>
        <v>46RIO AVE CARNEIROS 01 SPE LTDA.</v>
      </c>
      <c r="G710" s="18">
        <f t="shared" si="137"/>
        <v>46</v>
      </c>
      <c r="H710" s="19" t="str">
        <f t="shared" si="135"/>
        <v>82RIO AVE CARNEIROS 01 SPE LTDA.</v>
      </c>
      <c r="I710" s="19">
        <f t="shared" si="138"/>
        <v>82</v>
      </c>
      <c r="J710" s="30" t="s">
        <v>61</v>
      </c>
      <c r="K710" s="30" t="s">
        <v>840</v>
      </c>
      <c r="L710" s="30" t="s">
        <v>54</v>
      </c>
      <c r="M710" s="30" t="s">
        <v>55</v>
      </c>
      <c r="N710" s="33">
        <v>857.56</v>
      </c>
      <c r="O710" s="30">
        <v>1622.13</v>
      </c>
      <c r="P710" s="29">
        <v>45488</v>
      </c>
      <c r="Q710" s="30"/>
      <c r="R710" s="30">
        <v>1622.13</v>
      </c>
      <c r="S710" s="30"/>
      <c r="T710" s="30"/>
      <c r="U710" s="30"/>
      <c r="V710" s="30"/>
      <c r="W710" s="30"/>
      <c r="X710" s="30"/>
      <c r="Y710" s="30"/>
      <c r="Z710" s="30"/>
      <c r="AA710" s="30">
        <v>1.6099999999999999</v>
      </c>
      <c r="AB710" s="30">
        <v>126</v>
      </c>
      <c r="AC710" s="30">
        <v>618.8485714285714</v>
      </c>
      <c r="AD710" s="30">
        <v>107.13</v>
      </c>
      <c r="AE710" s="30">
        <v>583.27571428571423</v>
      </c>
      <c r="AF710" s="30"/>
      <c r="AG710" s="30"/>
      <c r="AH710" s="30">
        <v>7.11</v>
      </c>
      <c r="AI710" s="30">
        <v>0</v>
      </c>
      <c r="AJ710" s="25">
        <v>140.66000000000003</v>
      </c>
      <c r="AK710" s="30">
        <v>31.25</v>
      </c>
      <c r="AL710" s="30">
        <v>-23.57</v>
      </c>
      <c r="AM710" s="30">
        <v>179</v>
      </c>
      <c r="AN710" s="30"/>
      <c r="AO710" s="30"/>
      <c r="AP710" s="30">
        <v>7.67</v>
      </c>
      <c r="AQ710" s="30">
        <v>40.957142857142856</v>
      </c>
      <c r="AR710" s="30">
        <v>53.39</v>
      </c>
      <c r="AS710" s="30">
        <v>-795.2</v>
      </c>
      <c r="AT710" s="30"/>
      <c r="AU710" s="30"/>
      <c r="AW710" s="27">
        <f t="shared" si="139"/>
        <v>140.66071000000002</v>
      </c>
      <c r="AX710" s="27">
        <f t="shared" si="140"/>
        <v>107.13070999999999</v>
      </c>
      <c r="AY710" s="27">
        <f t="shared" si="141"/>
        <v>126.00071</v>
      </c>
      <c r="AZ710" s="27">
        <f t="shared" si="142"/>
        <v>7.6707099999999997</v>
      </c>
    </row>
    <row r="711" spans="1:52" ht="15" customHeight="1" x14ac:dyDescent="0.25">
      <c r="A711" s="13" t="str">
        <f>VLOOKUP(L711,[1]VALIDAÇÃO!$D$13:$E$350,2,0)</f>
        <v>DIRETO</v>
      </c>
      <c r="B711" s="14" t="str">
        <f t="shared" si="132"/>
        <v>32RESERVA DO PAIVA SPE 01 LTDA.</v>
      </c>
      <c r="C711" s="15">
        <f t="shared" si="143"/>
        <v>32</v>
      </c>
      <c r="D711" s="16" t="str">
        <f t="shared" si="133"/>
        <v>68RESERVA DO PAIVA SPE 01 LTDA.</v>
      </c>
      <c r="E711" s="17">
        <f t="shared" si="136"/>
        <v>68</v>
      </c>
      <c r="F711" s="18" t="str">
        <f t="shared" si="134"/>
        <v>60RESERVA DO PAIVA SPE 01 LTDA.</v>
      </c>
      <c r="G711" s="18">
        <f t="shared" si="137"/>
        <v>60</v>
      </c>
      <c r="H711" s="19" t="str">
        <f t="shared" si="135"/>
        <v>71RESERVA DO PAIVA SPE 01 LTDA.</v>
      </c>
      <c r="I711" s="19">
        <f t="shared" si="138"/>
        <v>71</v>
      </c>
      <c r="J711" s="30" t="s">
        <v>68</v>
      </c>
      <c r="K711" s="30" t="s">
        <v>841</v>
      </c>
      <c r="L711" s="30" t="s">
        <v>153</v>
      </c>
      <c r="M711" s="30" t="s">
        <v>55</v>
      </c>
      <c r="N711" s="33">
        <v>912.75</v>
      </c>
      <c r="O711" s="30">
        <v>2156</v>
      </c>
      <c r="P711" s="29">
        <v>45873</v>
      </c>
      <c r="Q711" s="29"/>
      <c r="R711" s="30">
        <v>2156</v>
      </c>
      <c r="S711" s="30"/>
      <c r="T711" s="30"/>
      <c r="U711" s="30"/>
      <c r="V711" s="30"/>
      <c r="W711" s="30"/>
      <c r="X711" s="30"/>
      <c r="Y711" s="30"/>
      <c r="Z711" s="30"/>
      <c r="AA711" s="30">
        <v>6.27</v>
      </c>
      <c r="AB711" s="30">
        <v>110.05</v>
      </c>
      <c r="AC711" s="30">
        <v>1022.8571428571429</v>
      </c>
      <c r="AD711" s="30">
        <v>60.74</v>
      </c>
      <c r="AE711" s="30">
        <v>280.28571428571428</v>
      </c>
      <c r="AF711" s="30"/>
      <c r="AG711" s="30"/>
      <c r="AH711" s="30">
        <v>23.83</v>
      </c>
      <c r="AI711" s="30">
        <v>0</v>
      </c>
      <c r="AJ711" s="25">
        <v>766.03</v>
      </c>
      <c r="AK711" s="30">
        <v>166.83</v>
      </c>
      <c r="AL711" s="30">
        <v>-32.549999999999997</v>
      </c>
      <c r="AM711" s="30">
        <v>186</v>
      </c>
      <c r="AN711" s="30"/>
      <c r="AO711" s="30"/>
      <c r="AP711" s="30">
        <v>149.82</v>
      </c>
      <c r="AQ711" s="30">
        <v>1183.5714285714284</v>
      </c>
      <c r="AR711" s="30">
        <v>85.22</v>
      </c>
      <c r="AS711" s="30">
        <v>-924</v>
      </c>
      <c r="AT711" s="30"/>
      <c r="AU711" s="30"/>
      <c r="AW711" s="27">
        <f t="shared" si="139"/>
        <v>766.030711</v>
      </c>
      <c r="AX711" s="27">
        <f t="shared" si="140"/>
        <v>60.740711000000005</v>
      </c>
      <c r="AY711" s="27">
        <f t="shared" si="141"/>
        <v>110.05071099999999</v>
      </c>
      <c r="AZ711" s="27">
        <f t="shared" si="142"/>
        <v>149.82071099999999</v>
      </c>
    </row>
    <row r="712" spans="1:52" ht="15" customHeight="1" x14ac:dyDescent="0.25">
      <c r="A712" s="13" t="str">
        <f>VLOOKUP(L712,[1]VALIDAÇÃO!$D$13:$E$350,2,0)</f>
        <v>DIRETO</v>
      </c>
      <c r="B712" s="14" t="str">
        <f t="shared" si="132"/>
        <v>104RIO AVE CARNEIROS 01 SPE LTDA.</v>
      </c>
      <c r="C712" s="15">
        <f t="shared" si="143"/>
        <v>104</v>
      </c>
      <c r="D712" s="16" t="str">
        <f t="shared" si="133"/>
        <v>44RIO AVE CARNEIROS 01 SPE LTDA.</v>
      </c>
      <c r="E712" s="17">
        <f t="shared" si="136"/>
        <v>44</v>
      </c>
      <c r="F712" s="18" t="str">
        <f t="shared" si="134"/>
        <v>112RIO AVE CARNEIROS 01 SPE LTDA.</v>
      </c>
      <c r="G712" s="18">
        <f t="shared" si="137"/>
        <v>112</v>
      </c>
      <c r="H712" s="19" t="str">
        <f t="shared" si="135"/>
        <v>87RIO AVE CARNEIROS 01 SPE LTDA.</v>
      </c>
      <c r="I712" s="19">
        <f t="shared" si="138"/>
        <v>87</v>
      </c>
      <c r="J712" s="30" t="s">
        <v>61</v>
      </c>
      <c r="K712" s="30" t="s">
        <v>842</v>
      </c>
      <c r="L712" s="30" t="s">
        <v>54</v>
      </c>
      <c r="M712" s="30" t="s">
        <v>55</v>
      </c>
      <c r="N712" s="33">
        <v>716.08</v>
      </c>
      <c r="O712" s="30">
        <v>1622.13</v>
      </c>
      <c r="P712" s="29">
        <v>45705</v>
      </c>
      <c r="Q712" s="30"/>
      <c r="R712" s="30">
        <v>1622.13</v>
      </c>
      <c r="S712" s="30"/>
      <c r="T712" s="30"/>
      <c r="U712" s="30"/>
      <c r="V712" s="30"/>
      <c r="W712" s="30"/>
      <c r="X712" s="30"/>
      <c r="Y712" s="30"/>
      <c r="Z712" s="30"/>
      <c r="AA712" s="30">
        <v>0.96</v>
      </c>
      <c r="AB712" s="30">
        <v>20.04</v>
      </c>
      <c r="AC712" s="30">
        <v>137</v>
      </c>
      <c r="AD712" s="30">
        <v>220</v>
      </c>
      <c r="AE712" s="30">
        <v>1110.1428571428571</v>
      </c>
      <c r="AF712" s="30"/>
      <c r="AG712" s="30"/>
      <c r="AH712" s="30">
        <v>3.89</v>
      </c>
      <c r="AI712" s="30">
        <v>0</v>
      </c>
      <c r="AJ712" s="25">
        <v>189.65</v>
      </c>
      <c r="AK712" s="30">
        <v>42.33</v>
      </c>
      <c r="AL712" s="30">
        <v>-20.67</v>
      </c>
      <c r="AM712" s="30">
        <v>157</v>
      </c>
      <c r="AN712" s="30"/>
      <c r="AO712" s="30"/>
      <c r="AP712" s="30"/>
      <c r="AQ712" s="30"/>
      <c r="AR712" s="30">
        <v>54.18</v>
      </c>
      <c r="AS712" s="30">
        <v>-695.2</v>
      </c>
      <c r="AT712" s="30"/>
      <c r="AU712" s="30"/>
      <c r="AW712" s="27">
        <f t="shared" si="139"/>
        <v>189.650712</v>
      </c>
      <c r="AX712" s="27">
        <f t="shared" si="140"/>
        <v>220.00071199999999</v>
      </c>
      <c r="AY712" s="27">
        <f t="shared" si="141"/>
        <v>20.040711999999999</v>
      </c>
      <c r="AZ712" s="27">
        <f t="shared" si="142"/>
        <v>7.1199999999999996E-4</v>
      </c>
    </row>
    <row r="713" spans="1:52" ht="15" customHeight="1" x14ac:dyDescent="0.25">
      <c r="A713" s="13" t="str">
        <f>VLOOKUP(L713,[1]VALIDAÇÃO!$D$13:$E$350,2,0)</f>
        <v>DIRETO</v>
      </c>
      <c r="B713" s="14" t="str">
        <f t="shared" si="132"/>
        <v>39RIO AVE 200 SPE LTDA.</v>
      </c>
      <c r="C713" s="15">
        <f t="shared" si="143"/>
        <v>39</v>
      </c>
      <c r="D713" s="16" t="str">
        <f t="shared" si="133"/>
        <v>32RIO AVE 200 SPE LTDA.</v>
      </c>
      <c r="E713" s="17">
        <f t="shared" si="136"/>
        <v>32</v>
      </c>
      <c r="F713" s="18" t="str">
        <f t="shared" si="134"/>
        <v>40RIO AVE 200 SPE LTDA.</v>
      </c>
      <c r="G713" s="18">
        <f t="shared" si="137"/>
        <v>40</v>
      </c>
      <c r="H713" s="19" t="str">
        <f t="shared" si="135"/>
        <v>20RIO AVE 200 SPE LTDA.</v>
      </c>
      <c r="I713" s="19">
        <f t="shared" si="138"/>
        <v>20</v>
      </c>
      <c r="J713" s="30" t="s">
        <v>48</v>
      </c>
      <c r="K713" s="30" t="s">
        <v>843</v>
      </c>
      <c r="L713" s="30" t="s">
        <v>54</v>
      </c>
      <c r="M713" s="30" t="s">
        <v>55</v>
      </c>
      <c r="N713" s="33">
        <v>1010.34</v>
      </c>
      <c r="O713" s="30">
        <v>1622.13</v>
      </c>
      <c r="P713" s="29">
        <v>45938</v>
      </c>
      <c r="Q713" s="30"/>
      <c r="R713" s="30">
        <v>1622.13</v>
      </c>
      <c r="S713" s="30"/>
      <c r="T713" s="30"/>
      <c r="U713" s="30"/>
      <c r="V713" s="30"/>
      <c r="W713" s="30"/>
      <c r="X713" s="30"/>
      <c r="Y713" s="30"/>
      <c r="Z713" s="30"/>
      <c r="AA713" s="30">
        <v>2.09</v>
      </c>
      <c r="AB713" s="30">
        <v>10.38</v>
      </c>
      <c r="AC713" s="30">
        <v>189.28571428571428</v>
      </c>
      <c r="AD713" s="30">
        <v>128.99</v>
      </c>
      <c r="AE713" s="30">
        <v>1320</v>
      </c>
      <c r="AF713" s="30"/>
      <c r="AG713" s="30"/>
      <c r="AH713" s="30">
        <v>9.14</v>
      </c>
      <c r="AI713" s="30">
        <v>0</v>
      </c>
      <c r="AJ713" s="25">
        <v>351.26</v>
      </c>
      <c r="AK713" s="30">
        <v>77.650000000000006</v>
      </c>
      <c r="AL713" s="30"/>
      <c r="AM713" s="30"/>
      <c r="AN713" s="30"/>
      <c r="AO713" s="30"/>
      <c r="AP713" s="30"/>
      <c r="AQ713" s="30"/>
      <c r="AR713" s="30">
        <v>33.17</v>
      </c>
      <c r="AS713" s="30">
        <v>-695.2</v>
      </c>
      <c r="AT713" s="30"/>
      <c r="AU713" s="30"/>
      <c r="AW713" s="27">
        <f t="shared" si="139"/>
        <v>351.26071300000001</v>
      </c>
      <c r="AX713" s="27">
        <f t="shared" si="140"/>
        <v>128.990713</v>
      </c>
      <c r="AY713" s="27">
        <f t="shared" si="141"/>
        <v>10.380713</v>
      </c>
      <c r="AZ713" s="27">
        <f t="shared" si="142"/>
        <v>7.1299999999999998E-4</v>
      </c>
    </row>
    <row r="714" spans="1:52" ht="15" customHeight="1" x14ac:dyDescent="0.25">
      <c r="A714" s="13" t="str">
        <f>VLOOKUP(L714,[1]VALIDAÇÃO!$D$13:$E$350,2,0)</f>
        <v>DIRETO</v>
      </c>
      <c r="B714" s="14" t="str">
        <f t="shared" si="132"/>
        <v>120RIO AVE CARNEIROS 01 SPE LTDA.</v>
      </c>
      <c r="C714" s="15">
        <f t="shared" si="143"/>
        <v>120</v>
      </c>
      <c r="D714" s="16" t="str">
        <f t="shared" si="133"/>
        <v>120RIO AVE CARNEIROS 01 SPE LTDA.</v>
      </c>
      <c r="E714" s="17">
        <f t="shared" si="136"/>
        <v>120</v>
      </c>
      <c r="F714" s="18" t="str">
        <f t="shared" si="134"/>
        <v>135RIO AVE CARNEIROS 01 SPE LTDA.</v>
      </c>
      <c r="G714" s="18">
        <f t="shared" si="137"/>
        <v>135</v>
      </c>
      <c r="H714" s="19" t="str">
        <f t="shared" si="135"/>
        <v>86RIO AVE CARNEIROS 01 SPE LTDA.</v>
      </c>
      <c r="I714" s="19">
        <f t="shared" si="138"/>
        <v>86</v>
      </c>
      <c r="J714" s="30" t="s">
        <v>61</v>
      </c>
      <c r="K714" s="30" t="s">
        <v>844</v>
      </c>
      <c r="L714" s="30" t="s">
        <v>54</v>
      </c>
      <c r="M714" s="30" t="s">
        <v>55</v>
      </c>
      <c r="N714" s="33">
        <v>693.55</v>
      </c>
      <c r="O714" s="30">
        <v>1622.13</v>
      </c>
      <c r="P714" s="29">
        <v>45817</v>
      </c>
      <c r="Q714" s="30"/>
      <c r="R714" s="30">
        <v>1622.13</v>
      </c>
      <c r="S714" s="30"/>
      <c r="T714" s="30"/>
      <c r="U714" s="30"/>
      <c r="V714" s="30"/>
      <c r="W714" s="30"/>
      <c r="X714" s="30"/>
      <c r="Y714" s="30"/>
      <c r="Z714" s="30"/>
      <c r="AA714" s="30">
        <v>0.05</v>
      </c>
      <c r="AB714" s="30"/>
      <c r="AC714" s="30"/>
      <c r="AD714" s="30">
        <v>5.83</v>
      </c>
      <c r="AE714" s="30">
        <v>54.528571428571425</v>
      </c>
      <c r="AF714" s="30"/>
      <c r="AG714" s="30"/>
      <c r="AH714" s="30">
        <v>0.27</v>
      </c>
      <c r="AI714" s="30">
        <v>0</v>
      </c>
      <c r="AJ714" s="25">
        <v>76.679999999999993</v>
      </c>
      <c r="AK714" s="30">
        <v>14.81</v>
      </c>
      <c r="AL714" s="30">
        <v>-8.2899999999999991</v>
      </c>
      <c r="AM714" s="30">
        <v>63</v>
      </c>
      <c r="AN714" s="30">
        <v>-57.93</v>
      </c>
      <c r="AO714" s="30">
        <v>1</v>
      </c>
      <c r="AP714" s="30"/>
      <c r="AQ714" s="30"/>
      <c r="AR714" s="30">
        <v>1</v>
      </c>
      <c r="AS714" s="30">
        <v>-785.2</v>
      </c>
      <c r="AT714" s="30">
        <v>-57.93</v>
      </c>
      <c r="AU714" s="30">
        <v>1</v>
      </c>
      <c r="AW714" s="27">
        <f t="shared" si="139"/>
        <v>76.680713999999995</v>
      </c>
      <c r="AX714" s="27">
        <f t="shared" si="140"/>
        <v>5.8307140000000004</v>
      </c>
      <c r="AY714" s="27">
        <f t="shared" si="141"/>
        <v>7.1400000000000001E-4</v>
      </c>
      <c r="AZ714" s="27">
        <f t="shared" si="142"/>
        <v>7.1400000000000001E-4</v>
      </c>
    </row>
    <row r="715" spans="1:52" ht="15" customHeight="1" x14ac:dyDescent="0.25">
      <c r="A715" s="13" t="str">
        <f>VLOOKUP(L715,[1]VALIDAÇÃO!$D$13:$E$350,2,0)</f>
        <v>INDIRETO</v>
      </c>
      <c r="B715" s="14" t="str">
        <f t="shared" si="132"/>
        <v>73RESERVA DO PAIVA SPE 01 LTDA.</v>
      </c>
      <c r="C715" s="15">
        <f t="shared" si="143"/>
        <v>73</v>
      </c>
      <c r="D715" s="16" t="str">
        <f t="shared" si="133"/>
        <v>4RESERVA DO PAIVA SPE 01 LTDA.</v>
      </c>
      <c r="E715" s="17">
        <f t="shared" si="136"/>
        <v>4</v>
      </c>
      <c r="F715" s="18" t="str">
        <f t="shared" si="134"/>
        <v>7RESERVA DO PAIVA SPE 01 LTDA.</v>
      </c>
      <c r="G715" s="18">
        <f t="shared" si="137"/>
        <v>7</v>
      </c>
      <c r="H715" s="19" t="str">
        <f t="shared" si="135"/>
        <v>5RESERVA DO PAIVA SPE 01 LTDA.</v>
      </c>
      <c r="I715" s="19">
        <f t="shared" si="138"/>
        <v>5</v>
      </c>
      <c r="J715" s="30" t="s">
        <v>68</v>
      </c>
      <c r="K715" s="30" t="s">
        <v>845</v>
      </c>
      <c r="L715" s="30" t="s">
        <v>141</v>
      </c>
      <c r="M715" s="30" t="s">
        <v>85</v>
      </c>
      <c r="N715" s="33">
        <v>1734.67</v>
      </c>
      <c r="O715" s="30">
        <v>2428.5300000000002</v>
      </c>
      <c r="P715" s="29">
        <v>44998</v>
      </c>
      <c r="Q715" s="29"/>
      <c r="R715" s="30">
        <v>2428.5300000000002</v>
      </c>
      <c r="S715" s="30"/>
      <c r="T715" s="30"/>
      <c r="U715" s="30"/>
      <c r="V715" s="30"/>
      <c r="W715" s="30"/>
      <c r="X715" s="30"/>
      <c r="Y715" s="30"/>
      <c r="Z715" s="30"/>
      <c r="AA715" s="30"/>
      <c r="AB715" s="30">
        <v>564.30999999999995</v>
      </c>
      <c r="AC715" s="30">
        <v>1262.9933333333333</v>
      </c>
      <c r="AD715" s="30">
        <v>1205.5</v>
      </c>
      <c r="AE715" s="30">
        <v>2698.0333333333333</v>
      </c>
      <c r="AF715" s="30"/>
      <c r="AG715" s="30"/>
      <c r="AH715" s="30"/>
      <c r="AI715" s="30"/>
      <c r="AJ715" s="25"/>
      <c r="AK715" s="30"/>
      <c r="AL715" s="30"/>
      <c r="AM715" s="30"/>
      <c r="AN715" s="30"/>
      <c r="AO715" s="30"/>
      <c r="AP715" s="30">
        <v>1009.45</v>
      </c>
      <c r="AQ715" s="30">
        <v>1920.3500000000001</v>
      </c>
      <c r="AR715" s="30">
        <v>526.24</v>
      </c>
      <c r="AS715" s="30">
        <v>-1387.73</v>
      </c>
      <c r="AT715" s="30"/>
      <c r="AU715" s="30"/>
      <c r="AW715" s="27">
        <f t="shared" si="139"/>
        <v>7.1500000000000003E-4</v>
      </c>
      <c r="AX715" s="27">
        <f t="shared" si="140"/>
        <v>1205.5007149999999</v>
      </c>
      <c r="AY715" s="27">
        <f t="shared" si="141"/>
        <v>564.31071499999996</v>
      </c>
      <c r="AZ715" s="27">
        <f t="shared" si="142"/>
        <v>1009.4507150000001</v>
      </c>
    </row>
    <row r="716" spans="1:52" ht="15" customHeight="1" x14ac:dyDescent="0.25">
      <c r="A716" s="13" t="str">
        <f>VLOOKUP(L716,[1]VALIDAÇÃO!$D$13:$E$350,2,0)</f>
        <v>DIRETO</v>
      </c>
      <c r="B716" s="14" t="str">
        <f t="shared" si="132"/>
        <v>74RESERVA DO PAIVA SPE 03 LTDA</v>
      </c>
      <c r="C716" s="15">
        <f t="shared" si="143"/>
        <v>74</v>
      </c>
      <c r="D716" s="16" t="str">
        <f t="shared" si="133"/>
        <v>76RESERVA DO PAIVA SPE 03 LTDA</v>
      </c>
      <c r="E716" s="17">
        <f t="shared" si="136"/>
        <v>76</v>
      </c>
      <c r="F716" s="18" t="str">
        <f t="shared" si="134"/>
        <v>24RESERVA DO PAIVA SPE 03 LTDA</v>
      </c>
      <c r="G716" s="18">
        <f t="shared" si="137"/>
        <v>24</v>
      </c>
      <c r="H716" s="19" t="str">
        <f t="shared" si="135"/>
        <v>37RESERVA DO PAIVA SPE 03 LTDA</v>
      </c>
      <c r="I716" s="19">
        <f t="shared" si="138"/>
        <v>37</v>
      </c>
      <c r="J716" s="30" t="s">
        <v>52</v>
      </c>
      <c r="K716" s="30" t="s">
        <v>846</v>
      </c>
      <c r="L716" s="30" t="s">
        <v>54</v>
      </c>
      <c r="M716" s="30" t="s">
        <v>55</v>
      </c>
      <c r="N716" s="33">
        <v>1257.67</v>
      </c>
      <c r="O716" s="30">
        <v>1622.13</v>
      </c>
      <c r="P716" s="29">
        <v>45887</v>
      </c>
      <c r="Q716" s="30"/>
      <c r="R716" s="30">
        <v>1622.13</v>
      </c>
      <c r="S716" s="30"/>
      <c r="T716" s="30"/>
      <c r="U716" s="30"/>
      <c r="V716" s="30"/>
      <c r="W716" s="30"/>
      <c r="X716" s="30"/>
      <c r="Y716" s="30"/>
      <c r="Z716" s="30"/>
      <c r="AA716" s="30">
        <v>4.25</v>
      </c>
      <c r="AB716" s="30">
        <v>294.02999999999997</v>
      </c>
      <c r="AC716" s="30">
        <v>2038.3571428571429</v>
      </c>
      <c r="AD716" s="30">
        <v>194.41</v>
      </c>
      <c r="AE716" s="30">
        <v>2312.1428571428569</v>
      </c>
      <c r="AF716" s="30"/>
      <c r="AG716" s="30"/>
      <c r="AH716" s="30">
        <v>19.119999999999997</v>
      </c>
      <c r="AI716" s="30">
        <v>0</v>
      </c>
      <c r="AJ716" s="25">
        <v>180.22</v>
      </c>
      <c r="AK716" s="30">
        <v>39.619999999999997</v>
      </c>
      <c r="AL716" s="30"/>
      <c r="AM716" s="30"/>
      <c r="AN716" s="30"/>
      <c r="AO716" s="30"/>
      <c r="AP716" s="30">
        <v>172.66</v>
      </c>
      <c r="AQ716" s="30">
        <v>1022.4285714285714</v>
      </c>
      <c r="AR716" s="30">
        <v>148.70999999999998</v>
      </c>
      <c r="AS716" s="30">
        <v>-695.2</v>
      </c>
      <c r="AT716" s="30"/>
      <c r="AU716" s="30"/>
      <c r="AW716" s="27">
        <f t="shared" si="139"/>
        <v>180.22071600000001</v>
      </c>
      <c r="AX716" s="27">
        <f t="shared" si="140"/>
        <v>194.41071600000001</v>
      </c>
      <c r="AY716" s="27">
        <f t="shared" si="141"/>
        <v>294.03071599999998</v>
      </c>
      <c r="AZ716" s="27">
        <f t="shared" si="142"/>
        <v>172.66071600000001</v>
      </c>
    </row>
    <row r="717" spans="1:52" ht="15" customHeight="1" x14ac:dyDescent="0.25">
      <c r="A717" s="13" t="str">
        <f>VLOOKUP(L717,[1]VALIDAÇÃO!$D$13:$E$350,2,0)</f>
        <v>DIRETO</v>
      </c>
      <c r="B717" s="14" t="str">
        <f t="shared" si="132"/>
        <v>105RIO AVE CARNEIROS 01 SPE LTDA.</v>
      </c>
      <c r="C717" s="15">
        <f t="shared" si="143"/>
        <v>105</v>
      </c>
      <c r="D717" s="16" t="str">
        <f t="shared" si="133"/>
        <v>100RIO AVE CARNEIROS 01 SPE LTDA.</v>
      </c>
      <c r="E717" s="17">
        <f t="shared" si="136"/>
        <v>100</v>
      </c>
      <c r="F717" s="18" t="str">
        <f t="shared" si="134"/>
        <v>78RIO AVE CARNEIROS 01 SPE LTDA.</v>
      </c>
      <c r="G717" s="18">
        <f t="shared" si="137"/>
        <v>78</v>
      </c>
      <c r="H717" s="19" t="str">
        <f t="shared" si="135"/>
        <v>75RIO AVE CARNEIROS 01 SPE LTDA.</v>
      </c>
      <c r="I717" s="19">
        <f t="shared" si="138"/>
        <v>75</v>
      </c>
      <c r="J717" s="30" t="s">
        <v>61</v>
      </c>
      <c r="K717" s="30" t="s">
        <v>847</v>
      </c>
      <c r="L717" s="30" t="s">
        <v>54</v>
      </c>
      <c r="M717" s="30" t="s">
        <v>55</v>
      </c>
      <c r="N717" s="33">
        <v>693.44</v>
      </c>
      <c r="O717" s="30">
        <v>1622.13</v>
      </c>
      <c r="P717" s="29">
        <v>45733</v>
      </c>
      <c r="Q717" s="29"/>
      <c r="R717" s="30">
        <v>1622.13</v>
      </c>
      <c r="S717" s="30"/>
      <c r="T717" s="30"/>
      <c r="U717" s="30"/>
      <c r="V717" s="30"/>
      <c r="W717" s="30"/>
      <c r="X717" s="30"/>
      <c r="Y717" s="30"/>
      <c r="Z717" s="30"/>
      <c r="AA717" s="30">
        <v>1.21</v>
      </c>
      <c r="AB717" s="30">
        <v>73.56</v>
      </c>
      <c r="AC717" s="30">
        <v>503.01428571428573</v>
      </c>
      <c r="AD717" s="30">
        <v>24.6</v>
      </c>
      <c r="AE717" s="30">
        <v>160.24285714285713</v>
      </c>
      <c r="AF717" s="30"/>
      <c r="AG717" s="30"/>
      <c r="AH717" s="30">
        <v>4.8099999999999996</v>
      </c>
      <c r="AI717" s="30">
        <v>0</v>
      </c>
      <c r="AJ717" s="25">
        <v>174.77</v>
      </c>
      <c r="AK717" s="30">
        <v>40.15</v>
      </c>
      <c r="AL717" s="30">
        <v>-28.97</v>
      </c>
      <c r="AM717" s="30">
        <v>220</v>
      </c>
      <c r="AN717" s="30"/>
      <c r="AO717" s="30"/>
      <c r="AP717" s="30">
        <v>13.08</v>
      </c>
      <c r="AQ717" s="30">
        <v>76.028571428571425</v>
      </c>
      <c r="AR717" s="30">
        <v>25.95</v>
      </c>
      <c r="AS717" s="30">
        <v>-695.2</v>
      </c>
      <c r="AT717" s="30"/>
      <c r="AU717" s="30"/>
      <c r="AW717" s="27">
        <f t="shared" si="139"/>
        <v>174.77071700000002</v>
      </c>
      <c r="AX717" s="27">
        <f t="shared" si="140"/>
        <v>24.600717000000003</v>
      </c>
      <c r="AY717" s="27">
        <f t="shared" si="141"/>
        <v>73.560716999999997</v>
      </c>
      <c r="AZ717" s="27">
        <f t="shared" si="142"/>
        <v>13.080717</v>
      </c>
    </row>
    <row r="718" spans="1:52" ht="15" customHeight="1" x14ac:dyDescent="0.25">
      <c r="A718" s="13" t="str">
        <f>VLOOKUP(L718,[1]VALIDAÇÃO!$D$13:$E$350,2,0)</f>
        <v>DIRETO</v>
      </c>
      <c r="B718" s="14" t="str">
        <f t="shared" si="132"/>
        <v>111RIO AVE CARNEIROS 01 SPE LTDA.</v>
      </c>
      <c r="C718" s="15">
        <f t="shared" si="143"/>
        <v>111</v>
      </c>
      <c r="D718" s="16" t="str">
        <f t="shared" si="133"/>
        <v>14RIO AVE CARNEIROS 01 SPE LTDA.</v>
      </c>
      <c r="E718" s="17">
        <f t="shared" si="136"/>
        <v>14</v>
      </c>
      <c r="F718" s="18" t="str">
        <f t="shared" si="134"/>
        <v>62RIO AVE CARNEIROS 01 SPE LTDA.</v>
      </c>
      <c r="G718" s="18">
        <f t="shared" si="137"/>
        <v>62</v>
      </c>
      <c r="H718" s="19" t="str">
        <f t="shared" si="135"/>
        <v>19RIO AVE CARNEIROS 01 SPE LTDA.</v>
      </c>
      <c r="I718" s="19">
        <f t="shared" si="138"/>
        <v>19</v>
      </c>
      <c r="J718" s="30" t="s">
        <v>61</v>
      </c>
      <c r="K718" s="30" t="s">
        <v>848</v>
      </c>
      <c r="L718" s="30" t="s">
        <v>54</v>
      </c>
      <c r="M718" s="30" t="s">
        <v>55</v>
      </c>
      <c r="N718" s="33">
        <v>835.02</v>
      </c>
      <c r="O718" s="30">
        <v>1622.13</v>
      </c>
      <c r="P718" s="29">
        <v>45782</v>
      </c>
      <c r="Q718" s="29"/>
      <c r="R718" s="30">
        <v>1622.13</v>
      </c>
      <c r="S718" s="30"/>
      <c r="T718" s="30"/>
      <c r="U718" s="30"/>
      <c r="V718" s="30"/>
      <c r="W718" s="30"/>
      <c r="X718" s="30"/>
      <c r="Y718" s="30"/>
      <c r="Z718" s="30"/>
      <c r="AA718" s="30">
        <v>4.4399999999999995</v>
      </c>
      <c r="AB718" s="30">
        <v>95.16</v>
      </c>
      <c r="AC718" s="30">
        <v>792.24285714285725</v>
      </c>
      <c r="AD718" s="30">
        <v>507.37</v>
      </c>
      <c r="AE718" s="30">
        <v>3210.9571428571426</v>
      </c>
      <c r="AF718" s="30"/>
      <c r="AG718" s="30"/>
      <c r="AH718" s="30">
        <v>19.7</v>
      </c>
      <c r="AI718" s="30">
        <v>0</v>
      </c>
      <c r="AJ718" s="25">
        <v>150.03</v>
      </c>
      <c r="AK718" s="30">
        <v>33.36</v>
      </c>
      <c r="AL718" s="30"/>
      <c r="AM718" s="30"/>
      <c r="AN718" s="30">
        <v>-115.87</v>
      </c>
      <c r="AO718" s="30">
        <v>2</v>
      </c>
      <c r="AP718" s="30">
        <v>56.1</v>
      </c>
      <c r="AQ718" s="30">
        <v>396.94285714285718</v>
      </c>
      <c r="AR718" s="30">
        <v>146.63</v>
      </c>
      <c r="AS718" s="30">
        <v>-735.2</v>
      </c>
      <c r="AT718" s="30">
        <v>-115.87</v>
      </c>
      <c r="AU718" s="30">
        <v>2</v>
      </c>
      <c r="AW718" s="27">
        <f t="shared" si="139"/>
        <v>150.03071800000001</v>
      </c>
      <c r="AX718" s="27">
        <f t="shared" si="140"/>
        <v>507.37071800000001</v>
      </c>
      <c r="AY718" s="27">
        <f t="shared" si="141"/>
        <v>95.160718000000003</v>
      </c>
      <c r="AZ718" s="27">
        <f t="shared" si="142"/>
        <v>56.100718000000001</v>
      </c>
    </row>
    <row r="719" spans="1:52" ht="15" customHeight="1" x14ac:dyDescent="0.25">
      <c r="A719" s="13" t="str">
        <f>VLOOKUP(L719,[1]VALIDAÇÃO!$D$13:$E$350,2,0)</f>
        <v>DIRETO</v>
      </c>
      <c r="B719" s="14" t="str">
        <f t="shared" si="132"/>
        <v>122RIO AVE CARNEIROS 01 SPE LTDA.</v>
      </c>
      <c r="C719" s="15">
        <f t="shared" si="143"/>
        <v>122</v>
      </c>
      <c r="D719" s="16" t="str">
        <f t="shared" si="133"/>
        <v>109RIO AVE CARNEIROS 01 SPE LTDA.</v>
      </c>
      <c r="E719" s="17">
        <f t="shared" si="136"/>
        <v>109</v>
      </c>
      <c r="F719" s="18" t="str">
        <f t="shared" si="134"/>
        <v>110RIO AVE CARNEIROS 01 SPE LTDA.</v>
      </c>
      <c r="G719" s="18">
        <f t="shared" si="137"/>
        <v>110</v>
      </c>
      <c r="H719" s="19" t="str">
        <f t="shared" si="135"/>
        <v>85RIO AVE CARNEIROS 01 SPE LTDA.</v>
      </c>
      <c r="I719" s="19">
        <f t="shared" si="138"/>
        <v>85</v>
      </c>
      <c r="J719" s="30" t="s">
        <v>61</v>
      </c>
      <c r="K719" s="30" t="s">
        <v>849</v>
      </c>
      <c r="L719" s="30" t="s">
        <v>54</v>
      </c>
      <c r="M719" s="30" t="s">
        <v>55</v>
      </c>
      <c r="N719" s="33">
        <v>0</v>
      </c>
      <c r="O719" s="30"/>
      <c r="P719" s="29">
        <v>45828</v>
      </c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>
        <v>0.54</v>
      </c>
      <c r="AB719" s="30">
        <v>24.01</v>
      </c>
      <c r="AC719" s="30">
        <v>321.83</v>
      </c>
      <c r="AD719" s="30">
        <v>13.06</v>
      </c>
      <c r="AE719" s="30">
        <v>175</v>
      </c>
      <c r="AF719" s="30"/>
      <c r="AG719" s="30"/>
      <c r="AH719" s="30">
        <v>2.57</v>
      </c>
      <c r="AI719" s="30">
        <v>0</v>
      </c>
      <c r="AJ719" s="25">
        <v>53.62</v>
      </c>
      <c r="AK719" s="30">
        <v>10.81</v>
      </c>
      <c r="AL719" s="30"/>
      <c r="AM719" s="30"/>
      <c r="AN719" s="30"/>
      <c r="AO719" s="30"/>
      <c r="AP719" s="30"/>
      <c r="AQ719" s="30"/>
      <c r="AR719" s="30">
        <v>7.57</v>
      </c>
      <c r="AS719" s="30"/>
      <c r="AT719" s="30"/>
      <c r="AU719" s="30"/>
      <c r="AW719" s="27">
        <f t="shared" si="139"/>
        <v>53.620718999999994</v>
      </c>
      <c r="AX719" s="27">
        <f t="shared" si="140"/>
        <v>13.060719000000001</v>
      </c>
      <c r="AY719" s="27">
        <f t="shared" si="141"/>
        <v>24.010719000000002</v>
      </c>
      <c r="AZ719" s="27">
        <f t="shared" si="142"/>
        <v>7.1900000000000002E-4</v>
      </c>
    </row>
    <row r="720" spans="1:52" ht="15" customHeight="1" x14ac:dyDescent="0.25">
      <c r="A720" s="13" t="str">
        <f>VLOOKUP(L720,[1]VALIDAÇÃO!$D$13:$E$350,2,0)</f>
        <v>DIRETO</v>
      </c>
      <c r="B720" s="14" t="str">
        <f t="shared" si="132"/>
        <v>20RIO AVE 200 SPE LTDA.</v>
      </c>
      <c r="C720" s="15">
        <f t="shared" si="143"/>
        <v>20</v>
      </c>
      <c r="D720" s="16" t="str">
        <f t="shared" si="133"/>
        <v>25RIO AVE 200 SPE LTDA.</v>
      </c>
      <c r="E720" s="17">
        <f t="shared" si="136"/>
        <v>25</v>
      </c>
      <c r="F720" s="18" t="str">
        <f t="shared" si="134"/>
        <v>13RIO AVE 200 SPE LTDA.</v>
      </c>
      <c r="G720" s="18">
        <f t="shared" si="137"/>
        <v>13</v>
      </c>
      <c r="H720" s="19" t="str">
        <f t="shared" si="135"/>
        <v>13RIO AVE 200 SPE LTDA.</v>
      </c>
      <c r="I720" s="19">
        <f t="shared" si="138"/>
        <v>13</v>
      </c>
      <c r="J720" s="30" t="s">
        <v>48</v>
      </c>
      <c r="K720" s="30" t="s">
        <v>850</v>
      </c>
      <c r="L720" s="30" t="s">
        <v>59</v>
      </c>
      <c r="M720" s="30" t="s">
        <v>55</v>
      </c>
      <c r="N720" s="33">
        <v>1568.69</v>
      </c>
      <c r="O720" s="30">
        <v>2156</v>
      </c>
      <c r="P720" s="29">
        <v>45820</v>
      </c>
      <c r="Q720" s="29"/>
      <c r="R720" s="30">
        <v>2156</v>
      </c>
      <c r="S720" s="30"/>
      <c r="T720" s="30"/>
      <c r="U720" s="30"/>
      <c r="V720" s="30"/>
      <c r="W720" s="30"/>
      <c r="X720" s="30"/>
      <c r="Y720" s="30"/>
      <c r="Z720" s="30"/>
      <c r="AA720" s="30">
        <v>4.71</v>
      </c>
      <c r="AB720" s="30">
        <v>127.36</v>
      </c>
      <c r="AC720" s="30">
        <v>895</v>
      </c>
      <c r="AD720" s="30">
        <v>145.43</v>
      </c>
      <c r="AE720" s="30">
        <v>659.85714285714289</v>
      </c>
      <c r="AF720" s="30"/>
      <c r="AG720" s="30"/>
      <c r="AH720" s="30">
        <v>23.35</v>
      </c>
      <c r="AI720" s="30">
        <v>0</v>
      </c>
      <c r="AJ720" s="25">
        <v>884.11</v>
      </c>
      <c r="AK720" s="30">
        <v>190.97</v>
      </c>
      <c r="AL720" s="30"/>
      <c r="AM720" s="30"/>
      <c r="AN720" s="30"/>
      <c r="AO720" s="30"/>
      <c r="AP720" s="30">
        <v>21.12</v>
      </c>
      <c r="AQ720" s="30">
        <v>126.18571428571428</v>
      </c>
      <c r="AR720" s="30">
        <v>58.83</v>
      </c>
      <c r="AS720" s="30">
        <v>-924</v>
      </c>
      <c r="AT720" s="30"/>
      <c r="AU720" s="30"/>
      <c r="AW720" s="27">
        <f t="shared" si="139"/>
        <v>884.11072000000001</v>
      </c>
      <c r="AX720" s="27">
        <f t="shared" si="140"/>
        <v>145.43072000000001</v>
      </c>
      <c r="AY720" s="27">
        <f t="shared" si="141"/>
        <v>127.36072</v>
      </c>
      <c r="AZ720" s="27">
        <f t="shared" si="142"/>
        <v>21.120720000000002</v>
      </c>
    </row>
    <row r="721" spans="1:52" ht="15" customHeight="1" x14ac:dyDescent="0.25">
      <c r="A721" s="13" t="str">
        <f>VLOOKUP(L721,[1]VALIDAÇÃO!$D$13:$E$350,2,0)</f>
        <v>DIRETO</v>
      </c>
      <c r="B721" s="14" t="str">
        <f t="shared" si="132"/>
        <v>28RIO AVE 200 SPE LTDA.</v>
      </c>
      <c r="C721" s="15">
        <f t="shared" si="143"/>
        <v>28</v>
      </c>
      <c r="D721" s="16" t="str">
        <f t="shared" si="133"/>
        <v>9RIO AVE 200 SPE LTDA.</v>
      </c>
      <c r="E721" s="17">
        <f t="shared" si="136"/>
        <v>9</v>
      </c>
      <c r="F721" s="18" t="str">
        <f t="shared" si="134"/>
        <v>8RIO AVE 200 SPE LTDA.</v>
      </c>
      <c r="G721" s="18">
        <f t="shared" si="137"/>
        <v>8</v>
      </c>
      <c r="H721" s="19" t="str">
        <f t="shared" si="135"/>
        <v>7RIO AVE 200 SPE LTDA.</v>
      </c>
      <c r="I721" s="19">
        <f t="shared" si="138"/>
        <v>7</v>
      </c>
      <c r="J721" s="30" t="s">
        <v>48</v>
      </c>
      <c r="K721" s="30" t="s">
        <v>851</v>
      </c>
      <c r="L721" s="30" t="s">
        <v>54</v>
      </c>
      <c r="M721" s="30" t="s">
        <v>55</v>
      </c>
      <c r="N721" s="33">
        <v>1885.01</v>
      </c>
      <c r="O721" s="30">
        <v>1622.13</v>
      </c>
      <c r="P721" s="29">
        <v>45783</v>
      </c>
      <c r="Q721" s="30"/>
      <c r="R721" s="30">
        <v>1622.13</v>
      </c>
      <c r="S721" s="30"/>
      <c r="T721" s="30"/>
      <c r="U721" s="30"/>
      <c r="V721" s="30"/>
      <c r="W721" s="30">
        <v>0.02</v>
      </c>
      <c r="X721" s="30">
        <v>1.1399999999999999</v>
      </c>
      <c r="Y721" s="30"/>
      <c r="Z721" s="30"/>
      <c r="AA721" s="30">
        <v>11.84</v>
      </c>
      <c r="AB721" s="30">
        <v>169.79</v>
      </c>
      <c r="AC721" s="30">
        <v>1102.6571428571428</v>
      </c>
      <c r="AD721" s="30">
        <v>382</v>
      </c>
      <c r="AE721" s="30">
        <v>2320.0857142857144</v>
      </c>
      <c r="AF721" s="30"/>
      <c r="AG721" s="30"/>
      <c r="AH721" s="30">
        <v>53.75</v>
      </c>
      <c r="AI721" s="30">
        <v>0</v>
      </c>
      <c r="AJ721" s="25">
        <v>607.83000000000004</v>
      </c>
      <c r="AK721" s="30">
        <v>132.47</v>
      </c>
      <c r="AL721" s="30"/>
      <c r="AM721" s="30"/>
      <c r="AN721" s="30"/>
      <c r="AO721" s="30"/>
      <c r="AP721" s="30">
        <v>124.55999999999999</v>
      </c>
      <c r="AQ721" s="30">
        <v>518.7714285714286</v>
      </c>
      <c r="AR721" s="30">
        <v>146.09</v>
      </c>
      <c r="AS721" s="30">
        <v>-795.2</v>
      </c>
      <c r="AT721" s="30"/>
      <c r="AU721" s="30"/>
      <c r="AW721" s="27">
        <f t="shared" si="139"/>
        <v>607.83072100000004</v>
      </c>
      <c r="AX721" s="27">
        <f t="shared" si="140"/>
        <v>382.000721</v>
      </c>
      <c r="AY721" s="27">
        <f t="shared" si="141"/>
        <v>169.79072099999999</v>
      </c>
      <c r="AZ721" s="27">
        <f t="shared" si="142"/>
        <v>124.56072099999999</v>
      </c>
    </row>
    <row r="722" spans="1:52" ht="15" customHeight="1" x14ac:dyDescent="0.25">
      <c r="A722" s="13" t="str">
        <f>VLOOKUP(L722,[1]VALIDAÇÃO!$D$13:$E$350,2,0)</f>
        <v>INDIRETO</v>
      </c>
      <c r="B722" s="14" t="str">
        <f t="shared" si="132"/>
        <v>4RIO AVE SUBHOLDING INCORPORACAO LTDA</v>
      </c>
      <c r="C722" s="15">
        <f t="shared" si="143"/>
        <v>4</v>
      </c>
      <c r="D722" s="16" t="str">
        <f t="shared" si="133"/>
        <v>6RIO AVE SUBHOLDING INCORPORACAO LTDA</v>
      </c>
      <c r="E722" s="17">
        <f t="shared" si="136"/>
        <v>6</v>
      </c>
      <c r="F722" s="18" t="str">
        <f t="shared" si="134"/>
        <v>4RIO AVE SUBHOLDING INCORPORACAO LTDA</v>
      </c>
      <c r="G722" s="18">
        <f t="shared" si="137"/>
        <v>4</v>
      </c>
      <c r="H722" s="19" t="str">
        <f t="shared" si="135"/>
        <v>2RIO AVE SUBHOLDING INCORPORACAO LTDA</v>
      </c>
      <c r="I722" s="19">
        <f t="shared" si="138"/>
        <v>2</v>
      </c>
      <c r="J722" s="30" t="s">
        <v>124</v>
      </c>
      <c r="K722" s="30" t="s">
        <v>852</v>
      </c>
      <c r="L722" s="30" t="s">
        <v>126</v>
      </c>
      <c r="M722" s="30" t="s">
        <v>127</v>
      </c>
      <c r="N722" s="33">
        <v>3277.26</v>
      </c>
      <c r="O722" s="30">
        <v>7967.12</v>
      </c>
      <c r="P722" s="29">
        <v>45524</v>
      </c>
      <c r="Q722" s="30"/>
      <c r="R722" s="30">
        <v>7967.12</v>
      </c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25"/>
      <c r="AK722" s="30"/>
      <c r="AL722" s="30"/>
      <c r="AM722" s="30"/>
      <c r="AN722" s="30"/>
      <c r="AO722" s="30"/>
      <c r="AP722" s="30"/>
      <c r="AQ722" s="30"/>
      <c r="AR722" s="30"/>
      <c r="AS722" s="30">
        <v>-3540.94</v>
      </c>
      <c r="AT722" s="30"/>
      <c r="AU722" s="30"/>
      <c r="AW722" s="27">
        <f t="shared" si="139"/>
        <v>7.2199999999999999E-4</v>
      </c>
      <c r="AX722" s="27">
        <f t="shared" si="140"/>
        <v>7.2199999999999999E-4</v>
      </c>
      <c r="AY722" s="27">
        <f t="shared" si="141"/>
        <v>7.2199999999999999E-4</v>
      </c>
      <c r="AZ722" s="27">
        <f t="shared" si="142"/>
        <v>7.2199999999999999E-4</v>
      </c>
    </row>
    <row r="723" spans="1:52" ht="15" customHeight="1" x14ac:dyDescent="0.25">
      <c r="A723" s="13" t="str">
        <f>VLOOKUP(L723,[1]VALIDAÇÃO!$D$13:$E$350,2,0)</f>
        <v>DIRETO</v>
      </c>
      <c r="B723" s="14" t="str">
        <f t="shared" si="132"/>
        <v>15RIO AVE PRAIA HOTEL SPE LTDA.</v>
      </c>
      <c r="C723" s="15">
        <f t="shared" si="143"/>
        <v>15</v>
      </c>
      <c r="D723" s="16" t="str">
        <f t="shared" si="133"/>
        <v>14RIO AVE PRAIA HOTEL SPE LTDA.</v>
      </c>
      <c r="E723" s="17">
        <f t="shared" si="136"/>
        <v>14</v>
      </c>
      <c r="F723" s="18" t="str">
        <f t="shared" si="134"/>
        <v>14RIO AVE PRAIA HOTEL SPE LTDA.</v>
      </c>
      <c r="G723" s="18">
        <f t="shared" si="137"/>
        <v>14</v>
      </c>
      <c r="H723" s="19" t="str">
        <f t="shared" si="135"/>
        <v>17RIO AVE PRAIA HOTEL SPE LTDA.</v>
      </c>
      <c r="I723" s="19">
        <f t="shared" si="138"/>
        <v>17</v>
      </c>
      <c r="J723" s="30" t="s">
        <v>80</v>
      </c>
      <c r="K723" s="30" t="s">
        <v>853</v>
      </c>
      <c r="L723" s="30" t="s">
        <v>435</v>
      </c>
      <c r="M723" s="30" t="s">
        <v>82</v>
      </c>
      <c r="N723" s="33">
        <v>1412</v>
      </c>
      <c r="O723" s="30">
        <v>2079</v>
      </c>
      <c r="P723" s="29">
        <v>45509</v>
      </c>
      <c r="Q723" s="30"/>
      <c r="R723" s="30">
        <v>2079</v>
      </c>
      <c r="S723" s="30"/>
      <c r="T723" s="30"/>
      <c r="U723" s="30"/>
      <c r="V723" s="30"/>
      <c r="W723" s="30"/>
      <c r="X723" s="30"/>
      <c r="Y723" s="30"/>
      <c r="Z723" s="30"/>
      <c r="AA723" s="30">
        <v>2.75</v>
      </c>
      <c r="AB723" s="30">
        <v>308.27</v>
      </c>
      <c r="AC723" s="30">
        <v>1191.3628571428571</v>
      </c>
      <c r="AD723" s="30">
        <v>68.170000000000016</v>
      </c>
      <c r="AE723" s="30">
        <v>245.44857142857143</v>
      </c>
      <c r="AF723" s="30"/>
      <c r="AG723" s="30"/>
      <c r="AH723" s="30">
        <v>12.72</v>
      </c>
      <c r="AI723" s="30">
        <v>0</v>
      </c>
      <c r="AJ723" s="25">
        <v>264.7</v>
      </c>
      <c r="AK723" s="30">
        <v>55.760000000000005</v>
      </c>
      <c r="AL723" s="30"/>
      <c r="AM723" s="30"/>
      <c r="AN723" s="30"/>
      <c r="AO723" s="30"/>
      <c r="AP723" s="30">
        <v>205.22000000000003</v>
      </c>
      <c r="AQ723" s="30">
        <v>613.2157142857144</v>
      </c>
      <c r="AR723" s="30">
        <v>127.88</v>
      </c>
      <c r="AS723" s="30">
        <v>-924</v>
      </c>
      <c r="AT723" s="30"/>
      <c r="AU723" s="30"/>
      <c r="AW723" s="27">
        <f t="shared" si="139"/>
        <v>264.70072299999998</v>
      </c>
      <c r="AX723" s="27">
        <f t="shared" si="140"/>
        <v>68.17072300000001</v>
      </c>
      <c r="AY723" s="27">
        <f t="shared" si="141"/>
        <v>308.27072299999998</v>
      </c>
      <c r="AZ723" s="27">
        <f t="shared" si="142"/>
        <v>205.22072300000002</v>
      </c>
    </row>
    <row r="724" spans="1:52" ht="15" customHeight="1" x14ac:dyDescent="0.25">
      <c r="A724" s="13" t="str">
        <f>VLOOKUP(L724,[1]VALIDAÇÃO!$D$13:$E$350,2,0)</f>
        <v>DIRETO</v>
      </c>
      <c r="B724" s="14" t="str">
        <f t="shared" ref="B724:B787" si="144">C724&amp;J724</f>
        <v>5RIO AVE 130 SPE LTDA</v>
      </c>
      <c r="C724" s="15">
        <f t="shared" si="143"/>
        <v>5</v>
      </c>
      <c r="D724" s="16" t="str">
        <f t="shared" ref="D724:D787" si="145">E724&amp;J724</f>
        <v>51RIO AVE 130 SPE LTDA</v>
      </c>
      <c r="E724" s="17">
        <f t="shared" si="136"/>
        <v>51</v>
      </c>
      <c r="F724" s="18" t="str">
        <f t="shared" ref="F724:F787" si="146">G724&amp;J724</f>
        <v>7RIO AVE 130 SPE LTDA</v>
      </c>
      <c r="G724" s="18">
        <f t="shared" si="137"/>
        <v>7</v>
      </c>
      <c r="H724" s="19" t="str">
        <f t="shared" ref="H724:H787" si="147">I724&amp;J724</f>
        <v>31RIO AVE 130 SPE LTDA</v>
      </c>
      <c r="I724" s="19">
        <f t="shared" si="138"/>
        <v>31</v>
      </c>
      <c r="J724" s="30" t="s">
        <v>102</v>
      </c>
      <c r="K724" s="30" t="s">
        <v>854</v>
      </c>
      <c r="L724" s="30" t="s">
        <v>131</v>
      </c>
      <c r="M724" s="30" t="s">
        <v>55</v>
      </c>
      <c r="N724" s="33">
        <v>1947.78</v>
      </c>
      <c r="O724" s="30">
        <v>2156</v>
      </c>
      <c r="P724" s="29">
        <v>45362</v>
      </c>
      <c r="Q724" s="29"/>
      <c r="R724" s="30">
        <v>2156</v>
      </c>
      <c r="S724" s="30"/>
      <c r="T724" s="30"/>
      <c r="U724" s="30"/>
      <c r="V724" s="30"/>
      <c r="W724" s="30"/>
      <c r="X724" s="30"/>
      <c r="Y724" s="30"/>
      <c r="Z724" s="30"/>
      <c r="AA724" s="30">
        <v>6.82</v>
      </c>
      <c r="AB724" s="30">
        <v>330.93000000000006</v>
      </c>
      <c r="AC724" s="30">
        <v>1145.19</v>
      </c>
      <c r="AD724" s="30">
        <v>5.15</v>
      </c>
      <c r="AE724" s="30">
        <v>17.309999999999999</v>
      </c>
      <c r="AF724" s="30"/>
      <c r="AG724" s="30"/>
      <c r="AH724" s="30">
        <v>30.02</v>
      </c>
      <c r="AI724" s="30">
        <v>0</v>
      </c>
      <c r="AJ724" s="25">
        <v>1159.6300000000001</v>
      </c>
      <c r="AK724" s="30">
        <v>255.05</v>
      </c>
      <c r="AL724" s="30"/>
      <c r="AM724" s="30"/>
      <c r="AN724" s="30"/>
      <c r="AO724" s="30"/>
      <c r="AP724" s="30">
        <v>13.809999999999999</v>
      </c>
      <c r="AQ724" s="30">
        <v>54.732857142857142</v>
      </c>
      <c r="AR724" s="30">
        <v>63.68</v>
      </c>
      <c r="AS724" s="30">
        <v>-924</v>
      </c>
      <c r="AT724" s="30"/>
      <c r="AU724" s="30"/>
      <c r="AW724" s="27">
        <f t="shared" si="139"/>
        <v>1159.6307240000001</v>
      </c>
      <c r="AX724" s="27">
        <f t="shared" si="140"/>
        <v>5.1507240000000003</v>
      </c>
      <c r="AY724" s="27">
        <f t="shared" si="141"/>
        <v>330.93072400000005</v>
      </c>
      <c r="AZ724" s="27">
        <f t="shared" si="142"/>
        <v>13.810723999999999</v>
      </c>
    </row>
    <row r="725" spans="1:52" ht="15" customHeight="1" x14ac:dyDescent="0.25">
      <c r="A725" s="13" t="str">
        <f>VLOOKUP(L725,[1]VALIDAÇÃO!$D$13:$E$350,2,0)</f>
        <v>DIRETO</v>
      </c>
      <c r="B725" s="14" t="str">
        <f t="shared" si="144"/>
        <v>22RIO AVE CARNEIROS 01 SPE LTDA.</v>
      </c>
      <c r="C725" s="15">
        <f t="shared" si="143"/>
        <v>22</v>
      </c>
      <c r="D725" s="16" t="str">
        <f t="shared" si="145"/>
        <v>146RIO AVE CARNEIROS 01 SPE LTDA.</v>
      </c>
      <c r="E725" s="17">
        <f t="shared" si="136"/>
        <v>146</v>
      </c>
      <c r="F725" s="18" t="str">
        <f t="shared" si="146"/>
        <v>134RIO AVE CARNEIROS 01 SPE LTDA.</v>
      </c>
      <c r="G725" s="18">
        <f t="shared" si="137"/>
        <v>134</v>
      </c>
      <c r="H725" s="19" t="str">
        <f t="shared" si="147"/>
        <v>84RIO AVE CARNEIROS 01 SPE LTDA.</v>
      </c>
      <c r="I725" s="19">
        <f t="shared" si="138"/>
        <v>84</v>
      </c>
      <c r="J725" s="30" t="s">
        <v>61</v>
      </c>
      <c r="K725" s="30" t="s">
        <v>855</v>
      </c>
      <c r="L725" s="30" t="s">
        <v>54</v>
      </c>
      <c r="M725" s="30" t="s">
        <v>55</v>
      </c>
      <c r="N725" s="33">
        <v>1032.03</v>
      </c>
      <c r="O725" s="30">
        <v>1622.13</v>
      </c>
      <c r="P725" s="29">
        <v>45797</v>
      </c>
      <c r="Q725" s="29"/>
      <c r="R725" s="30">
        <v>1622.13</v>
      </c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25">
        <v>650.74</v>
      </c>
      <c r="AK725" s="30">
        <v>141.99</v>
      </c>
      <c r="AL725" s="30">
        <v>-46.74</v>
      </c>
      <c r="AM725" s="30">
        <v>355</v>
      </c>
      <c r="AN725" s="30">
        <v>-57.93</v>
      </c>
      <c r="AO725" s="30">
        <v>1</v>
      </c>
      <c r="AP725" s="30"/>
      <c r="AQ725" s="30"/>
      <c r="AR725" s="30"/>
      <c r="AS725" s="30">
        <v>-695.2</v>
      </c>
      <c r="AT725" s="30">
        <v>-115.87</v>
      </c>
      <c r="AU725" s="30">
        <v>2</v>
      </c>
      <c r="AW725" s="27">
        <f t="shared" si="139"/>
        <v>650.740725</v>
      </c>
      <c r="AX725" s="27">
        <f t="shared" si="140"/>
        <v>7.2499999999999995E-4</v>
      </c>
      <c r="AY725" s="27">
        <f t="shared" si="141"/>
        <v>7.2499999999999995E-4</v>
      </c>
      <c r="AZ725" s="27">
        <f t="shared" si="142"/>
        <v>7.2499999999999995E-4</v>
      </c>
    </row>
    <row r="726" spans="1:52" ht="15" customHeight="1" x14ac:dyDescent="0.25">
      <c r="A726" s="13" t="str">
        <f>VLOOKUP(L726,[1]VALIDAÇÃO!$D$13:$E$350,2,0)</f>
        <v>DIRETO</v>
      </c>
      <c r="B726" s="14" t="str">
        <f t="shared" si="144"/>
        <v>106RIO AVE CARNEIROS 01 SPE LTDA.</v>
      </c>
      <c r="C726" s="15">
        <f t="shared" si="143"/>
        <v>106</v>
      </c>
      <c r="D726" s="16" t="str">
        <f t="shared" si="145"/>
        <v>18RIO AVE CARNEIROS 01 SPE LTDA.</v>
      </c>
      <c r="E726" s="17">
        <f t="shared" si="136"/>
        <v>18</v>
      </c>
      <c r="F726" s="18" t="str">
        <f t="shared" si="146"/>
        <v>18RIO AVE CARNEIROS 01 SPE LTDA.</v>
      </c>
      <c r="G726" s="18">
        <f t="shared" si="137"/>
        <v>18</v>
      </c>
      <c r="H726" s="19" t="str">
        <f t="shared" si="147"/>
        <v>55RIO AVE CARNEIROS 01 SPE LTDA.</v>
      </c>
      <c r="I726" s="19">
        <f t="shared" si="138"/>
        <v>55</v>
      </c>
      <c r="J726" s="30" t="s">
        <v>61</v>
      </c>
      <c r="K726" s="30" t="s">
        <v>856</v>
      </c>
      <c r="L726" s="30" t="s">
        <v>54</v>
      </c>
      <c r="M726" s="30" t="s">
        <v>55</v>
      </c>
      <c r="N726" s="33">
        <v>1117.72</v>
      </c>
      <c r="O726" s="30">
        <v>1622.13</v>
      </c>
      <c r="P726" s="29">
        <v>45782</v>
      </c>
      <c r="Q726" s="30"/>
      <c r="R726" s="30">
        <v>1622.13</v>
      </c>
      <c r="S726" s="30"/>
      <c r="T726" s="30"/>
      <c r="U726" s="30"/>
      <c r="V726" s="30"/>
      <c r="W726" s="30"/>
      <c r="X726" s="30"/>
      <c r="Y726" s="30"/>
      <c r="Z726" s="30"/>
      <c r="AA726" s="30">
        <v>4.3100000000000005</v>
      </c>
      <c r="AB726" s="30">
        <v>194.57999999999998</v>
      </c>
      <c r="AC726" s="30">
        <v>1236.4428571428571</v>
      </c>
      <c r="AD726" s="30">
        <v>426.48</v>
      </c>
      <c r="AE726" s="30">
        <v>2671.4714285714285</v>
      </c>
      <c r="AF726" s="30"/>
      <c r="AG726" s="30"/>
      <c r="AH726" s="30">
        <v>19.010000000000002</v>
      </c>
      <c r="AI726" s="30">
        <v>0</v>
      </c>
      <c r="AJ726" s="25">
        <v>172.82999999999998</v>
      </c>
      <c r="AK726" s="30">
        <v>38.31</v>
      </c>
      <c r="AL726" s="30"/>
      <c r="AM726" s="30"/>
      <c r="AN726" s="30"/>
      <c r="AO726" s="30"/>
      <c r="AP726" s="30">
        <v>27.75</v>
      </c>
      <c r="AQ726" s="30">
        <v>196.32857142857142</v>
      </c>
      <c r="AR726" s="30">
        <v>144.44999999999999</v>
      </c>
      <c r="AS726" s="30">
        <v>-735.2</v>
      </c>
      <c r="AT726" s="30"/>
      <c r="AU726" s="30"/>
      <c r="AW726" s="27">
        <f t="shared" si="139"/>
        <v>172.83072599999997</v>
      </c>
      <c r="AX726" s="27">
        <f t="shared" si="140"/>
        <v>426.480726</v>
      </c>
      <c r="AY726" s="27">
        <f t="shared" si="141"/>
        <v>194.58072599999997</v>
      </c>
      <c r="AZ726" s="27">
        <f t="shared" si="142"/>
        <v>27.750726</v>
      </c>
    </row>
    <row r="727" spans="1:52" ht="15" customHeight="1" x14ac:dyDescent="0.25">
      <c r="A727" s="13" t="str">
        <f>VLOOKUP(L727,[1]VALIDAÇÃO!$D$13:$E$350,2,0)</f>
        <v>DIRETO</v>
      </c>
      <c r="B727" s="14" t="str">
        <f t="shared" si="144"/>
        <v>18RIO AVE 200 SPE LTDA.</v>
      </c>
      <c r="C727" s="15">
        <f t="shared" si="143"/>
        <v>18</v>
      </c>
      <c r="D727" s="16" t="str">
        <f t="shared" si="145"/>
        <v>48RIO AVE 200 SPE LTDA.</v>
      </c>
      <c r="E727" s="17">
        <f t="shared" si="136"/>
        <v>48</v>
      </c>
      <c r="F727" s="18" t="str">
        <f t="shared" si="146"/>
        <v>48RIO AVE 200 SPE LTDA.</v>
      </c>
      <c r="G727" s="18">
        <f t="shared" si="137"/>
        <v>48</v>
      </c>
      <c r="H727" s="19" t="str">
        <f t="shared" si="147"/>
        <v>19RIO AVE 200 SPE LTDA.</v>
      </c>
      <c r="I727" s="19">
        <f t="shared" si="138"/>
        <v>19</v>
      </c>
      <c r="J727" s="30" t="s">
        <v>48</v>
      </c>
      <c r="K727" s="30" t="s">
        <v>857</v>
      </c>
      <c r="L727" s="30" t="s">
        <v>66</v>
      </c>
      <c r="M727" s="30" t="s">
        <v>55</v>
      </c>
      <c r="N727" s="33">
        <v>1737.57</v>
      </c>
      <c r="O727" s="30">
        <v>2156</v>
      </c>
      <c r="P727" s="29">
        <v>45811</v>
      </c>
      <c r="Q727" s="30"/>
      <c r="R727" s="30">
        <v>2156</v>
      </c>
      <c r="S727" s="30"/>
      <c r="T727" s="30"/>
      <c r="U727" s="30"/>
      <c r="V727" s="30"/>
      <c r="W727" s="30"/>
      <c r="X727" s="30"/>
      <c r="Y727" s="30"/>
      <c r="Z727" s="30"/>
      <c r="AA727" s="30">
        <v>1.47</v>
      </c>
      <c r="AB727" s="30"/>
      <c r="AC727" s="30"/>
      <c r="AD727" s="30">
        <v>75.13000000000001</v>
      </c>
      <c r="AE727" s="30">
        <v>355.61428571428576</v>
      </c>
      <c r="AF727" s="30"/>
      <c r="AG727" s="30"/>
      <c r="AH727" s="30">
        <v>6.6400000000000006</v>
      </c>
      <c r="AI727" s="30">
        <v>0</v>
      </c>
      <c r="AJ727" s="25">
        <v>908.62000000000012</v>
      </c>
      <c r="AK727" s="30">
        <v>195.25</v>
      </c>
      <c r="AL727" s="30"/>
      <c r="AM727" s="30"/>
      <c r="AN727" s="30"/>
      <c r="AO727" s="30"/>
      <c r="AP727" s="30"/>
      <c r="AQ727" s="30"/>
      <c r="AR727" s="30">
        <v>16.560000000000002</v>
      </c>
      <c r="AS727" s="30">
        <v>-1044</v>
      </c>
      <c r="AT727" s="30"/>
      <c r="AU727" s="30"/>
      <c r="AW727" s="27">
        <f t="shared" si="139"/>
        <v>908.6207270000001</v>
      </c>
      <c r="AX727" s="27">
        <f t="shared" si="140"/>
        <v>75.130727000000007</v>
      </c>
      <c r="AY727" s="27">
        <f t="shared" si="141"/>
        <v>7.27E-4</v>
      </c>
      <c r="AZ727" s="27">
        <f t="shared" si="142"/>
        <v>7.27E-4</v>
      </c>
    </row>
    <row r="728" spans="1:52" ht="15" customHeight="1" x14ac:dyDescent="0.25">
      <c r="A728" s="13" t="str">
        <f>VLOOKUP(L728,[1]VALIDAÇÃO!$D$13:$E$350,2,0)</f>
        <v>DIRETO</v>
      </c>
      <c r="B728" s="14" t="str">
        <f t="shared" si="144"/>
        <v>24RESERVA DO PAIVA SPE 03 LTDA</v>
      </c>
      <c r="C728" s="15">
        <f t="shared" si="143"/>
        <v>24</v>
      </c>
      <c r="D728" s="16" t="str">
        <f t="shared" si="145"/>
        <v>55RESERVA DO PAIVA SPE 03 LTDA</v>
      </c>
      <c r="E728" s="17">
        <f t="shared" si="136"/>
        <v>55</v>
      </c>
      <c r="F728" s="18" t="str">
        <f t="shared" si="146"/>
        <v>60RESERVA DO PAIVA SPE 03 LTDA</v>
      </c>
      <c r="G728" s="18">
        <f t="shared" si="137"/>
        <v>60</v>
      </c>
      <c r="H728" s="19" t="str">
        <f t="shared" si="147"/>
        <v>46RESERVA DO PAIVA SPE 03 LTDA</v>
      </c>
      <c r="I728" s="19">
        <f t="shared" si="138"/>
        <v>46</v>
      </c>
      <c r="J728" s="30" t="s">
        <v>52</v>
      </c>
      <c r="K728" s="30" t="s">
        <v>858</v>
      </c>
      <c r="L728" s="30" t="s">
        <v>87</v>
      </c>
      <c r="M728" s="30" t="s">
        <v>55</v>
      </c>
      <c r="N728" s="33">
        <v>2027.15</v>
      </c>
      <c r="O728" s="30">
        <v>2156</v>
      </c>
      <c r="P728" s="29">
        <v>45915</v>
      </c>
      <c r="Q728" s="30"/>
      <c r="R728" s="30">
        <v>2156</v>
      </c>
      <c r="S728" s="30"/>
      <c r="T728" s="30"/>
      <c r="U728" s="30"/>
      <c r="V728" s="30"/>
      <c r="W728" s="30">
        <v>1.72</v>
      </c>
      <c r="X728" s="30">
        <v>49</v>
      </c>
      <c r="Y728" s="30"/>
      <c r="Z728" s="30"/>
      <c r="AA728" s="30">
        <v>9.51</v>
      </c>
      <c r="AB728" s="30">
        <v>146.18</v>
      </c>
      <c r="AC728" s="30">
        <v>652.9</v>
      </c>
      <c r="AD728" s="30">
        <v>272.58</v>
      </c>
      <c r="AE728" s="30">
        <v>1148.8142857142857</v>
      </c>
      <c r="AF728" s="30"/>
      <c r="AG728" s="30"/>
      <c r="AH728" s="30">
        <v>43.14</v>
      </c>
      <c r="AI728" s="30">
        <v>0</v>
      </c>
      <c r="AJ728" s="25">
        <v>517.85</v>
      </c>
      <c r="AK728" s="30">
        <v>114.74</v>
      </c>
      <c r="AL728" s="30">
        <v>-83.65</v>
      </c>
      <c r="AM728" s="30">
        <v>478</v>
      </c>
      <c r="AN728" s="30"/>
      <c r="AO728" s="30"/>
      <c r="AP728" s="30">
        <v>125.3</v>
      </c>
      <c r="AQ728" s="30">
        <v>358</v>
      </c>
      <c r="AR728" s="30">
        <v>122.9</v>
      </c>
      <c r="AS728" s="30">
        <v>-924</v>
      </c>
      <c r="AT728" s="30"/>
      <c r="AU728" s="30"/>
      <c r="AW728" s="27">
        <f t="shared" si="139"/>
        <v>517.850728</v>
      </c>
      <c r="AX728" s="27">
        <f t="shared" si="140"/>
        <v>272.58072799999997</v>
      </c>
      <c r="AY728" s="27">
        <f t="shared" si="141"/>
        <v>146.18072800000002</v>
      </c>
      <c r="AZ728" s="27">
        <f t="shared" si="142"/>
        <v>125.30072799999999</v>
      </c>
    </row>
    <row r="729" spans="1:52" ht="15" customHeight="1" x14ac:dyDescent="0.25">
      <c r="A729" s="13" t="str">
        <f>VLOOKUP(L729,[1]VALIDAÇÃO!$D$13:$E$350,2,0)</f>
        <v>INDIRETO</v>
      </c>
      <c r="B729" s="14" t="str">
        <f t="shared" si="144"/>
        <v>132RIO AVE CARNEIROS 01 SPE LTDA.</v>
      </c>
      <c r="C729" s="15">
        <f t="shared" si="143"/>
        <v>132</v>
      </c>
      <c r="D729" s="16" t="str">
        <f t="shared" si="145"/>
        <v>30RIO AVE CARNEIROS 01 SPE LTDA.</v>
      </c>
      <c r="E729" s="17">
        <f t="shared" si="136"/>
        <v>30</v>
      </c>
      <c r="F729" s="18" t="str">
        <f t="shared" si="146"/>
        <v>4RIO AVE CARNEIROS 01 SPE LTDA.</v>
      </c>
      <c r="G729" s="18">
        <f t="shared" si="137"/>
        <v>4</v>
      </c>
      <c r="H729" s="19" t="str">
        <f t="shared" si="147"/>
        <v>2RIO AVE CARNEIROS 01 SPE LTDA.</v>
      </c>
      <c r="I729" s="19">
        <f t="shared" si="138"/>
        <v>2</v>
      </c>
      <c r="J729" s="30" t="s">
        <v>61</v>
      </c>
      <c r="K729" s="30" t="s">
        <v>859</v>
      </c>
      <c r="L729" s="30" t="s">
        <v>162</v>
      </c>
      <c r="M729" s="30" t="s">
        <v>85</v>
      </c>
      <c r="N729" s="33">
        <v>2134.06</v>
      </c>
      <c r="O729" s="30">
        <v>2943.68</v>
      </c>
      <c r="P729" s="29">
        <v>45631</v>
      </c>
      <c r="Q729" s="30"/>
      <c r="R729" s="30">
        <v>2943.68</v>
      </c>
      <c r="S729" s="30"/>
      <c r="T729" s="30"/>
      <c r="U729" s="30"/>
      <c r="V729" s="30"/>
      <c r="W729" s="30"/>
      <c r="X729" s="30"/>
      <c r="Y729" s="30"/>
      <c r="Z729" s="30"/>
      <c r="AA729" s="30"/>
      <c r="AB729" s="30">
        <v>358.44</v>
      </c>
      <c r="AC729" s="30">
        <v>899.32857142857142</v>
      </c>
      <c r="AD729" s="30">
        <v>277.23</v>
      </c>
      <c r="AE729" s="30">
        <v>688.35714285714289</v>
      </c>
      <c r="AF729" s="30"/>
      <c r="AG729" s="30"/>
      <c r="AH729" s="30"/>
      <c r="AI729" s="30"/>
      <c r="AJ729" s="25"/>
      <c r="AK729" s="30"/>
      <c r="AL729" s="30">
        <v>-53.52</v>
      </c>
      <c r="AM729" s="30">
        <v>224</v>
      </c>
      <c r="AN729" s="30"/>
      <c r="AO729" s="30"/>
      <c r="AP729" s="30">
        <v>274.78000000000003</v>
      </c>
      <c r="AQ729" s="30">
        <v>601.90000000000009</v>
      </c>
      <c r="AR729" s="30">
        <v>204.35</v>
      </c>
      <c r="AS729" s="30">
        <v>-1261.58</v>
      </c>
      <c r="AT729" s="30"/>
      <c r="AU729" s="30"/>
      <c r="AW729" s="27">
        <f t="shared" si="139"/>
        <v>7.2900000000000005E-4</v>
      </c>
      <c r="AX729" s="27">
        <f t="shared" si="140"/>
        <v>277.230729</v>
      </c>
      <c r="AY729" s="27">
        <f t="shared" si="141"/>
        <v>358.44072899999998</v>
      </c>
      <c r="AZ729" s="27">
        <f t="shared" si="142"/>
        <v>274.78072900000001</v>
      </c>
    </row>
    <row r="730" spans="1:52" ht="15" customHeight="1" x14ac:dyDescent="0.25">
      <c r="A730" s="13" t="str">
        <f>VLOOKUP(L730,[1]VALIDAÇÃO!$D$13:$E$350,2,0)</f>
        <v>DIRETO</v>
      </c>
      <c r="B730" s="14" t="str">
        <f t="shared" si="144"/>
        <v>131RIO AVE CARNEIROS 01 SPE LTDA.</v>
      </c>
      <c r="C730" s="15">
        <f t="shared" si="143"/>
        <v>131</v>
      </c>
      <c r="D730" s="16" t="str">
        <f t="shared" si="145"/>
        <v>145RIO AVE CARNEIROS 01 SPE LTDA.</v>
      </c>
      <c r="E730" s="17">
        <f t="shared" si="136"/>
        <v>145</v>
      </c>
      <c r="F730" s="18" t="str">
        <f t="shared" si="146"/>
        <v>133RIO AVE CARNEIROS 01 SPE LTDA.</v>
      </c>
      <c r="G730" s="18">
        <f t="shared" si="137"/>
        <v>133</v>
      </c>
      <c r="H730" s="19" t="str">
        <f t="shared" si="147"/>
        <v>83RIO AVE CARNEIROS 01 SPE LTDA.</v>
      </c>
      <c r="I730" s="19">
        <f t="shared" si="138"/>
        <v>83</v>
      </c>
      <c r="J730" s="30" t="s">
        <v>61</v>
      </c>
      <c r="K730" s="30" t="s">
        <v>860</v>
      </c>
      <c r="L730" s="30" t="s">
        <v>54</v>
      </c>
      <c r="M730" s="30" t="s">
        <v>55</v>
      </c>
      <c r="N730" s="33">
        <v>0</v>
      </c>
      <c r="O730" s="30"/>
      <c r="P730" s="29">
        <v>45474</v>
      </c>
      <c r="Q730" s="29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25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W730" s="27">
        <f t="shared" si="139"/>
        <v>7.2999999999999996E-4</v>
      </c>
      <c r="AX730" s="27">
        <f t="shared" si="140"/>
        <v>7.2999999999999996E-4</v>
      </c>
      <c r="AY730" s="27">
        <f t="shared" si="141"/>
        <v>7.2999999999999996E-4</v>
      </c>
      <c r="AZ730" s="27">
        <f t="shared" si="142"/>
        <v>7.2999999999999996E-4</v>
      </c>
    </row>
    <row r="731" spans="1:52" ht="15" customHeight="1" x14ac:dyDescent="0.25">
      <c r="A731" s="13" t="str">
        <f>VLOOKUP(L731,[1]VALIDAÇÃO!$D$13:$E$350,2,0)</f>
        <v>DIRETO</v>
      </c>
      <c r="B731" s="14" t="str">
        <f t="shared" si="144"/>
        <v>42CONDOMINIO DO EDIFICIO EMPRESARIAL MARIE CURIE</v>
      </c>
      <c r="C731" s="15">
        <f t="shared" si="143"/>
        <v>42</v>
      </c>
      <c r="D731" s="16" t="str">
        <f t="shared" si="145"/>
        <v>105CONDOMINIO DO EDIFICIO EMPRESARIAL MARIE CURIE</v>
      </c>
      <c r="E731" s="17">
        <f t="shared" si="136"/>
        <v>105</v>
      </c>
      <c r="F731" s="18" t="str">
        <f t="shared" si="146"/>
        <v>31CONDOMINIO DO EDIFICIO EMPRESARIAL MARIE CURIE</v>
      </c>
      <c r="G731" s="18">
        <f t="shared" si="137"/>
        <v>31</v>
      </c>
      <c r="H731" s="19" t="str">
        <f t="shared" si="147"/>
        <v>11CONDOMINIO DO EDIFICIO EMPRESARIAL MARIE CURIE</v>
      </c>
      <c r="I731" s="19">
        <f t="shared" si="138"/>
        <v>11</v>
      </c>
      <c r="J731" s="30" t="s">
        <v>57</v>
      </c>
      <c r="K731" s="30" t="s">
        <v>861</v>
      </c>
      <c r="L731" s="30" t="s">
        <v>557</v>
      </c>
      <c r="M731" s="30" t="s">
        <v>60</v>
      </c>
      <c r="N731" s="33">
        <v>365.62</v>
      </c>
      <c r="O731" s="30">
        <v>2156</v>
      </c>
      <c r="P731" s="29">
        <v>45818</v>
      </c>
      <c r="Q731" s="30"/>
      <c r="R731" s="30">
        <v>2156</v>
      </c>
      <c r="S731" s="30"/>
      <c r="T731" s="30"/>
      <c r="U731" s="30"/>
      <c r="V731" s="30"/>
      <c r="W731" s="30"/>
      <c r="X731" s="30"/>
      <c r="Y731" s="30"/>
      <c r="Z731" s="30"/>
      <c r="AA731" s="30">
        <v>4.7299999999999995</v>
      </c>
      <c r="AB731" s="30">
        <v>135.96</v>
      </c>
      <c r="AC731" s="30">
        <v>457</v>
      </c>
      <c r="AD731" s="30">
        <v>16.02</v>
      </c>
      <c r="AE731" s="30">
        <v>112.6142857142857</v>
      </c>
      <c r="AF731" s="30"/>
      <c r="AG731" s="30"/>
      <c r="AH731" s="30">
        <v>21.7</v>
      </c>
      <c r="AI731" s="30">
        <v>0</v>
      </c>
      <c r="AJ731" s="25">
        <v>594.02</v>
      </c>
      <c r="AK731" s="30">
        <v>127.25999999999999</v>
      </c>
      <c r="AL731" s="30"/>
      <c r="AM731" s="30"/>
      <c r="AN731" s="30"/>
      <c r="AO731" s="30"/>
      <c r="AP731" s="30">
        <v>171.15</v>
      </c>
      <c r="AQ731" s="30">
        <v>489</v>
      </c>
      <c r="AR731" s="30">
        <v>70.440000000000012</v>
      </c>
      <c r="AS731" s="30">
        <v>-924</v>
      </c>
      <c r="AT731" s="30"/>
      <c r="AU731" s="30"/>
      <c r="AW731" s="27">
        <f t="shared" si="139"/>
        <v>594.02073099999996</v>
      </c>
      <c r="AX731" s="27">
        <f t="shared" si="140"/>
        <v>16.020730999999998</v>
      </c>
      <c r="AY731" s="27">
        <f t="shared" si="141"/>
        <v>135.96073100000001</v>
      </c>
      <c r="AZ731" s="27">
        <f t="shared" si="142"/>
        <v>171.15073100000001</v>
      </c>
    </row>
    <row r="732" spans="1:52" ht="15" customHeight="1" x14ac:dyDescent="0.25">
      <c r="A732" s="13" t="str">
        <f>VLOOKUP(L732,[1]VALIDAÇÃO!$D$13:$E$350,2,0)</f>
        <v>DIRETO</v>
      </c>
      <c r="B732" s="14" t="str">
        <f t="shared" si="144"/>
        <v>53CONDOMINIO DO EDIFICIO EMPRESARIAL MARIE CURIE</v>
      </c>
      <c r="C732" s="15">
        <f t="shared" si="143"/>
        <v>53</v>
      </c>
      <c r="D732" s="16" t="str">
        <f t="shared" si="145"/>
        <v>102CONDOMINIO DO EDIFICIO EMPRESARIAL MARIE CURIE</v>
      </c>
      <c r="E732" s="17">
        <f t="shared" si="136"/>
        <v>102</v>
      </c>
      <c r="F732" s="18" t="str">
        <f t="shared" si="146"/>
        <v>94CONDOMINIO DO EDIFICIO EMPRESARIAL MARIE CURIE</v>
      </c>
      <c r="G732" s="18">
        <f t="shared" si="137"/>
        <v>94</v>
      </c>
      <c r="H732" s="19" t="str">
        <f t="shared" si="147"/>
        <v>41CONDOMINIO DO EDIFICIO EMPRESARIAL MARIE CURIE</v>
      </c>
      <c r="I732" s="19">
        <f t="shared" si="138"/>
        <v>41</v>
      </c>
      <c r="J732" s="30" t="s">
        <v>57</v>
      </c>
      <c r="K732" s="30" t="s">
        <v>862</v>
      </c>
      <c r="L732" s="30" t="s">
        <v>87</v>
      </c>
      <c r="M732" s="30" t="s">
        <v>60</v>
      </c>
      <c r="N732" s="33">
        <v>1477.52</v>
      </c>
      <c r="O732" s="30">
        <v>2156</v>
      </c>
      <c r="P732" s="29">
        <v>45901</v>
      </c>
      <c r="Q732" s="30"/>
      <c r="R732" s="30">
        <v>2156</v>
      </c>
      <c r="S732" s="30"/>
      <c r="T732" s="30"/>
      <c r="U732" s="30"/>
      <c r="V732" s="30"/>
      <c r="W732" s="30"/>
      <c r="X732" s="30"/>
      <c r="Y732" s="30"/>
      <c r="Z732" s="30"/>
      <c r="AA732" s="30">
        <v>0.3</v>
      </c>
      <c r="AB732" s="30"/>
      <c r="AC732" s="30"/>
      <c r="AD732" s="30">
        <v>20.350000000000001</v>
      </c>
      <c r="AE732" s="30">
        <v>123.99</v>
      </c>
      <c r="AF732" s="30"/>
      <c r="AG732" s="30"/>
      <c r="AH732" s="30">
        <v>1.35</v>
      </c>
      <c r="AI732" s="30">
        <v>0</v>
      </c>
      <c r="AJ732" s="25">
        <v>515.37</v>
      </c>
      <c r="AK732" s="30">
        <v>114.63</v>
      </c>
      <c r="AL732" s="30"/>
      <c r="AM732" s="30"/>
      <c r="AN732" s="30"/>
      <c r="AO732" s="30"/>
      <c r="AP732" s="30"/>
      <c r="AQ732" s="30"/>
      <c r="AR732" s="30">
        <v>4.34</v>
      </c>
      <c r="AS732" s="30">
        <v>-924</v>
      </c>
      <c r="AT732" s="30"/>
      <c r="AU732" s="30"/>
      <c r="AW732" s="27">
        <f t="shared" si="139"/>
        <v>515.37073199999998</v>
      </c>
      <c r="AX732" s="27">
        <f t="shared" si="140"/>
        <v>20.350732000000001</v>
      </c>
      <c r="AY732" s="27">
        <f t="shared" si="141"/>
        <v>7.3200000000000001E-4</v>
      </c>
      <c r="AZ732" s="27">
        <f t="shared" si="142"/>
        <v>7.3200000000000001E-4</v>
      </c>
    </row>
    <row r="733" spans="1:52" ht="15" customHeight="1" x14ac:dyDescent="0.25">
      <c r="A733" s="13" t="str">
        <f>VLOOKUP(L733,[1]VALIDAÇÃO!$D$13:$E$350,2,0)</f>
        <v>DIRETO</v>
      </c>
      <c r="B733" s="14" t="str">
        <f t="shared" si="144"/>
        <v>40RIO AVE 200 SPE LTDA.</v>
      </c>
      <c r="C733" s="15">
        <f t="shared" si="143"/>
        <v>40</v>
      </c>
      <c r="D733" s="16" t="str">
        <f t="shared" si="145"/>
        <v>20RIO AVE 200 SPE LTDA.</v>
      </c>
      <c r="E733" s="17">
        <f t="shared" si="136"/>
        <v>20</v>
      </c>
      <c r="F733" s="18" t="str">
        <f t="shared" si="146"/>
        <v>18RIO AVE 200 SPE LTDA.</v>
      </c>
      <c r="G733" s="18">
        <f t="shared" si="137"/>
        <v>18</v>
      </c>
      <c r="H733" s="19" t="str">
        <f t="shared" si="147"/>
        <v>9RIO AVE 200 SPE LTDA.</v>
      </c>
      <c r="I733" s="19">
        <f t="shared" si="138"/>
        <v>9</v>
      </c>
      <c r="J733" s="30" t="s">
        <v>48</v>
      </c>
      <c r="K733" s="30" t="s">
        <v>863</v>
      </c>
      <c r="L733" s="30" t="s">
        <v>54</v>
      </c>
      <c r="M733" s="30" t="s">
        <v>55</v>
      </c>
      <c r="N733" s="33">
        <v>1371.12</v>
      </c>
      <c r="O733" s="30">
        <v>1622.13</v>
      </c>
      <c r="P733" s="29">
        <v>45966</v>
      </c>
      <c r="Q733" s="30"/>
      <c r="R733" s="30">
        <v>1622.13</v>
      </c>
      <c r="S733" s="30"/>
      <c r="T733" s="30"/>
      <c r="U733" s="30"/>
      <c r="V733" s="30"/>
      <c r="W733" s="30"/>
      <c r="X733" s="30"/>
      <c r="Y733" s="30"/>
      <c r="Z733" s="30"/>
      <c r="AA733" s="30">
        <v>5.6</v>
      </c>
      <c r="AB733" s="30">
        <v>80.58</v>
      </c>
      <c r="AC733" s="30">
        <v>360</v>
      </c>
      <c r="AD733" s="30">
        <v>197.74</v>
      </c>
      <c r="AE733" s="30">
        <v>1675.4</v>
      </c>
      <c r="AF733" s="30"/>
      <c r="AG733" s="30"/>
      <c r="AH733" s="30">
        <v>25.12</v>
      </c>
      <c r="AI733" s="30">
        <v>0</v>
      </c>
      <c r="AJ733" s="25">
        <v>346.59</v>
      </c>
      <c r="AK733" s="30">
        <v>79.69</v>
      </c>
      <c r="AL733" s="30"/>
      <c r="AM733" s="30"/>
      <c r="AN733" s="30"/>
      <c r="AO733" s="30"/>
      <c r="AP733" s="30">
        <v>110.6</v>
      </c>
      <c r="AQ733" s="30">
        <v>420</v>
      </c>
      <c r="AR733" s="30">
        <v>87.48</v>
      </c>
      <c r="AS733" s="30">
        <v>-695.2</v>
      </c>
      <c r="AT733" s="30"/>
      <c r="AU733" s="30"/>
      <c r="AW733" s="27">
        <f t="shared" si="139"/>
        <v>346.590733</v>
      </c>
      <c r="AX733" s="27">
        <f t="shared" si="140"/>
        <v>197.74073300000001</v>
      </c>
      <c r="AY733" s="27">
        <f t="shared" si="141"/>
        <v>80.580732999999995</v>
      </c>
      <c r="AZ733" s="27">
        <f t="shared" si="142"/>
        <v>110.60073299999999</v>
      </c>
    </row>
    <row r="734" spans="1:52" ht="15" customHeight="1" x14ac:dyDescent="0.25">
      <c r="A734" s="13" t="str">
        <f>VLOOKUP(L734,[1]VALIDAÇÃO!$D$13:$E$350,2,0)</f>
        <v>DIRETO</v>
      </c>
      <c r="B734" s="14" t="str">
        <f t="shared" si="144"/>
        <v>35CONDOMINIO DO EDIFICIO EMPRESARIAL MARIE CURIE</v>
      </c>
      <c r="C734" s="15">
        <f t="shared" si="143"/>
        <v>35</v>
      </c>
      <c r="D734" s="16" t="str">
        <f t="shared" si="145"/>
        <v>8CONDOMINIO DO EDIFICIO EMPRESARIAL MARIE CURIE</v>
      </c>
      <c r="E734" s="17">
        <f t="shared" si="136"/>
        <v>8</v>
      </c>
      <c r="F734" s="18" t="str">
        <f t="shared" si="146"/>
        <v>3CONDOMINIO DO EDIFICIO EMPRESARIAL MARIE CURIE</v>
      </c>
      <c r="G734" s="18">
        <f t="shared" si="137"/>
        <v>3</v>
      </c>
      <c r="H734" s="19" t="str">
        <f t="shared" si="147"/>
        <v>21CONDOMINIO DO EDIFICIO EMPRESARIAL MARIE CURIE</v>
      </c>
      <c r="I734" s="19">
        <f t="shared" si="138"/>
        <v>21</v>
      </c>
      <c r="J734" s="30" t="s">
        <v>57</v>
      </c>
      <c r="K734" s="30" t="s">
        <v>864</v>
      </c>
      <c r="L734" s="30" t="s">
        <v>54</v>
      </c>
      <c r="M734" s="30" t="s">
        <v>60</v>
      </c>
      <c r="N734" s="33">
        <v>670.25</v>
      </c>
      <c r="O734" s="30">
        <v>521.4</v>
      </c>
      <c r="P734" s="29">
        <v>45265</v>
      </c>
      <c r="Q734" s="30"/>
      <c r="R734" s="30">
        <v>521.4</v>
      </c>
      <c r="S734" s="30"/>
      <c r="T734" s="30"/>
      <c r="U734" s="30"/>
      <c r="V734" s="30"/>
      <c r="W734" s="30"/>
      <c r="X734" s="30"/>
      <c r="Y734" s="30"/>
      <c r="Z734" s="30"/>
      <c r="AA734" s="30">
        <v>9.0399999999999991</v>
      </c>
      <c r="AB734" s="30">
        <v>421.26</v>
      </c>
      <c r="AC734" s="30">
        <v>1882.0693333333334</v>
      </c>
      <c r="AD734" s="30">
        <v>569.86</v>
      </c>
      <c r="AE734" s="30">
        <v>2545.9386666666664</v>
      </c>
      <c r="AF734" s="30"/>
      <c r="AG734" s="30"/>
      <c r="AH734" s="30">
        <v>47.07</v>
      </c>
      <c r="AI734" s="30">
        <v>0</v>
      </c>
      <c r="AJ734" s="25">
        <v>648.82000000000005</v>
      </c>
      <c r="AK734" s="30">
        <v>107.03999999999999</v>
      </c>
      <c r="AL734" s="30">
        <v>-15.83</v>
      </c>
      <c r="AM734" s="30">
        <v>120.19</v>
      </c>
      <c r="AN734" s="30">
        <v>-57.93</v>
      </c>
      <c r="AO734" s="30">
        <v>1</v>
      </c>
      <c r="AP734" s="30">
        <v>69.67</v>
      </c>
      <c r="AQ734" s="30">
        <v>264.57333333333332</v>
      </c>
      <c r="AR734" s="30">
        <v>201.52999999999997</v>
      </c>
      <c r="AS734" s="30">
        <v>-185.39</v>
      </c>
      <c r="AT734" s="30">
        <v>-57.93</v>
      </c>
      <c r="AU734" s="30">
        <v>1</v>
      </c>
      <c r="AW734" s="27">
        <f t="shared" si="139"/>
        <v>648.82073400000002</v>
      </c>
      <c r="AX734" s="27">
        <f t="shared" si="140"/>
        <v>569.86073399999998</v>
      </c>
      <c r="AY734" s="27">
        <f t="shared" si="141"/>
        <v>421.26073400000001</v>
      </c>
      <c r="AZ734" s="27">
        <f t="shared" si="142"/>
        <v>69.670733999999996</v>
      </c>
    </row>
    <row r="735" spans="1:52" ht="15" customHeight="1" x14ac:dyDescent="0.25">
      <c r="A735" s="13" t="str">
        <f>VLOOKUP(L735,[1]VALIDAÇÃO!$D$13:$E$350,2,0)</f>
        <v>DIRETO</v>
      </c>
      <c r="B735" s="14" t="str">
        <f t="shared" si="144"/>
        <v>1RIO AVE ALAMEDA CENTER CONSTRUCOES SPE LTDA</v>
      </c>
      <c r="C735" s="15">
        <f t="shared" si="143"/>
        <v>1</v>
      </c>
      <c r="D735" s="16" t="str">
        <f t="shared" si="145"/>
        <v>1RIO AVE ALAMEDA CENTER CONSTRUCOES SPE LTDA</v>
      </c>
      <c r="E735" s="17">
        <f t="shared" si="136"/>
        <v>1</v>
      </c>
      <c r="F735" s="18" t="str">
        <f t="shared" si="146"/>
        <v>1RIO AVE ALAMEDA CENTER CONSTRUCOES SPE LTDA</v>
      </c>
      <c r="G735" s="18">
        <f t="shared" si="137"/>
        <v>1</v>
      </c>
      <c r="H735" s="19" t="str">
        <f t="shared" si="147"/>
        <v>1RIO AVE ALAMEDA CENTER CONSTRUCOES SPE LTDA</v>
      </c>
      <c r="I735" s="19">
        <f t="shared" si="138"/>
        <v>1</v>
      </c>
      <c r="J735" s="30" t="s">
        <v>253</v>
      </c>
      <c r="K735" s="30" t="s">
        <v>865</v>
      </c>
      <c r="L735" s="30" t="s">
        <v>63</v>
      </c>
      <c r="M735" s="30" t="s">
        <v>82</v>
      </c>
      <c r="N735" s="33"/>
      <c r="O735" s="30"/>
      <c r="P735" s="29">
        <v>44641</v>
      </c>
      <c r="Q735" s="29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25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W735" s="27">
        <f t="shared" si="139"/>
        <v>7.3499999999999998E-4</v>
      </c>
      <c r="AX735" s="27">
        <f t="shared" si="140"/>
        <v>7.3499999999999998E-4</v>
      </c>
      <c r="AY735" s="27">
        <f t="shared" si="141"/>
        <v>7.3499999999999998E-4</v>
      </c>
      <c r="AZ735" s="27">
        <f t="shared" si="142"/>
        <v>7.3499999999999998E-4</v>
      </c>
    </row>
    <row r="736" spans="1:52" ht="15" customHeight="1" x14ac:dyDescent="0.25">
      <c r="A736" s="13" t="str">
        <f>VLOOKUP(L736,[1]VALIDAÇÃO!$D$13:$E$350,2,0)</f>
        <v>INDIRETO</v>
      </c>
      <c r="B736" s="14" t="str">
        <f t="shared" si="144"/>
        <v>56RIO AVE 130 SPE LTDA</v>
      </c>
      <c r="C736" s="15">
        <f t="shared" si="143"/>
        <v>56</v>
      </c>
      <c r="D736" s="16" t="str">
        <f t="shared" si="145"/>
        <v>45RIO AVE 130 SPE LTDA</v>
      </c>
      <c r="E736" s="17">
        <f t="shared" si="136"/>
        <v>45</v>
      </c>
      <c r="F736" s="18" t="str">
        <f t="shared" si="146"/>
        <v>55RIO AVE 130 SPE LTDA</v>
      </c>
      <c r="G736" s="18">
        <f t="shared" si="137"/>
        <v>55</v>
      </c>
      <c r="H736" s="19" t="str">
        <f t="shared" si="147"/>
        <v>36RIO AVE 130 SPE LTDA</v>
      </c>
      <c r="I736" s="19">
        <f t="shared" si="138"/>
        <v>36</v>
      </c>
      <c r="J736" s="30" t="s">
        <v>102</v>
      </c>
      <c r="K736" s="30" t="s">
        <v>866</v>
      </c>
      <c r="L736" s="30" t="s">
        <v>116</v>
      </c>
      <c r="M736" s="30" t="s">
        <v>85</v>
      </c>
      <c r="N736" s="33">
        <v>305</v>
      </c>
      <c r="O736" s="30">
        <v>665.46</v>
      </c>
      <c r="P736" s="29">
        <v>45628</v>
      </c>
      <c r="Q736" s="29"/>
      <c r="R736" s="30">
        <v>665.46</v>
      </c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>
        <v>13.67</v>
      </c>
      <c r="AE736" s="30">
        <v>151.24285714285713</v>
      </c>
      <c r="AF736" s="30"/>
      <c r="AG736" s="30"/>
      <c r="AH736" s="30"/>
      <c r="AI736" s="30"/>
      <c r="AJ736" s="25"/>
      <c r="AK736" s="30"/>
      <c r="AL736" s="30"/>
      <c r="AM736" s="30"/>
      <c r="AN736" s="30"/>
      <c r="AO736" s="30"/>
      <c r="AP736" s="30"/>
      <c r="AQ736" s="30"/>
      <c r="AR736" s="30">
        <v>3</v>
      </c>
      <c r="AS736" s="30">
        <v>-285.2</v>
      </c>
      <c r="AT736" s="30"/>
      <c r="AU736" s="30"/>
      <c r="AW736" s="27">
        <f t="shared" si="139"/>
        <v>7.36E-4</v>
      </c>
      <c r="AX736" s="27">
        <f t="shared" si="140"/>
        <v>13.670736</v>
      </c>
      <c r="AY736" s="27">
        <f t="shared" si="141"/>
        <v>7.36E-4</v>
      </c>
      <c r="AZ736" s="27">
        <f t="shared" si="142"/>
        <v>7.36E-4</v>
      </c>
    </row>
    <row r="737" spans="1:52" ht="15" customHeight="1" x14ac:dyDescent="0.25">
      <c r="A737" s="13" t="str">
        <f>VLOOKUP(L737,[1]VALIDAÇÃO!$D$13:$E$350,2,0)</f>
        <v>DIRETO</v>
      </c>
      <c r="B737" s="14" t="str">
        <f t="shared" si="144"/>
        <v>24RIO AVE 130 SPE LTDA</v>
      </c>
      <c r="C737" s="15">
        <f t="shared" si="143"/>
        <v>24</v>
      </c>
      <c r="D737" s="16" t="str">
        <f t="shared" si="145"/>
        <v>59RIO AVE 130 SPE LTDA</v>
      </c>
      <c r="E737" s="17">
        <f t="shared" si="136"/>
        <v>59</v>
      </c>
      <c r="F737" s="18" t="str">
        <f t="shared" si="146"/>
        <v>23RIO AVE 130 SPE LTDA</v>
      </c>
      <c r="G737" s="18">
        <f t="shared" si="137"/>
        <v>23</v>
      </c>
      <c r="H737" s="19" t="str">
        <f t="shared" si="147"/>
        <v>26RIO AVE 130 SPE LTDA</v>
      </c>
      <c r="I737" s="19">
        <f t="shared" si="138"/>
        <v>26</v>
      </c>
      <c r="J737" s="30" t="s">
        <v>102</v>
      </c>
      <c r="K737" s="30" t="s">
        <v>867</v>
      </c>
      <c r="L737" s="30" t="s">
        <v>137</v>
      </c>
      <c r="M737" s="30" t="s">
        <v>55</v>
      </c>
      <c r="N737" s="33">
        <v>1786.24</v>
      </c>
      <c r="O737" s="30">
        <v>2310</v>
      </c>
      <c r="P737" s="29">
        <v>45903</v>
      </c>
      <c r="Q737" s="30"/>
      <c r="R737" s="30">
        <v>2310</v>
      </c>
      <c r="S737" s="30"/>
      <c r="T737" s="30"/>
      <c r="U737" s="30"/>
      <c r="V737" s="30"/>
      <c r="W737" s="30"/>
      <c r="X737" s="30"/>
      <c r="Y737" s="30"/>
      <c r="Z737" s="30"/>
      <c r="AA737" s="30">
        <v>5.25</v>
      </c>
      <c r="AB737" s="30">
        <v>216.71999999999997</v>
      </c>
      <c r="AC737" s="30">
        <v>1570.1</v>
      </c>
      <c r="AD737" s="30"/>
      <c r="AE737" s="30"/>
      <c r="AF737" s="30"/>
      <c r="AG737" s="30"/>
      <c r="AH737" s="30">
        <v>22.560000000000002</v>
      </c>
      <c r="AI737" s="30">
        <v>0</v>
      </c>
      <c r="AJ737" s="25">
        <v>684.17</v>
      </c>
      <c r="AK737" s="30">
        <v>150.99999999999997</v>
      </c>
      <c r="AL737" s="30">
        <v>-12</v>
      </c>
      <c r="AM737" s="30">
        <v>64</v>
      </c>
      <c r="AN737" s="30"/>
      <c r="AO737" s="30"/>
      <c r="AP737" s="30">
        <v>64.099999999999994</v>
      </c>
      <c r="AQ737" s="30">
        <v>603.81428571428569</v>
      </c>
      <c r="AR737" s="30">
        <v>64.650000000000006</v>
      </c>
      <c r="AS737" s="30">
        <v>-924</v>
      </c>
      <c r="AT737" s="30"/>
      <c r="AU737" s="30"/>
      <c r="AW737" s="27">
        <f t="shared" si="139"/>
        <v>684.17073699999992</v>
      </c>
      <c r="AX737" s="27">
        <f t="shared" si="140"/>
        <v>7.3700000000000002E-4</v>
      </c>
      <c r="AY737" s="27">
        <f t="shared" si="141"/>
        <v>216.72073699999996</v>
      </c>
      <c r="AZ737" s="27">
        <f t="shared" si="142"/>
        <v>64.100736999999995</v>
      </c>
    </row>
    <row r="738" spans="1:52" ht="15" customHeight="1" x14ac:dyDescent="0.25">
      <c r="A738" s="13" t="str">
        <f>VLOOKUP(L738,[1]VALIDAÇÃO!$D$13:$E$350,2,0)</f>
        <v>DIRETO</v>
      </c>
      <c r="B738" s="14" t="str">
        <f t="shared" si="144"/>
        <v>48RESERVA DO PAIVA SPE 03 LTDA</v>
      </c>
      <c r="C738" s="15">
        <f t="shared" si="143"/>
        <v>48</v>
      </c>
      <c r="D738" s="16" t="str">
        <f t="shared" si="145"/>
        <v>36RESERVA DO PAIVA SPE 03 LTDA</v>
      </c>
      <c r="E738" s="17">
        <f t="shared" si="136"/>
        <v>36</v>
      </c>
      <c r="F738" s="18" t="str">
        <f t="shared" si="146"/>
        <v>19RESERVA DO PAIVA SPE 03 LTDA</v>
      </c>
      <c r="G738" s="18">
        <f t="shared" si="137"/>
        <v>19</v>
      </c>
      <c r="H738" s="19" t="str">
        <f t="shared" si="147"/>
        <v>8RESERVA DO PAIVA SPE 03 LTDA</v>
      </c>
      <c r="I738" s="19">
        <f t="shared" si="138"/>
        <v>8</v>
      </c>
      <c r="J738" s="30" t="s">
        <v>52</v>
      </c>
      <c r="K738" s="30" t="s">
        <v>868</v>
      </c>
      <c r="L738" s="30" t="s">
        <v>54</v>
      </c>
      <c r="M738" s="30" t="s">
        <v>55</v>
      </c>
      <c r="N738" s="33">
        <v>1755.93</v>
      </c>
      <c r="O738" s="30">
        <v>1622.13</v>
      </c>
      <c r="P738" s="29">
        <v>45845</v>
      </c>
      <c r="Q738" s="30"/>
      <c r="R738" s="30">
        <v>1622.13</v>
      </c>
      <c r="S738" s="30"/>
      <c r="T738" s="30"/>
      <c r="U738" s="30"/>
      <c r="V738" s="30"/>
      <c r="W738" s="30">
        <v>0.23</v>
      </c>
      <c r="X738" s="30">
        <v>14.27</v>
      </c>
      <c r="Y738" s="30"/>
      <c r="Z738" s="30"/>
      <c r="AA738" s="30">
        <v>13.49</v>
      </c>
      <c r="AB738" s="30">
        <v>330.40000000000003</v>
      </c>
      <c r="AC738" s="30">
        <v>2117.0571428571429</v>
      </c>
      <c r="AD738" s="30">
        <v>407.34000000000003</v>
      </c>
      <c r="AE738" s="30">
        <v>3201.6557142857146</v>
      </c>
      <c r="AF738" s="30"/>
      <c r="AG738" s="30"/>
      <c r="AH738" s="30">
        <v>60.050000000000004</v>
      </c>
      <c r="AI738" s="30">
        <v>0</v>
      </c>
      <c r="AJ738" s="25">
        <v>313.15000000000003</v>
      </c>
      <c r="AK738" s="30">
        <v>68.88</v>
      </c>
      <c r="AL738" s="30">
        <v>-66.25</v>
      </c>
      <c r="AM738" s="30">
        <v>503.17</v>
      </c>
      <c r="AN738" s="30">
        <v>-57.93</v>
      </c>
      <c r="AO738" s="30">
        <v>1</v>
      </c>
      <c r="AP738" s="30">
        <v>572.17000000000007</v>
      </c>
      <c r="AQ738" s="30">
        <v>3155.7714285714283</v>
      </c>
      <c r="AR738" s="30">
        <v>294.04999999999995</v>
      </c>
      <c r="AS738" s="30">
        <v>-695.2</v>
      </c>
      <c r="AT738" s="30">
        <v>-57.93</v>
      </c>
      <c r="AU738" s="30">
        <v>1</v>
      </c>
      <c r="AW738" s="27">
        <f t="shared" si="139"/>
        <v>313.15073800000005</v>
      </c>
      <c r="AX738" s="27">
        <f t="shared" si="140"/>
        <v>407.34073800000004</v>
      </c>
      <c r="AY738" s="27">
        <f t="shared" si="141"/>
        <v>330.40073800000005</v>
      </c>
      <c r="AZ738" s="27">
        <f t="shared" si="142"/>
        <v>572.17073800000003</v>
      </c>
    </row>
    <row r="739" spans="1:52" ht="15" customHeight="1" x14ac:dyDescent="0.25">
      <c r="A739" s="13" t="e">
        <f>VLOOKUP(L739,[1]VALIDAÇÃO!$D$13:$E$350,2,0)</f>
        <v>#N/A</v>
      </c>
      <c r="B739" s="14" t="str">
        <f t="shared" si="144"/>
        <v>699</v>
      </c>
      <c r="C739" s="15">
        <f t="shared" si="143"/>
        <v>699</v>
      </c>
      <c r="D739" s="16" t="str">
        <f t="shared" si="145"/>
        <v>699</v>
      </c>
      <c r="E739" s="17">
        <f t="shared" si="136"/>
        <v>699</v>
      </c>
      <c r="F739" s="18" t="str">
        <f t="shared" si="146"/>
        <v>699</v>
      </c>
      <c r="G739" s="18">
        <f t="shared" si="137"/>
        <v>699</v>
      </c>
      <c r="H739" s="19" t="str">
        <f t="shared" si="147"/>
        <v>699</v>
      </c>
      <c r="I739" s="19">
        <f t="shared" si="138"/>
        <v>699</v>
      </c>
      <c r="J739" s="13"/>
      <c r="K739" s="13"/>
      <c r="L739" s="13"/>
      <c r="M739" s="13"/>
      <c r="N739" s="20"/>
      <c r="O739" s="20"/>
      <c r="P739" s="21"/>
      <c r="Q739" s="22"/>
      <c r="R739" s="23"/>
      <c r="S739" s="24"/>
      <c r="T739" s="23"/>
      <c r="U739" s="24"/>
      <c r="V739" s="23"/>
      <c r="W739" s="23"/>
      <c r="X739" s="24"/>
      <c r="Y739" s="23"/>
      <c r="Z739" s="23"/>
      <c r="AA739" s="23"/>
      <c r="AB739" s="23"/>
      <c r="AC739" s="24"/>
      <c r="AD739" s="23"/>
      <c r="AE739" s="24"/>
      <c r="AF739" s="23"/>
      <c r="AG739" s="23"/>
      <c r="AH739" s="23"/>
      <c r="AI739" s="24"/>
      <c r="AJ739" s="25"/>
      <c r="AK739" s="23"/>
      <c r="AL739" s="23"/>
      <c r="AM739" s="24"/>
      <c r="AN739" s="23"/>
      <c r="AO739" s="24"/>
      <c r="AP739" s="23"/>
      <c r="AQ739" s="24"/>
      <c r="AR739" s="23"/>
      <c r="AS739" s="23"/>
      <c r="AT739" s="23"/>
      <c r="AU739" s="24"/>
      <c r="AW739" s="27">
        <f t="shared" si="139"/>
        <v>7.3899999999999997E-4</v>
      </c>
      <c r="AX739" s="27">
        <f t="shared" si="140"/>
        <v>7.3899999999999997E-4</v>
      </c>
      <c r="AY739" s="27">
        <f t="shared" si="141"/>
        <v>7.3899999999999997E-4</v>
      </c>
      <c r="AZ739" s="27">
        <f t="shared" si="142"/>
        <v>7.3899999999999997E-4</v>
      </c>
    </row>
    <row r="740" spans="1:52" ht="15" customHeight="1" x14ac:dyDescent="0.25">
      <c r="A740" s="13" t="e">
        <f>VLOOKUP(L740,[1]VALIDAÇÃO!$D$13:$E$350,2,0)</f>
        <v>#N/A</v>
      </c>
      <c r="B740" s="14" t="str">
        <f t="shared" si="144"/>
        <v>698</v>
      </c>
      <c r="C740" s="15">
        <f t="shared" si="143"/>
        <v>698</v>
      </c>
      <c r="D740" s="16" t="str">
        <f t="shared" si="145"/>
        <v>698</v>
      </c>
      <c r="E740" s="17">
        <f t="shared" si="136"/>
        <v>698</v>
      </c>
      <c r="F740" s="18" t="str">
        <f t="shared" si="146"/>
        <v>698</v>
      </c>
      <c r="G740" s="18">
        <f t="shared" si="137"/>
        <v>698</v>
      </c>
      <c r="H740" s="19" t="str">
        <f t="shared" si="147"/>
        <v>698</v>
      </c>
      <c r="I740" s="19">
        <f t="shared" si="138"/>
        <v>698</v>
      </c>
      <c r="J740" s="13"/>
      <c r="K740" s="13"/>
      <c r="L740" s="13"/>
      <c r="M740" s="13"/>
      <c r="N740" s="20"/>
      <c r="O740" s="20"/>
      <c r="P740" s="21"/>
      <c r="Q740" s="22"/>
      <c r="R740" s="23"/>
      <c r="S740" s="24"/>
      <c r="T740" s="23"/>
      <c r="U740" s="24"/>
      <c r="V740" s="23"/>
      <c r="W740" s="23"/>
      <c r="X740" s="24"/>
      <c r="Y740" s="23"/>
      <c r="Z740" s="23"/>
      <c r="AA740" s="23"/>
      <c r="AB740" s="23"/>
      <c r="AC740" s="24"/>
      <c r="AD740" s="23"/>
      <c r="AE740" s="24"/>
      <c r="AF740" s="23"/>
      <c r="AG740" s="23"/>
      <c r="AH740" s="23"/>
      <c r="AI740" s="24"/>
      <c r="AJ740" s="25"/>
      <c r="AK740" s="23"/>
      <c r="AL740" s="23"/>
      <c r="AM740" s="24"/>
      <c r="AN740" s="23"/>
      <c r="AO740" s="24"/>
      <c r="AP740" s="23"/>
      <c r="AQ740" s="24"/>
      <c r="AR740" s="23"/>
      <c r="AS740" s="23"/>
      <c r="AT740" s="23"/>
      <c r="AU740" s="24"/>
      <c r="AW740" s="27">
        <f t="shared" si="139"/>
        <v>7.3999999999999999E-4</v>
      </c>
      <c r="AX740" s="27">
        <f t="shared" si="140"/>
        <v>7.3999999999999999E-4</v>
      </c>
      <c r="AY740" s="27">
        <f t="shared" si="141"/>
        <v>7.3999999999999999E-4</v>
      </c>
      <c r="AZ740" s="27">
        <f t="shared" si="142"/>
        <v>7.3999999999999999E-4</v>
      </c>
    </row>
    <row r="741" spans="1:52" ht="15" customHeight="1" x14ac:dyDescent="0.25">
      <c r="A741" s="13" t="e">
        <f>VLOOKUP(L741,[1]VALIDAÇÃO!$D$13:$E$350,2,0)</f>
        <v>#N/A</v>
      </c>
      <c r="B741" s="14" t="str">
        <f t="shared" si="144"/>
        <v>697</v>
      </c>
      <c r="C741" s="15">
        <f t="shared" si="143"/>
        <v>697</v>
      </c>
      <c r="D741" s="16" t="str">
        <f t="shared" si="145"/>
        <v>697</v>
      </c>
      <c r="E741" s="17">
        <f t="shared" si="136"/>
        <v>697</v>
      </c>
      <c r="F741" s="18" t="str">
        <f t="shared" si="146"/>
        <v>697</v>
      </c>
      <c r="G741" s="18">
        <f t="shared" si="137"/>
        <v>697</v>
      </c>
      <c r="H741" s="19" t="str">
        <f t="shared" si="147"/>
        <v>697</v>
      </c>
      <c r="I741" s="19">
        <f t="shared" si="138"/>
        <v>697</v>
      </c>
      <c r="J741" s="13"/>
      <c r="K741" s="13"/>
      <c r="L741" s="13"/>
      <c r="M741" s="13"/>
      <c r="N741" s="20"/>
      <c r="O741" s="20"/>
      <c r="P741" s="21"/>
      <c r="Q741" s="22"/>
      <c r="R741" s="23"/>
      <c r="S741" s="24"/>
      <c r="T741" s="23"/>
      <c r="U741" s="24"/>
      <c r="V741" s="23"/>
      <c r="W741" s="23"/>
      <c r="X741" s="24"/>
      <c r="Y741" s="23"/>
      <c r="Z741" s="23"/>
      <c r="AA741" s="23"/>
      <c r="AB741" s="23"/>
      <c r="AC741" s="24"/>
      <c r="AD741" s="23"/>
      <c r="AE741" s="24"/>
      <c r="AF741" s="23"/>
      <c r="AG741" s="23"/>
      <c r="AH741" s="23"/>
      <c r="AI741" s="24"/>
      <c r="AJ741" s="25"/>
      <c r="AK741" s="23"/>
      <c r="AL741" s="23"/>
      <c r="AM741" s="24"/>
      <c r="AN741" s="23"/>
      <c r="AO741" s="24"/>
      <c r="AP741" s="23"/>
      <c r="AQ741" s="24"/>
      <c r="AR741" s="23"/>
      <c r="AS741" s="23"/>
      <c r="AT741" s="23"/>
      <c r="AU741" s="24"/>
      <c r="AW741" s="27">
        <f t="shared" si="139"/>
        <v>7.4100000000000001E-4</v>
      </c>
      <c r="AX741" s="27">
        <f t="shared" si="140"/>
        <v>7.4100000000000001E-4</v>
      </c>
      <c r="AY741" s="27">
        <f t="shared" si="141"/>
        <v>7.4100000000000001E-4</v>
      </c>
      <c r="AZ741" s="27">
        <f t="shared" si="142"/>
        <v>7.4100000000000001E-4</v>
      </c>
    </row>
    <row r="742" spans="1:52" ht="15" customHeight="1" x14ac:dyDescent="0.25">
      <c r="A742" s="13" t="e">
        <f>VLOOKUP(L742,[1]VALIDAÇÃO!$D$13:$E$350,2,0)</f>
        <v>#N/A</v>
      </c>
      <c r="B742" s="14" t="str">
        <f t="shared" si="144"/>
        <v>696</v>
      </c>
      <c r="C742" s="15">
        <f t="shared" si="143"/>
        <v>696</v>
      </c>
      <c r="D742" s="16" t="str">
        <f t="shared" si="145"/>
        <v>696</v>
      </c>
      <c r="E742" s="17">
        <f t="shared" si="136"/>
        <v>696</v>
      </c>
      <c r="F742" s="18" t="str">
        <f t="shared" si="146"/>
        <v>696</v>
      </c>
      <c r="G742" s="18">
        <f t="shared" si="137"/>
        <v>696</v>
      </c>
      <c r="H742" s="19" t="str">
        <f t="shared" si="147"/>
        <v>696</v>
      </c>
      <c r="I742" s="19">
        <f t="shared" si="138"/>
        <v>696</v>
      </c>
      <c r="J742" s="13"/>
      <c r="K742" s="13"/>
      <c r="L742" s="13"/>
      <c r="M742" s="13"/>
      <c r="N742" s="20"/>
      <c r="O742" s="20"/>
      <c r="P742" s="21"/>
      <c r="Q742" s="22"/>
      <c r="R742" s="23"/>
      <c r="S742" s="24"/>
      <c r="T742" s="23"/>
      <c r="U742" s="24"/>
      <c r="V742" s="23"/>
      <c r="W742" s="23"/>
      <c r="X742" s="24"/>
      <c r="Y742" s="23"/>
      <c r="Z742" s="23"/>
      <c r="AA742" s="23"/>
      <c r="AB742" s="23"/>
      <c r="AC742" s="24"/>
      <c r="AD742" s="23"/>
      <c r="AE742" s="24"/>
      <c r="AF742" s="23"/>
      <c r="AG742" s="23"/>
      <c r="AH742" s="23"/>
      <c r="AI742" s="24"/>
      <c r="AJ742" s="25"/>
      <c r="AK742" s="23"/>
      <c r="AL742" s="23"/>
      <c r="AM742" s="24"/>
      <c r="AN742" s="23"/>
      <c r="AO742" s="24"/>
      <c r="AP742" s="23"/>
      <c r="AQ742" s="24"/>
      <c r="AR742" s="23"/>
      <c r="AS742" s="23"/>
      <c r="AT742" s="23"/>
      <c r="AU742" s="24"/>
      <c r="AW742" s="27">
        <f t="shared" si="139"/>
        <v>7.4200000000000004E-4</v>
      </c>
      <c r="AX742" s="27">
        <f t="shared" si="140"/>
        <v>7.4200000000000004E-4</v>
      </c>
      <c r="AY742" s="27">
        <f t="shared" si="141"/>
        <v>7.4200000000000004E-4</v>
      </c>
      <c r="AZ742" s="27">
        <f t="shared" si="142"/>
        <v>7.4200000000000004E-4</v>
      </c>
    </row>
    <row r="743" spans="1:52" ht="15" customHeight="1" x14ac:dyDescent="0.25">
      <c r="A743" s="13" t="e">
        <f>VLOOKUP(L743,[1]VALIDAÇÃO!$D$13:$E$350,2,0)</f>
        <v>#N/A</v>
      </c>
      <c r="B743" s="14" t="str">
        <f t="shared" si="144"/>
        <v>695</v>
      </c>
      <c r="C743" s="15">
        <f t="shared" si="143"/>
        <v>695</v>
      </c>
      <c r="D743" s="16" t="str">
        <f t="shared" si="145"/>
        <v>695</v>
      </c>
      <c r="E743" s="17">
        <f t="shared" si="136"/>
        <v>695</v>
      </c>
      <c r="F743" s="18" t="str">
        <f t="shared" si="146"/>
        <v>695</v>
      </c>
      <c r="G743" s="18">
        <f t="shared" si="137"/>
        <v>695</v>
      </c>
      <c r="H743" s="19" t="str">
        <f t="shared" si="147"/>
        <v>695</v>
      </c>
      <c r="I743" s="19">
        <f t="shared" si="138"/>
        <v>695</v>
      </c>
      <c r="J743" s="13"/>
      <c r="K743" s="13"/>
      <c r="L743" s="13"/>
      <c r="M743" s="13"/>
      <c r="N743" s="20"/>
      <c r="O743" s="20"/>
      <c r="P743" s="21"/>
      <c r="Q743" s="22"/>
      <c r="R743" s="23"/>
      <c r="S743" s="24"/>
      <c r="T743" s="23"/>
      <c r="U743" s="24"/>
      <c r="V743" s="23"/>
      <c r="W743" s="23"/>
      <c r="X743" s="24"/>
      <c r="Y743" s="23"/>
      <c r="Z743" s="23"/>
      <c r="AA743" s="23"/>
      <c r="AB743" s="23"/>
      <c r="AC743" s="24"/>
      <c r="AD743" s="23"/>
      <c r="AE743" s="24"/>
      <c r="AF743" s="23"/>
      <c r="AG743" s="23"/>
      <c r="AH743" s="23"/>
      <c r="AI743" s="24"/>
      <c r="AJ743" s="25"/>
      <c r="AK743" s="23"/>
      <c r="AL743" s="23"/>
      <c r="AM743" s="24"/>
      <c r="AN743" s="23"/>
      <c r="AO743" s="24"/>
      <c r="AP743" s="23"/>
      <c r="AQ743" s="24"/>
      <c r="AR743" s="23"/>
      <c r="AS743" s="23"/>
      <c r="AT743" s="23"/>
      <c r="AU743" s="24"/>
      <c r="AW743" s="27">
        <f t="shared" si="139"/>
        <v>7.4299999999999995E-4</v>
      </c>
      <c r="AX743" s="27">
        <f t="shared" si="140"/>
        <v>7.4299999999999995E-4</v>
      </c>
      <c r="AY743" s="27">
        <f t="shared" si="141"/>
        <v>7.4299999999999995E-4</v>
      </c>
      <c r="AZ743" s="27">
        <f t="shared" si="142"/>
        <v>7.4299999999999995E-4</v>
      </c>
    </row>
    <row r="744" spans="1:52" ht="15" customHeight="1" x14ac:dyDescent="0.25">
      <c r="A744" s="13" t="e">
        <f>VLOOKUP(L744,[1]VALIDAÇÃO!$D$13:$E$350,2,0)</f>
        <v>#N/A</v>
      </c>
      <c r="B744" s="14" t="str">
        <f t="shared" si="144"/>
        <v>694</v>
      </c>
      <c r="C744" s="15">
        <f t="shared" si="143"/>
        <v>694</v>
      </c>
      <c r="D744" s="16" t="str">
        <f t="shared" si="145"/>
        <v>694</v>
      </c>
      <c r="E744" s="17">
        <f t="shared" si="136"/>
        <v>694</v>
      </c>
      <c r="F744" s="18" t="str">
        <f t="shared" si="146"/>
        <v>694</v>
      </c>
      <c r="G744" s="18">
        <f t="shared" si="137"/>
        <v>694</v>
      </c>
      <c r="H744" s="19" t="str">
        <f t="shared" si="147"/>
        <v>694</v>
      </c>
      <c r="I744" s="19">
        <f t="shared" si="138"/>
        <v>694</v>
      </c>
      <c r="J744" s="13"/>
      <c r="K744" s="13"/>
      <c r="L744" s="13"/>
      <c r="M744" s="13"/>
      <c r="N744" s="20"/>
      <c r="O744" s="20"/>
      <c r="P744" s="21"/>
      <c r="Q744" s="22"/>
      <c r="R744" s="23"/>
      <c r="S744" s="24"/>
      <c r="T744" s="23"/>
      <c r="U744" s="24"/>
      <c r="V744" s="23"/>
      <c r="W744" s="23"/>
      <c r="X744" s="24"/>
      <c r="Y744" s="23"/>
      <c r="Z744" s="23"/>
      <c r="AA744" s="23"/>
      <c r="AB744" s="23"/>
      <c r="AC744" s="24"/>
      <c r="AD744" s="23"/>
      <c r="AE744" s="24"/>
      <c r="AF744" s="23"/>
      <c r="AG744" s="23"/>
      <c r="AH744" s="23"/>
      <c r="AI744" s="24"/>
      <c r="AJ744" s="25"/>
      <c r="AK744" s="23"/>
      <c r="AL744" s="23"/>
      <c r="AM744" s="24"/>
      <c r="AN744" s="23"/>
      <c r="AO744" s="24"/>
      <c r="AP744" s="23"/>
      <c r="AQ744" s="24"/>
      <c r="AR744" s="23"/>
      <c r="AS744" s="23"/>
      <c r="AT744" s="23"/>
      <c r="AU744" s="24"/>
      <c r="AW744" s="27">
        <f t="shared" si="139"/>
        <v>7.4399999999999998E-4</v>
      </c>
      <c r="AX744" s="27">
        <f t="shared" si="140"/>
        <v>7.4399999999999998E-4</v>
      </c>
      <c r="AY744" s="27">
        <f t="shared" si="141"/>
        <v>7.4399999999999998E-4</v>
      </c>
      <c r="AZ744" s="27">
        <f t="shared" si="142"/>
        <v>7.4399999999999998E-4</v>
      </c>
    </row>
    <row r="745" spans="1:52" ht="15" customHeight="1" x14ac:dyDescent="0.25">
      <c r="A745" s="13" t="e">
        <f>VLOOKUP(L745,[1]VALIDAÇÃO!$D$13:$E$350,2,0)</f>
        <v>#N/A</v>
      </c>
      <c r="B745" s="14" t="str">
        <f t="shared" si="144"/>
        <v>693</v>
      </c>
      <c r="C745" s="15">
        <f t="shared" si="143"/>
        <v>693</v>
      </c>
      <c r="D745" s="16" t="str">
        <f t="shared" si="145"/>
        <v>693</v>
      </c>
      <c r="E745" s="17">
        <f t="shared" si="136"/>
        <v>693</v>
      </c>
      <c r="F745" s="18" t="str">
        <f t="shared" si="146"/>
        <v>693</v>
      </c>
      <c r="G745" s="18">
        <f t="shared" si="137"/>
        <v>693</v>
      </c>
      <c r="H745" s="19" t="str">
        <f t="shared" si="147"/>
        <v>693</v>
      </c>
      <c r="I745" s="19">
        <f t="shared" si="138"/>
        <v>693</v>
      </c>
      <c r="J745" s="13"/>
      <c r="K745" s="13"/>
      <c r="L745" s="13"/>
      <c r="M745" s="13"/>
      <c r="N745" s="20"/>
      <c r="O745" s="20"/>
      <c r="P745" s="21"/>
      <c r="Q745" s="22"/>
      <c r="R745" s="23"/>
      <c r="S745" s="24"/>
      <c r="T745" s="23"/>
      <c r="U745" s="24"/>
      <c r="V745" s="23"/>
      <c r="W745" s="23"/>
      <c r="X745" s="24"/>
      <c r="Y745" s="23"/>
      <c r="Z745" s="23"/>
      <c r="AA745" s="23"/>
      <c r="AB745" s="23"/>
      <c r="AC745" s="24"/>
      <c r="AD745" s="23"/>
      <c r="AE745" s="24"/>
      <c r="AF745" s="23"/>
      <c r="AG745" s="23"/>
      <c r="AH745" s="23"/>
      <c r="AI745" s="24"/>
      <c r="AJ745" s="25"/>
      <c r="AK745" s="23"/>
      <c r="AL745" s="23"/>
      <c r="AM745" s="24"/>
      <c r="AN745" s="23"/>
      <c r="AO745" s="24"/>
      <c r="AP745" s="23"/>
      <c r="AQ745" s="24"/>
      <c r="AR745" s="23"/>
      <c r="AS745" s="23"/>
      <c r="AT745" s="23"/>
      <c r="AU745" s="24"/>
      <c r="AW745" s="27">
        <f t="shared" si="139"/>
        <v>7.45E-4</v>
      </c>
      <c r="AX745" s="27">
        <f t="shared" si="140"/>
        <v>7.45E-4</v>
      </c>
      <c r="AY745" s="27">
        <f t="shared" si="141"/>
        <v>7.45E-4</v>
      </c>
      <c r="AZ745" s="27">
        <f t="shared" si="142"/>
        <v>7.45E-4</v>
      </c>
    </row>
    <row r="746" spans="1:52" ht="15" customHeight="1" x14ac:dyDescent="0.25">
      <c r="A746" s="13" t="e">
        <f>VLOOKUP(L746,[1]VALIDAÇÃO!$D$13:$E$350,2,0)</f>
        <v>#N/A</v>
      </c>
      <c r="B746" s="14" t="str">
        <f t="shared" si="144"/>
        <v>692</v>
      </c>
      <c r="C746" s="15">
        <f t="shared" si="143"/>
        <v>692</v>
      </c>
      <c r="D746" s="16" t="str">
        <f t="shared" si="145"/>
        <v>692</v>
      </c>
      <c r="E746" s="17">
        <f t="shared" si="136"/>
        <v>692</v>
      </c>
      <c r="F746" s="18" t="str">
        <f t="shared" si="146"/>
        <v>692</v>
      </c>
      <c r="G746" s="18">
        <f t="shared" si="137"/>
        <v>692</v>
      </c>
      <c r="H746" s="19" t="str">
        <f t="shared" si="147"/>
        <v>692</v>
      </c>
      <c r="I746" s="19">
        <f t="shared" si="138"/>
        <v>692</v>
      </c>
      <c r="J746" s="13"/>
      <c r="K746" s="13"/>
      <c r="L746" s="13"/>
      <c r="M746" s="13"/>
      <c r="N746" s="20"/>
      <c r="O746" s="20"/>
      <c r="P746" s="21"/>
      <c r="Q746" s="22"/>
      <c r="R746" s="23"/>
      <c r="S746" s="24"/>
      <c r="T746" s="23"/>
      <c r="U746" s="24"/>
      <c r="V746" s="23"/>
      <c r="W746" s="23"/>
      <c r="X746" s="24"/>
      <c r="Y746" s="23"/>
      <c r="Z746" s="23"/>
      <c r="AA746" s="23"/>
      <c r="AB746" s="23"/>
      <c r="AC746" s="24"/>
      <c r="AD746" s="23"/>
      <c r="AE746" s="24"/>
      <c r="AF746" s="23"/>
      <c r="AG746" s="23"/>
      <c r="AH746" s="23"/>
      <c r="AI746" s="24"/>
      <c r="AJ746" s="25"/>
      <c r="AK746" s="23"/>
      <c r="AL746" s="23"/>
      <c r="AM746" s="24"/>
      <c r="AN746" s="23"/>
      <c r="AO746" s="24"/>
      <c r="AP746" s="23"/>
      <c r="AQ746" s="24"/>
      <c r="AR746" s="23"/>
      <c r="AS746" s="23"/>
      <c r="AT746" s="23"/>
      <c r="AU746" s="24"/>
      <c r="AW746" s="27">
        <f t="shared" si="139"/>
        <v>7.4600000000000003E-4</v>
      </c>
      <c r="AX746" s="27">
        <f t="shared" si="140"/>
        <v>7.4600000000000003E-4</v>
      </c>
      <c r="AY746" s="27">
        <f t="shared" si="141"/>
        <v>7.4600000000000003E-4</v>
      </c>
      <c r="AZ746" s="27">
        <f t="shared" si="142"/>
        <v>7.4600000000000003E-4</v>
      </c>
    </row>
    <row r="747" spans="1:52" ht="15" customHeight="1" x14ac:dyDescent="0.25">
      <c r="A747" s="13" t="e">
        <f>VLOOKUP(L747,[1]VALIDAÇÃO!$D$13:$E$350,2,0)</f>
        <v>#N/A</v>
      </c>
      <c r="B747" s="14" t="str">
        <f t="shared" si="144"/>
        <v>691</v>
      </c>
      <c r="C747" s="15">
        <f t="shared" si="143"/>
        <v>691</v>
      </c>
      <c r="D747" s="16" t="str">
        <f t="shared" si="145"/>
        <v>691</v>
      </c>
      <c r="E747" s="17">
        <f t="shared" si="136"/>
        <v>691</v>
      </c>
      <c r="F747" s="18" t="str">
        <f t="shared" si="146"/>
        <v>691</v>
      </c>
      <c r="G747" s="18">
        <f t="shared" si="137"/>
        <v>691</v>
      </c>
      <c r="H747" s="19" t="str">
        <f t="shared" si="147"/>
        <v>691</v>
      </c>
      <c r="I747" s="19">
        <f t="shared" si="138"/>
        <v>691</v>
      </c>
      <c r="J747" s="13"/>
      <c r="K747" s="13"/>
      <c r="L747" s="13"/>
      <c r="M747" s="13"/>
      <c r="N747" s="20"/>
      <c r="O747" s="20"/>
      <c r="P747" s="21"/>
      <c r="Q747" s="22"/>
      <c r="R747" s="23"/>
      <c r="S747" s="24"/>
      <c r="T747" s="23"/>
      <c r="U747" s="24"/>
      <c r="V747" s="23"/>
      <c r="W747" s="23"/>
      <c r="X747" s="24"/>
      <c r="Y747" s="23"/>
      <c r="Z747" s="23"/>
      <c r="AA747" s="23"/>
      <c r="AB747" s="23"/>
      <c r="AC747" s="24"/>
      <c r="AD747" s="23"/>
      <c r="AE747" s="24"/>
      <c r="AF747" s="23"/>
      <c r="AG747" s="23"/>
      <c r="AH747" s="23"/>
      <c r="AI747" s="24"/>
      <c r="AJ747" s="25"/>
      <c r="AK747" s="23"/>
      <c r="AL747" s="23"/>
      <c r="AM747" s="24"/>
      <c r="AN747" s="23"/>
      <c r="AO747" s="24"/>
      <c r="AP747" s="23"/>
      <c r="AQ747" s="24"/>
      <c r="AR747" s="23"/>
      <c r="AS747" s="23"/>
      <c r="AT747" s="23"/>
      <c r="AU747" s="24"/>
      <c r="AW747" s="27">
        <f t="shared" si="139"/>
        <v>7.4700000000000005E-4</v>
      </c>
      <c r="AX747" s="27">
        <f t="shared" si="140"/>
        <v>7.4700000000000005E-4</v>
      </c>
      <c r="AY747" s="27">
        <f t="shared" si="141"/>
        <v>7.4700000000000005E-4</v>
      </c>
      <c r="AZ747" s="27">
        <f t="shared" si="142"/>
        <v>7.4700000000000005E-4</v>
      </c>
    </row>
    <row r="748" spans="1:52" ht="15" customHeight="1" x14ac:dyDescent="0.25">
      <c r="A748" s="13" t="e">
        <f>VLOOKUP(L748,[1]VALIDAÇÃO!$D$13:$E$350,2,0)</f>
        <v>#N/A</v>
      </c>
      <c r="B748" s="14" t="str">
        <f t="shared" si="144"/>
        <v>690</v>
      </c>
      <c r="C748" s="15">
        <f t="shared" si="143"/>
        <v>690</v>
      </c>
      <c r="D748" s="16" t="str">
        <f t="shared" si="145"/>
        <v>690</v>
      </c>
      <c r="E748" s="17">
        <f t="shared" si="136"/>
        <v>690</v>
      </c>
      <c r="F748" s="18" t="str">
        <f t="shared" si="146"/>
        <v>690</v>
      </c>
      <c r="G748" s="18">
        <f t="shared" si="137"/>
        <v>690</v>
      </c>
      <c r="H748" s="19" t="str">
        <f t="shared" si="147"/>
        <v>690</v>
      </c>
      <c r="I748" s="19">
        <f t="shared" si="138"/>
        <v>690</v>
      </c>
      <c r="J748" s="13"/>
      <c r="K748" s="13"/>
      <c r="L748" s="13"/>
      <c r="M748" s="13"/>
      <c r="N748" s="20"/>
      <c r="O748" s="20"/>
      <c r="P748" s="21"/>
      <c r="Q748" s="22"/>
      <c r="R748" s="23"/>
      <c r="S748" s="24"/>
      <c r="T748" s="23"/>
      <c r="U748" s="24"/>
      <c r="V748" s="23"/>
      <c r="W748" s="23"/>
      <c r="X748" s="24"/>
      <c r="Y748" s="23"/>
      <c r="Z748" s="23"/>
      <c r="AA748" s="23"/>
      <c r="AB748" s="23"/>
      <c r="AC748" s="24"/>
      <c r="AD748" s="23"/>
      <c r="AE748" s="24"/>
      <c r="AF748" s="23"/>
      <c r="AG748" s="23"/>
      <c r="AH748" s="23"/>
      <c r="AI748" s="24"/>
      <c r="AJ748" s="25"/>
      <c r="AK748" s="23"/>
      <c r="AL748" s="23"/>
      <c r="AM748" s="24"/>
      <c r="AN748" s="23"/>
      <c r="AO748" s="24"/>
      <c r="AP748" s="23"/>
      <c r="AQ748" s="24"/>
      <c r="AR748" s="23"/>
      <c r="AS748" s="23"/>
      <c r="AT748" s="23"/>
      <c r="AU748" s="24"/>
      <c r="AW748" s="27">
        <f t="shared" si="139"/>
        <v>7.4799999999999997E-4</v>
      </c>
      <c r="AX748" s="27">
        <f t="shared" si="140"/>
        <v>7.4799999999999997E-4</v>
      </c>
      <c r="AY748" s="27">
        <f t="shared" si="141"/>
        <v>7.4799999999999997E-4</v>
      </c>
      <c r="AZ748" s="27">
        <f t="shared" si="142"/>
        <v>7.4799999999999997E-4</v>
      </c>
    </row>
    <row r="749" spans="1:52" ht="15" customHeight="1" x14ac:dyDescent="0.25">
      <c r="A749" s="13" t="e">
        <f>VLOOKUP(L749,[1]VALIDAÇÃO!$D$13:$E$350,2,0)</f>
        <v>#N/A</v>
      </c>
      <c r="B749" s="14" t="str">
        <f t="shared" si="144"/>
        <v>689</v>
      </c>
      <c r="C749" s="15">
        <f t="shared" si="143"/>
        <v>689</v>
      </c>
      <c r="D749" s="16" t="str">
        <f t="shared" si="145"/>
        <v>689</v>
      </c>
      <c r="E749" s="17">
        <f t="shared" si="136"/>
        <v>689</v>
      </c>
      <c r="F749" s="18" t="str">
        <f t="shared" si="146"/>
        <v>689</v>
      </c>
      <c r="G749" s="18">
        <f t="shared" si="137"/>
        <v>689</v>
      </c>
      <c r="H749" s="19" t="str">
        <f t="shared" si="147"/>
        <v>689</v>
      </c>
      <c r="I749" s="19">
        <f t="shared" si="138"/>
        <v>689</v>
      </c>
      <c r="J749" s="13"/>
      <c r="K749" s="13"/>
      <c r="L749" s="13"/>
      <c r="M749" s="13"/>
      <c r="N749" s="20"/>
      <c r="O749" s="20"/>
      <c r="P749" s="21"/>
      <c r="Q749" s="22"/>
      <c r="R749" s="23"/>
      <c r="S749" s="24"/>
      <c r="T749" s="23"/>
      <c r="U749" s="24"/>
      <c r="V749" s="23"/>
      <c r="W749" s="23"/>
      <c r="X749" s="24"/>
      <c r="Y749" s="23"/>
      <c r="Z749" s="23"/>
      <c r="AA749" s="23"/>
      <c r="AB749" s="23"/>
      <c r="AC749" s="24"/>
      <c r="AD749" s="23"/>
      <c r="AE749" s="24"/>
      <c r="AF749" s="23"/>
      <c r="AG749" s="23"/>
      <c r="AH749" s="23"/>
      <c r="AI749" s="24"/>
      <c r="AJ749" s="25"/>
      <c r="AK749" s="23"/>
      <c r="AL749" s="23"/>
      <c r="AM749" s="24"/>
      <c r="AN749" s="23"/>
      <c r="AO749" s="24"/>
      <c r="AP749" s="23"/>
      <c r="AQ749" s="24"/>
      <c r="AR749" s="23"/>
      <c r="AS749" s="23"/>
      <c r="AT749" s="23"/>
      <c r="AU749" s="24"/>
      <c r="AW749" s="27">
        <f t="shared" si="139"/>
        <v>7.4899999999999999E-4</v>
      </c>
      <c r="AX749" s="27">
        <f t="shared" si="140"/>
        <v>7.4899999999999999E-4</v>
      </c>
      <c r="AY749" s="27">
        <f t="shared" si="141"/>
        <v>7.4899999999999999E-4</v>
      </c>
      <c r="AZ749" s="27">
        <f t="shared" si="142"/>
        <v>7.4899999999999999E-4</v>
      </c>
    </row>
    <row r="750" spans="1:52" ht="15" customHeight="1" x14ac:dyDescent="0.25">
      <c r="A750" s="13" t="e">
        <f>VLOOKUP(L750,[1]VALIDAÇÃO!$D$13:$E$350,2,0)</f>
        <v>#N/A</v>
      </c>
      <c r="B750" s="14" t="str">
        <f t="shared" si="144"/>
        <v>688</v>
      </c>
      <c r="C750" s="15">
        <f t="shared" si="143"/>
        <v>688</v>
      </c>
      <c r="D750" s="16" t="str">
        <f t="shared" si="145"/>
        <v>688</v>
      </c>
      <c r="E750" s="17">
        <f t="shared" si="136"/>
        <v>688</v>
      </c>
      <c r="F750" s="18" t="str">
        <f t="shared" si="146"/>
        <v>688</v>
      </c>
      <c r="G750" s="18">
        <f t="shared" si="137"/>
        <v>688</v>
      </c>
      <c r="H750" s="19" t="str">
        <f t="shared" si="147"/>
        <v>688</v>
      </c>
      <c r="I750" s="19">
        <f t="shared" si="138"/>
        <v>688</v>
      </c>
      <c r="J750" s="13"/>
      <c r="K750" s="13"/>
      <c r="L750" s="13"/>
      <c r="M750" s="13"/>
      <c r="N750" s="20"/>
      <c r="O750" s="20"/>
      <c r="P750" s="21"/>
      <c r="Q750" s="22"/>
      <c r="R750" s="23"/>
      <c r="S750" s="24"/>
      <c r="T750" s="23"/>
      <c r="U750" s="24"/>
      <c r="V750" s="23"/>
      <c r="W750" s="23"/>
      <c r="X750" s="24"/>
      <c r="Y750" s="23"/>
      <c r="Z750" s="23"/>
      <c r="AA750" s="23"/>
      <c r="AB750" s="23"/>
      <c r="AC750" s="24"/>
      <c r="AD750" s="23"/>
      <c r="AE750" s="24"/>
      <c r="AF750" s="23"/>
      <c r="AG750" s="23"/>
      <c r="AH750" s="23"/>
      <c r="AI750" s="24"/>
      <c r="AJ750" s="25"/>
      <c r="AK750" s="23"/>
      <c r="AL750" s="23"/>
      <c r="AM750" s="24"/>
      <c r="AN750" s="23"/>
      <c r="AO750" s="24"/>
      <c r="AP750" s="23"/>
      <c r="AQ750" s="24"/>
      <c r="AR750" s="23"/>
      <c r="AS750" s="23"/>
      <c r="AT750" s="23"/>
      <c r="AU750" s="24"/>
      <c r="AW750" s="27">
        <f t="shared" si="139"/>
        <v>7.5000000000000002E-4</v>
      </c>
      <c r="AX750" s="27">
        <f t="shared" si="140"/>
        <v>7.5000000000000002E-4</v>
      </c>
      <c r="AY750" s="27">
        <f t="shared" si="141"/>
        <v>7.5000000000000002E-4</v>
      </c>
      <c r="AZ750" s="27">
        <f t="shared" si="142"/>
        <v>7.5000000000000002E-4</v>
      </c>
    </row>
    <row r="751" spans="1:52" ht="15" customHeight="1" x14ac:dyDescent="0.25">
      <c r="A751" s="13" t="e">
        <f>VLOOKUP(L751,[1]VALIDAÇÃO!$D$13:$E$350,2,0)</f>
        <v>#N/A</v>
      </c>
      <c r="B751" s="14" t="str">
        <f t="shared" si="144"/>
        <v>687</v>
      </c>
      <c r="C751" s="15">
        <f t="shared" si="143"/>
        <v>687</v>
      </c>
      <c r="D751" s="16" t="str">
        <f t="shared" si="145"/>
        <v>687</v>
      </c>
      <c r="E751" s="17">
        <f t="shared" si="136"/>
        <v>687</v>
      </c>
      <c r="F751" s="18" t="str">
        <f t="shared" si="146"/>
        <v>687</v>
      </c>
      <c r="G751" s="18">
        <f t="shared" si="137"/>
        <v>687</v>
      </c>
      <c r="H751" s="19" t="str">
        <f t="shared" si="147"/>
        <v>687</v>
      </c>
      <c r="I751" s="19">
        <f t="shared" si="138"/>
        <v>687</v>
      </c>
      <c r="J751" s="13"/>
      <c r="K751" s="13"/>
      <c r="L751" s="13"/>
      <c r="M751" s="13"/>
      <c r="N751" s="20"/>
      <c r="O751" s="20"/>
      <c r="P751" s="21"/>
      <c r="Q751" s="22"/>
      <c r="R751" s="23"/>
      <c r="S751" s="24"/>
      <c r="T751" s="23"/>
      <c r="U751" s="24"/>
      <c r="V751" s="23"/>
      <c r="W751" s="23"/>
      <c r="X751" s="24"/>
      <c r="Y751" s="23"/>
      <c r="Z751" s="23"/>
      <c r="AA751" s="23"/>
      <c r="AB751" s="23"/>
      <c r="AC751" s="24"/>
      <c r="AD751" s="23"/>
      <c r="AE751" s="24"/>
      <c r="AF751" s="23"/>
      <c r="AG751" s="23"/>
      <c r="AH751" s="23"/>
      <c r="AI751" s="24"/>
      <c r="AJ751" s="25"/>
      <c r="AK751" s="23"/>
      <c r="AL751" s="23"/>
      <c r="AM751" s="24"/>
      <c r="AN751" s="23"/>
      <c r="AO751" s="24"/>
      <c r="AP751" s="23"/>
      <c r="AQ751" s="24"/>
      <c r="AR751" s="23"/>
      <c r="AS751" s="23"/>
      <c r="AT751" s="23"/>
      <c r="AU751" s="24"/>
      <c r="AW751" s="27">
        <f t="shared" si="139"/>
        <v>7.5100000000000004E-4</v>
      </c>
      <c r="AX751" s="27">
        <f t="shared" si="140"/>
        <v>7.5100000000000004E-4</v>
      </c>
      <c r="AY751" s="27">
        <f t="shared" si="141"/>
        <v>7.5100000000000004E-4</v>
      </c>
      <c r="AZ751" s="27">
        <f t="shared" si="142"/>
        <v>7.5100000000000004E-4</v>
      </c>
    </row>
    <row r="752" spans="1:52" ht="15" customHeight="1" x14ac:dyDescent="0.25">
      <c r="A752" s="13" t="e">
        <f>VLOOKUP(L752,[1]VALIDAÇÃO!$D$13:$E$350,2,0)</f>
        <v>#N/A</v>
      </c>
      <c r="B752" s="14" t="str">
        <f t="shared" si="144"/>
        <v>686</v>
      </c>
      <c r="C752" s="15">
        <f t="shared" si="143"/>
        <v>686</v>
      </c>
      <c r="D752" s="16" t="str">
        <f t="shared" si="145"/>
        <v>686</v>
      </c>
      <c r="E752" s="17">
        <f t="shared" si="136"/>
        <v>686</v>
      </c>
      <c r="F752" s="18" t="str">
        <f t="shared" si="146"/>
        <v>686</v>
      </c>
      <c r="G752" s="18">
        <f t="shared" si="137"/>
        <v>686</v>
      </c>
      <c r="H752" s="19" t="str">
        <f t="shared" si="147"/>
        <v>686</v>
      </c>
      <c r="I752" s="19">
        <f t="shared" si="138"/>
        <v>686</v>
      </c>
      <c r="J752" s="13"/>
      <c r="K752" s="13"/>
      <c r="L752" s="13"/>
      <c r="M752" s="13"/>
      <c r="N752" s="20"/>
      <c r="O752" s="20"/>
      <c r="P752" s="21"/>
      <c r="Q752" s="22"/>
      <c r="R752" s="23"/>
      <c r="S752" s="24"/>
      <c r="T752" s="23"/>
      <c r="U752" s="24"/>
      <c r="V752" s="23"/>
      <c r="W752" s="23"/>
      <c r="X752" s="24"/>
      <c r="Y752" s="23"/>
      <c r="Z752" s="23"/>
      <c r="AA752" s="23"/>
      <c r="AB752" s="23"/>
      <c r="AC752" s="24"/>
      <c r="AD752" s="23"/>
      <c r="AE752" s="24"/>
      <c r="AF752" s="23"/>
      <c r="AG752" s="23"/>
      <c r="AH752" s="23"/>
      <c r="AI752" s="24"/>
      <c r="AJ752" s="25"/>
      <c r="AK752" s="23"/>
      <c r="AL752" s="23"/>
      <c r="AM752" s="24"/>
      <c r="AN752" s="23"/>
      <c r="AO752" s="24"/>
      <c r="AP752" s="23"/>
      <c r="AQ752" s="24"/>
      <c r="AR752" s="23"/>
      <c r="AS752" s="23"/>
      <c r="AT752" s="23"/>
      <c r="AU752" s="24"/>
      <c r="AW752" s="27">
        <f t="shared" si="139"/>
        <v>7.5199999999999996E-4</v>
      </c>
      <c r="AX752" s="27">
        <f t="shared" si="140"/>
        <v>7.5199999999999996E-4</v>
      </c>
      <c r="AY752" s="27">
        <f t="shared" si="141"/>
        <v>7.5199999999999996E-4</v>
      </c>
      <c r="AZ752" s="27">
        <f t="shared" si="142"/>
        <v>7.5199999999999996E-4</v>
      </c>
    </row>
    <row r="753" spans="1:52" ht="15" customHeight="1" x14ac:dyDescent="0.25">
      <c r="A753" s="13" t="e">
        <f>VLOOKUP(L753,[1]VALIDAÇÃO!$D$13:$E$350,2,0)</f>
        <v>#N/A</v>
      </c>
      <c r="B753" s="14" t="str">
        <f t="shared" si="144"/>
        <v>685</v>
      </c>
      <c r="C753" s="15">
        <f t="shared" si="143"/>
        <v>685</v>
      </c>
      <c r="D753" s="16" t="str">
        <f t="shared" si="145"/>
        <v>685</v>
      </c>
      <c r="E753" s="17">
        <f t="shared" si="136"/>
        <v>685</v>
      </c>
      <c r="F753" s="18" t="str">
        <f t="shared" si="146"/>
        <v>685</v>
      </c>
      <c r="G753" s="18">
        <f t="shared" si="137"/>
        <v>685</v>
      </c>
      <c r="H753" s="19" t="str">
        <f t="shared" si="147"/>
        <v>685</v>
      </c>
      <c r="I753" s="19">
        <f t="shared" si="138"/>
        <v>685</v>
      </c>
      <c r="J753" s="13"/>
      <c r="K753" s="13"/>
      <c r="L753" s="13"/>
      <c r="M753" s="13"/>
      <c r="N753" s="20"/>
      <c r="O753" s="20"/>
      <c r="P753" s="21"/>
      <c r="Q753" s="22"/>
      <c r="R753" s="23"/>
      <c r="S753" s="24"/>
      <c r="T753" s="23"/>
      <c r="U753" s="24"/>
      <c r="V753" s="23"/>
      <c r="W753" s="23"/>
      <c r="X753" s="24"/>
      <c r="Y753" s="23"/>
      <c r="Z753" s="23"/>
      <c r="AA753" s="23"/>
      <c r="AB753" s="23"/>
      <c r="AC753" s="24"/>
      <c r="AD753" s="23"/>
      <c r="AE753" s="24"/>
      <c r="AF753" s="23"/>
      <c r="AG753" s="23"/>
      <c r="AH753" s="23"/>
      <c r="AI753" s="24"/>
      <c r="AJ753" s="25"/>
      <c r="AK753" s="23"/>
      <c r="AL753" s="23"/>
      <c r="AM753" s="24"/>
      <c r="AN753" s="23"/>
      <c r="AO753" s="24"/>
      <c r="AP753" s="23"/>
      <c r="AQ753" s="24"/>
      <c r="AR753" s="23"/>
      <c r="AS753" s="23"/>
      <c r="AT753" s="23"/>
      <c r="AU753" s="24"/>
      <c r="AW753" s="27">
        <f t="shared" si="139"/>
        <v>7.5299999999999998E-4</v>
      </c>
      <c r="AX753" s="27">
        <f t="shared" si="140"/>
        <v>7.5299999999999998E-4</v>
      </c>
      <c r="AY753" s="27">
        <f t="shared" si="141"/>
        <v>7.5299999999999998E-4</v>
      </c>
      <c r="AZ753" s="27">
        <f t="shared" si="142"/>
        <v>7.5299999999999998E-4</v>
      </c>
    </row>
    <row r="754" spans="1:52" ht="15" customHeight="1" x14ac:dyDescent="0.25">
      <c r="A754" s="13" t="e">
        <f>VLOOKUP(L754,[1]VALIDAÇÃO!$D$13:$E$350,2,0)</f>
        <v>#N/A</v>
      </c>
      <c r="B754" s="14" t="str">
        <f t="shared" si="144"/>
        <v>684</v>
      </c>
      <c r="C754" s="15">
        <f t="shared" si="143"/>
        <v>684</v>
      </c>
      <c r="D754" s="16" t="str">
        <f t="shared" si="145"/>
        <v>684</v>
      </c>
      <c r="E754" s="17">
        <f t="shared" si="136"/>
        <v>684</v>
      </c>
      <c r="F754" s="18" t="str">
        <f t="shared" si="146"/>
        <v>684</v>
      </c>
      <c r="G754" s="18">
        <f t="shared" si="137"/>
        <v>684</v>
      </c>
      <c r="H754" s="19" t="str">
        <f t="shared" si="147"/>
        <v>684</v>
      </c>
      <c r="I754" s="19">
        <f t="shared" si="138"/>
        <v>684</v>
      </c>
      <c r="J754" s="13"/>
      <c r="K754" s="13"/>
      <c r="L754" s="13"/>
      <c r="M754" s="13"/>
      <c r="N754" s="20"/>
      <c r="O754" s="20"/>
      <c r="P754" s="21"/>
      <c r="Q754" s="22"/>
      <c r="R754" s="23"/>
      <c r="S754" s="24"/>
      <c r="T754" s="23"/>
      <c r="U754" s="24"/>
      <c r="V754" s="23"/>
      <c r="W754" s="23"/>
      <c r="X754" s="24"/>
      <c r="Y754" s="23"/>
      <c r="Z754" s="23"/>
      <c r="AA754" s="23"/>
      <c r="AB754" s="23"/>
      <c r="AC754" s="24"/>
      <c r="AD754" s="23"/>
      <c r="AE754" s="24"/>
      <c r="AF754" s="23"/>
      <c r="AG754" s="23"/>
      <c r="AH754" s="23"/>
      <c r="AI754" s="24"/>
      <c r="AJ754" s="25"/>
      <c r="AK754" s="23"/>
      <c r="AL754" s="23"/>
      <c r="AM754" s="24"/>
      <c r="AN754" s="23"/>
      <c r="AO754" s="24"/>
      <c r="AP754" s="23"/>
      <c r="AQ754" s="24"/>
      <c r="AR754" s="23"/>
      <c r="AS754" s="23"/>
      <c r="AT754" s="23"/>
      <c r="AU754" s="24"/>
      <c r="AW754" s="27">
        <f t="shared" si="139"/>
        <v>7.54E-4</v>
      </c>
      <c r="AX754" s="27">
        <f t="shared" si="140"/>
        <v>7.54E-4</v>
      </c>
      <c r="AY754" s="27">
        <f t="shared" si="141"/>
        <v>7.54E-4</v>
      </c>
      <c r="AZ754" s="27">
        <f t="shared" si="142"/>
        <v>7.54E-4</v>
      </c>
    </row>
    <row r="755" spans="1:52" ht="15" customHeight="1" x14ac:dyDescent="0.25">
      <c r="A755" s="13" t="e">
        <f>VLOOKUP(L755,[1]VALIDAÇÃO!$D$13:$E$350,2,0)</f>
        <v>#N/A</v>
      </c>
      <c r="B755" s="14" t="str">
        <f t="shared" si="144"/>
        <v>683</v>
      </c>
      <c r="C755" s="15">
        <f t="shared" si="143"/>
        <v>683</v>
      </c>
      <c r="D755" s="16" t="str">
        <f t="shared" si="145"/>
        <v>683</v>
      </c>
      <c r="E755" s="17">
        <f t="shared" si="136"/>
        <v>683</v>
      </c>
      <c r="F755" s="18" t="str">
        <f t="shared" si="146"/>
        <v>683</v>
      </c>
      <c r="G755" s="18">
        <f t="shared" si="137"/>
        <v>683</v>
      </c>
      <c r="H755" s="19" t="str">
        <f t="shared" si="147"/>
        <v>683</v>
      </c>
      <c r="I755" s="19">
        <f t="shared" si="138"/>
        <v>683</v>
      </c>
      <c r="J755" s="13"/>
      <c r="K755" s="13"/>
      <c r="L755" s="13"/>
      <c r="M755" s="13"/>
      <c r="N755" s="20"/>
      <c r="O755" s="20"/>
      <c r="P755" s="21"/>
      <c r="Q755" s="22"/>
      <c r="R755" s="23"/>
      <c r="S755" s="24"/>
      <c r="T755" s="23"/>
      <c r="U755" s="24"/>
      <c r="V755" s="23"/>
      <c r="W755" s="23"/>
      <c r="X755" s="24"/>
      <c r="Y755" s="23"/>
      <c r="Z755" s="23"/>
      <c r="AA755" s="23"/>
      <c r="AB755" s="23"/>
      <c r="AC755" s="24"/>
      <c r="AD755" s="23"/>
      <c r="AE755" s="24"/>
      <c r="AF755" s="23"/>
      <c r="AG755" s="23"/>
      <c r="AH755" s="23"/>
      <c r="AI755" s="24"/>
      <c r="AJ755" s="25"/>
      <c r="AK755" s="23"/>
      <c r="AL755" s="23"/>
      <c r="AM755" s="24"/>
      <c r="AN755" s="23"/>
      <c r="AO755" s="24"/>
      <c r="AP755" s="23"/>
      <c r="AQ755" s="24"/>
      <c r="AR755" s="23"/>
      <c r="AS755" s="23"/>
      <c r="AT755" s="23"/>
      <c r="AU755" s="24"/>
      <c r="AW755" s="27">
        <f t="shared" si="139"/>
        <v>7.5500000000000003E-4</v>
      </c>
      <c r="AX755" s="27">
        <f t="shared" si="140"/>
        <v>7.5500000000000003E-4</v>
      </c>
      <c r="AY755" s="27">
        <f t="shared" si="141"/>
        <v>7.5500000000000003E-4</v>
      </c>
      <c r="AZ755" s="27">
        <f t="shared" si="142"/>
        <v>7.5500000000000003E-4</v>
      </c>
    </row>
    <row r="756" spans="1:52" ht="15" customHeight="1" x14ac:dyDescent="0.25">
      <c r="A756" s="13" t="e">
        <f>VLOOKUP(L756,[1]VALIDAÇÃO!$D$13:$E$350,2,0)</f>
        <v>#N/A</v>
      </c>
      <c r="B756" s="14" t="str">
        <f t="shared" si="144"/>
        <v>682</v>
      </c>
      <c r="C756" s="15">
        <f t="shared" si="143"/>
        <v>682</v>
      </c>
      <c r="D756" s="16" t="str">
        <f t="shared" si="145"/>
        <v>682</v>
      </c>
      <c r="E756" s="17">
        <f t="shared" si="136"/>
        <v>682</v>
      </c>
      <c r="F756" s="18" t="str">
        <f t="shared" si="146"/>
        <v>682</v>
      </c>
      <c r="G756" s="18">
        <f t="shared" si="137"/>
        <v>682</v>
      </c>
      <c r="H756" s="19" t="str">
        <f t="shared" si="147"/>
        <v>682</v>
      </c>
      <c r="I756" s="19">
        <f t="shared" si="138"/>
        <v>682</v>
      </c>
      <c r="J756" s="13"/>
      <c r="K756" s="13"/>
      <c r="L756" s="13"/>
      <c r="M756" s="13"/>
      <c r="N756" s="20"/>
      <c r="O756" s="20"/>
      <c r="P756" s="21"/>
      <c r="Q756" s="22"/>
      <c r="R756" s="23"/>
      <c r="S756" s="24"/>
      <c r="T756" s="23"/>
      <c r="U756" s="24"/>
      <c r="V756" s="23"/>
      <c r="W756" s="23"/>
      <c r="X756" s="24"/>
      <c r="Y756" s="23"/>
      <c r="Z756" s="23"/>
      <c r="AA756" s="23"/>
      <c r="AB756" s="23"/>
      <c r="AC756" s="24"/>
      <c r="AD756" s="23"/>
      <c r="AE756" s="24"/>
      <c r="AF756" s="23"/>
      <c r="AG756" s="23"/>
      <c r="AH756" s="23"/>
      <c r="AI756" s="24"/>
      <c r="AJ756" s="25"/>
      <c r="AK756" s="23"/>
      <c r="AL756" s="23"/>
      <c r="AM756" s="24"/>
      <c r="AN756" s="23"/>
      <c r="AO756" s="24"/>
      <c r="AP756" s="23"/>
      <c r="AQ756" s="24"/>
      <c r="AR756" s="23"/>
      <c r="AS756" s="23"/>
      <c r="AT756" s="23"/>
      <c r="AU756" s="24"/>
      <c r="AW756" s="27">
        <f t="shared" si="139"/>
        <v>7.5600000000000005E-4</v>
      </c>
      <c r="AX756" s="27">
        <f t="shared" si="140"/>
        <v>7.5600000000000005E-4</v>
      </c>
      <c r="AY756" s="27">
        <f t="shared" si="141"/>
        <v>7.5600000000000005E-4</v>
      </c>
      <c r="AZ756" s="27">
        <f t="shared" si="142"/>
        <v>7.5600000000000005E-4</v>
      </c>
    </row>
    <row r="757" spans="1:52" ht="15" customHeight="1" x14ac:dyDescent="0.25">
      <c r="A757" s="13" t="e">
        <f>VLOOKUP(L757,[1]VALIDAÇÃO!$D$13:$E$350,2,0)</f>
        <v>#N/A</v>
      </c>
      <c r="B757" s="14" t="str">
        <f t="shared" si="144"/>
        <v>681</v>
      </c>
      <c r="C757" s="15">
        <f t="shared" si="143"/>
        <v>681</v>
      </c>
      <c r="D757" s="16" t="str">
        <f t="shared" si="145"/>
        <v>681</v>
      </c>
      <c r="E757" s="17">
        <f t="shared" si="136"/>
        <v>681</v>
      </c>
      <c r="F757" s="18" t="str">
        <f t="shared" si="146"/>
        <v>681</v>
      </c>
      <c r="G757" s="18">
        <f t="shared" si="137"/>
        <v>681</v>
      </c>
      <c r="H757" s="19" t="str">
        <f t="shared" si="147"/>
        <v>681</v>
      </c>
      <c r="I757" s="19">
        <f t="shared" si="138"/>
        <v>681</v>
      </c>
      <c r="J757" s="13"/>
      <c r="K757" s="13"/>
      <c r="L757" s="13"/>
      <c r="M757" s="13"/>
      <c r="N757" s="20"/>
      <c r="O757" s="20"/>
      <c r="P757" s="21"/>
      <c r="Q757" s="22"/>
      <c r="R757" s="23"/>
      <c r="S757" s="24"/>
      <c r="T757" s="23"/>
      <c r="U757" s="24"/>
      <c r="V757" s="23"/>
      <c r="W757" s="23"/>
      <c r="X757" s="24"/>
      <c r="Y757" s="23"/>
      <c r="Z757" s="23"/>
      <c r="AA757" s="23"/>
      <c r="AB757" s="23"/>
      <c r="AC757" s="24"/>
      <c r="AD757" s="23"/>
      <c r="AE757" s="24"/>
      <c r="AF757" s="23"/>
      <c r="AG757" s="23"/>
      <c r="AH757" s="23"/>
      <c r="AI757" s="24"/>
      <c r="AJ757" s="25"/>
      <c r="AK757" s="23"/>
      <c r="AL757" s="23"/>
      <c r="AM757" s="24"/>
      <c r="AN757" s="23"/>
      <c r="AO757" s="24"/>
      <c r="AP757" s="23"/>
      <c r="AQ757" s="24"/>
      <c r="AR757" s="23"/>
      <c r="AS757" s="23"/>
      <c r="AT757" s="23"/>
      <c r="AU757" s="24"/>
      <c r="AW757" s="27">
        <f t="shared" si="139"/>
        <v>7.5699999999999997E-4</v>
      </c>
      <c r="AX757" s="27">
        <f t="shared" si="140"/>
        <v>7.5699999999999997E-4</v>
      </c>
      <c r="AY757" s="27">
        <f t="shared" si="141"/>
        <v>7.5699999999999997E-4</v>
      </c>
      <c r="AZ757" s="27">
        <f t="shared" si="142"/>
        <v>7.5699999999999997E-4</v>
      </c>
    </row>
    <row r="758" spans="1:52" ht="15" customHeight="1" x14ac:dyDescent="0.25">
      <c r="A758" s="13" t="e">
        <f>VLOOKUP(L758,[1]VALIDAÇÃO!$D$13:$E$350,2,0)</f>
        <v>#N/A</v>
      </c>
      <c r="B758" s="14" t="str">
        <f t="shared" si="144"/>
        <v>680</v>
      </c>
      <c r="C758" s="15">
        <f t="shared" si="143"/>
        <v>680</v>
      </c>
      <c r="D758" s="16" t="str">
        <f t="shared" si="145"/>
        <v>680</v>
      </c>
      <c r="E758" s="17">
        <f t="shared" si="136"/>
        <v>680</v>
      </c>
      <c r="F758" s="18" t="str">
        <f t="shared" si="146"/>
        <v>680</v>
      </c>
      <c r="G758" s="18">
        <f t="shared" si="137"/>
        <v>680</v>
      </c>
      <c r="H758" s="19" t="str">
        <f t="shared" si="147"/>
        <v>680</v>
      </c>
      <c r="I758" s="19">
        <f t="shared" si="138"/>
        <v>680</v>
      </c>
      <c r="J758" s="13"/>
      <c r="K758" s="13"/>
      <c r="L758" s="13"/>
      <c r="M758" s="13"/>
      <c r="N758" s="20"/>
      <c r="O758" s="20"/>
      <c r="P758" s="21"/>
      <c r="Q758" s="22"/>
      <c r="R758" s="23"/>
      <c r="S758" s="24"/>
      <c r="T758" s="23"/>
      <c r="U758" s="24"/>
      <c r="V758" s="23"/>
      <c r="W758" s="23"/>
      <c r="X758" s="24"/>
      <c r="Y758" s="23"/>
      <c r="Z758" s="23"/>
      <c r="AA758" s="23"/>
      <c r="AB758" s="23"/>
      <c r="AC758" s="24"/>
      <c r="AD758" s="23"/>
      <c r="AE758" s="24"/>
      <c r="AF758" s="23"/>
      <c r="AG758" s="23"/>
      <c r="AH758" s="23"/>
      <c r="AI758" s="24"/>
      <c r="AJ758" s="25"/>
      <c r="AK758" s="23"/>
      <c r="AL758" s="23"/>
      <c r="AM758" s="24"/>
      <c r="AN758" s="23"/>
      <c r="AO758" s="24"/>
      <c r="AP758" s="23"/>
      <c r="AQ758" s="24"/>
      <c r="AR758" s="23"/>
      <c r="AS758" s="23"/>
      <c r="AT758" s="23"/>
      <c r="AU758" s="24"/>
      <c r="AW758" s="27">
        <f t="shared" si="139"/>
        <v>7.5799999999999999E-4</v>
      </c>
      <c r="AX758" s="27">
        <f t="shared" si="140"/>
        <v>7.5799999999999999E-4</v>
      </c>
      <c r="AY758" s="27">
        <f t="shared" si="141"/>
        <v>7.5799999999999999E-4</v>
      </c>
      <c r="AZ758" s="27">
        <f t="shared" si="142"/>
        <v>7.5799999999999999E-4</v>
      </c>
    </row>
    <row r="759" spans="1:52" ht="15" customHeight="1" x14ac:dyDescent="0.25">
      <c r="A759" s="13" t="e">
        <f>VLOOKUP(L759,[1]VALIDAÇÃO!$D$13:$E$350,2,0)</f>
        <v>#N/A</v>
      </c>
      <c r="B759" s="14" t="str">
        <f t="shared" si="144"/>
        <v>679</v>
      </c>
      <c r="C759" s="15">
        <f t="shared" si="143"/>
        <v>679</v>
      </c>
      <c r="D759" s="16" t="str">
        <f t="shared" si="145"/>
        <v>679</v>
      </c>
      <c r="E759" s="17">
        <f t="shared" si="136"/>
        <v>679</v>
      </c>
      <c r="F759" s="18" t="str">
        <f t="shared" si="146"/>
        <v>679</v>
      </c>
      <c r="G759" s="18">
        <f t="shared" si="137"/>
        <v>679</v>
      </c>
      <c r="H759" s="19" t="str">
        <f t="shared" si="147"/>
        <v>679</v>
      </c>
      <c r="I759" s="19">
        <f t="shared" si="138"/>
        <v>679</v>
      </c>
      <c r="J759" s="13"/>
      <c r="K759" s="13"/>
      <c r="L759" s="13"/>
      <c r="M759" s="13"/>
      <c r="N759" s="20"/>
      <c r="O759" s="20"/>
      <c r="P759" s="21"/>
      <c r="Q759" s="22"/>
      <c r="R759" s="23"/>
      <c r="S759" s="24"/>
      <c r="T759" s="23"/>
      <c r="U759" s="24"/>
      <c r="V759" s="23"/>
      <c r="W759" s="23"/>
      <c r="X759" s="24"/>
      <c r="Y759" s="23"/>
      <c r="Z759" s="23"/>
      <c r="AA759" s="23"/>
      <c r="AB759" s="23"/>
      <c r="AC759" s="24"/>
      <c r="AD759" s="23"/>
      <c r="AE759" s="24"/>
      <c r="AF759" s="23"/>
      <c r="AG759" s="23"/>
      <c r="AH759" s="23"/>
      <c r="AI759" s="24"/>
      <c r="AJ759" s="25"/>
      <c r="AK759" s="23"/>
      <c r="AL759" s="23"/>
      <c r="AM759" s="24"/>
      <c r="AN759" s="23"/>
      <c r="AO759" s="24"/>
      <c r="AP759" s="23"/>
      <c r="AQ759" s="24"/>
      <c r="AR759" s="23"/>
      <c r="AS759" s="23"/>
      <c r="AT759" s="23"/>
      <c r="AU759" s="24"/>
      <c r="AW759" s="27">
        <f t="shared" si="139"/>
        <v>7.5900000000000002E-4</v>
      </c>
      <c r="AX759" s="27">
        <f t="shared" si="140"/>
        <v>7.5900000000000002E-4</v>
      </c>
      <c r="AY759" s="27">
        <f t="shared" si="141"/>
        <v>7.5900000000000002E-4</v>
      </c>
      <c r="AZ759" s="27">
        <f t="shared" si="142"/>
        <v>7.5900000000000002E-4</v>
      </c>
    </row>
    <row r="760" spans="1:52" ht="15" customHeight="1" x14ac:dyDescent="0.25">
      <c r="A760" s="13" t="e">
        <f>VLOOKUP(L760,[1]VALIDAÇÃO!$D$13:$E$350,2,0)</f>
        <v>#N/A</v>
      </c>
      <c r="B760" s="14" t="str">
        <f t="shared" si="144"/>
        <v>678</v>
      </c>
      <c r="C760" s="15">
        <f t="shared" si="143"/>
        <v>678</v>
      </c>
      <c r="D760" s="16" t="str">
        <f t="shared" si="145"/>
        <v>678</v>
      </c>
      <c r="E760" s="17">
        <f t="shared" si="136"/>
        <v>678</v>
      </c>
      <c r="F760" s="18" t="str">
        <f t="shared" si="146"/>
        <v>678</v>
      </c>
      <c r="G760" s="18">
        <f t="shared" si="137"/>
        <v>678</v>
      </c>
      <c r="H760" s="19" t="str">
        <f t="shared" si="147"/>
        <v>678</v>
      </c>
      <c r="I760" s="19">
        <f t="shared" si="138"/>
        <v>678</v>
      </c>
      <c r="J760" s="13"/>
      <c r="K760" s="13"/>
      <c r="L760" s="13"/>
      <c r="M760" s="13"/>
      <c r="N760" s="20"/>
      <c r="O760" s="20"/>
      <c r="P760" s="21"/>
      <c r="Q760" s="22"/>
      <c r="R760" s="23"/>
      <c r="S760" s="24"/>
      <c r="T760" s="23"/>
      <c r="U760" s="24"/>
      <c r="V760" s="23"/>
      <c r="W760" s="23"/>
      <c r="X760" s="24"/>
      <c r="Y760" s="23"/>
      <c r="Z760" s="23"/>
      <c r="AA760" s="23"/>
      <c r="AB760" s="23"/>
      <c r="AC760" s="24"/>
      <c r="AD760" s="23"/>
      <c r="AE760" s="24"/>
      <c r="AF760" s="23"/>
      <c r="AG760" s="23"/>
      <c r="AH760" s="23"/>
      <c r="AI760" s="24"/>
      <c r="AJ760" s="25"/>
      <c r="AK760" s="23"/>
      <c r="AL760" s="23"/>
      <c r="AM760" s="24"/>
      <c r="AN760" s="23"/>
      <c r="AO760" s="24"/>
      <c r="AP760" s="23"/>
      <c r="AQ760" s="24"/>
      <c r="AR760" s="23"/>
      <c r="AS760" s="23"/>
      <c r="AT760" s="23"/>
      <c r="AU760" s="24"/>
      <c r="AW760" s="27">
        <f t="shared" si="139"/>
        <v>7.6000000000000004E-4</v>
      </c>
      <c r="AX760" s="27">
        <f t="shared" si="140"/>
        <v>7.6000000000000004E-4</v>
      </c>
      <c r="AY760" s="27">
        <f t="shared" si="141"/>
        <v>7.6000000000000004E-4</v>
      </c>
      <c r="AZ760" s="27">
        <f t="shared" si="142"/>
        <v>7.6000000000000004E-4</v>
      </c>
    </row>
    <row r="761" spans="1:52" ht="15" customHeight="1" x14ac:dyDescent="0.25">
      <c r="A761" s="13" t="e">
        <f>VLOOKUP(L761,[1]VALIDAÇÃO!$D$13:$E$350,2,0)</f>
        <v>#N/A</v>
      </c>
      <c r="B761" s="14" t="str">
        <f t="shared" si="144"/>
        <v>677</v>
      </c>
      <c r="C761" s="15">
        <f t="shared" si="143"/>
        <v>677</v>
      </c>
      <c r="D761" s="16" t="str">
        <f t="shared" si="145"/>
        <v>677</v>
      </c>
      <c r="E761" s="17">
        <f t="shared" si="136"/>
        <v>677</v>
      </c>
      <c r="F761" s="18" t="str">
        <f t="shared" si="146"/>
        <v>677</v>
      </c>
      <c r="G761" s="18">
        <f t="shared" si="137"/>
        <v>677</v>
      </c>
      <c r="H761" s="19" t="str">
        <f t="shared" si="147"/>
        <v>677</v>
      </c>
      <c r="I761" s="19">
        <f t="shared" si="138"/>
        <v>677</v>
      </c>
      <c r="J761" s="13"/>
      <c r="K761" s="13"/>
      <c r="L761" s="13"/>
      <c r="M761" s="13"/>
      <c r="N761" s="20"/>
      <c r="O761" s="20"/>
      <c r="P761" s="21"/>
      <c r="Q761" s="22"/>
      <c r="R761" s="23"/>
      <c r="S761" s="24"/>
      <c r="T761" s="23"/>
      <c r="U761" s="24"/>
      <c r="V761" s="23"/>
      <c r="W761" s="23"/>
      <c r="X761" s="24"/>
      <c r="Y761" s="23"/>
      <c r="Z761" s="23"/>
      <c r="AA761" s="23"/>
      <c r="AB761" s="23"/>
      <c r="AC761" s="24"/>
      <c r="AD761" s="23"/>
      <c r="AE761" s="24"/>
      <c r="AF761" s="23"/>
      <c r="AG761" s="23"/>
      <c r="AH761" s="23"/>
      <c r="AI761" s="24"/>
      <c r="AJ761" s="25"/>
      <c r="AK761" s="23"/>
      <c r="AL761" s="23"/>
      <c r="AM761" s="24"/>
      <c r="AN761" s="23"/>
      <c r="AO761" s="24"/>
      <c r="AP761" s="23"/>
      <c r="AQ761" s="24"/>
      <c r="AR761" s="23"/>
      <c r="AS761" s="23"/>
      <c r="AT761" s="23"/>
      <c r="AU761" s="24"/>
      <c r="AW761" s="27">
        <f t="shared" si="139"/>
        <v>7.6099999999999996E-4</v>
      </c>
      <c r="AX761" s="27">
        <f t="shared" si="140"/>
        <v>7.6099999999999996E-4</v>
      </c>
      <c r="AY761" s="27">
        <f t="shared" si="141"/>
        <v>7.6099999999999996E-4</v>
      </c>
      <c r="AZ761" s="27">
        <f t="shared" si="142"/>
        <v>7.6099999999999996E-4</v>
      </c>
    </row>
    <row r="762" spans="1:52" ht="15" customHeight="1" x14ac:dyDescent="0.25">
      <c r="A762" s="13" t="e">
        <f>VLOOKUP(L762,[1]VALIDAÇÃO!$D$13:$E$350,2,0)</f>
        <v>#N/A</v>
      </c>
      <c r="B762" s="14" t="str">
        <f t="shared" si="144"/>
        <v>676</v>
      </c>
      <c r="C762" s="15">
        <f t="shared" si="143"/>
        <v>676</v>
      </c>
      <c r="D762" s="16" t="str">
        <f t="shared" si="145"/>
        <v>676</v>
      </c>
      <c r="E762" s="17">
        <f t="shared" si="136"/>
        <v>676</v>
      </c>
      <c r="F762" s="18" t="str">
        <f t="shared" si="146"/>
        <v>676</v>
      </c>
      <c r="G762" s="18">
        <f t="shared" si="137"/>
        <v>676</v>
      </c>
      <c r="H762" s="19" t="str">
        <f t="shared" si="147"/>
        <v>676</v>
      </c>
      <c r="I762" s="19">
        <f t="shared" si="138"/>
        <v>676</v>
      </c>
      <c r="J762" s="13"/>
      <c r="K762" s="13"/>
      <c r="L762" s="13"/>
      <c r="M762" s="13"/>
      <c r="N762" s="20"/>
      <c r="O762" s="20"/>
      <c r="P762" s="21"/>
      <c r="Q762" s="22"/>
      <c r="R762" s="23"/>
      <c r="S762" s="24"/>
      <c r="T762" s="23"/>
      <c r="U762" s="24"/>
      <c r="V762" s="23"/>
      <c r="W762" s="23"/>
      <c r="X762" s="24"/>
      <c r="Y762" s="23"/>
      <c r="Z762" s="23"/>
      <c r="AA762" s="23"/>
      <c r="AB762" s="23"/>
      <c r="AC762" s="24"/>
      <c r="AD762" s="23"/>
      <c r="AE762" s="24"/>
      <c r="AF762" s="23"/>
      <c r="AG762" s="23"/>
      <c r="AH762" s="23"/>
      <c r="AI762" s="24"/>
      <c r="AJ762" s="25"/>
      <c r="AK762" s="23"/>
      <c r="AL762" s="23"/>
      <c r="AM762" s="24"/>
      <c r="AN762" s="23"/>
      <c r="AO762" s="24"/>
      <c r="AP762" s="23"/>
      <c r="AQ762" s="24"/>
      <c r="AR762" s="23"/>
      <c r="AS762" s="23"/>
      <c r="AT762" s="23"/>
      <c r="AU762" s="24"/>
      <c r="AW762" s="27">
        <f t="shared" si="139"/>
        <v>7.6199999999999998E-4</v>
      </c>
      <c r="AX762" s="27">
        <f t="shared" si="140"/>
        <v>7.6199999999999998E-4</v>
      </c>
      <c r="AY762" s="27">
        <f t="shared" si="141"/>
        <v>7.6199999999999998E-4</v>
      </c>
      <c r="AZ762" s="27">
        <f t="shared" si="142"/>
        <v>7.6199999999999998E-4</v>
      </c>
    </row>
    <row r="763" spans="1:52" ht="15" customHeight="1" x14ac:dyDescent="0.25">
      <c r="A763" s="13" t="e">
        <f>VLOOKUP(L763,[1]VALIDAÇÃO!$D$13:$E$350,2,0)</f>
        <v>#N/A</v>
      </c>
      <c r="B763" s="14" t="str">
        <f t="shared" si="144"/>
        <v>675</v>
      </c>
      <c r="C763" s="15">
        <f t="shared" si="143"/>
        <v>675</v>
      </c>
      <c r="D763" s="16" t="str">
        <f t="shared" si="145"/>
        <v>675</v>
      </c>
      <c r="E763" s="17">
        <f t="shared" si="136"/>
        <v>675</v>
      </c>
      <c r="F763" s="18" t="str">
        <f t="shared" si="146"/>
        <v>675</v>
      </c>
      <c r="G763" s="18">
        <f t="shared" si="137"/>
        <v>675</v>
      </c>
      <c r="H763" s="19" t="str">
        <f t="shared" si="147"/>
        <v>675</v>
      </c>
      <c r="I763" s="19">
        <f t="shared" si="138"/>
        <v>675</v>
      </c>
      <c r="J763" s="13"/>
      <c r="K763" s="13"/>
      <c r="L763" s="13"/>
      <c r="M763" s="13"/>
      <c r="N763" s="20"/>
      <c r="O763" s="20"/>
      <c r="P763" s="21"/>
      <c r="Q763" s="22"/>
      <c r="R763" s="23"/>
      <c r="S763" s="24"/>
      <c r="T763" s="23"/>
      <c r="U763" s="24"/>
      <c r="V763" s="23"/>
      <c r="W763" s="23"/>
      <c r="X763" s="24"/>
      <c r="Y763" s="23"/>
      <c r="Z763" s="23"/>
      <c r="AA763" s="23"/>
      <c r="AB763" s="23"/>
      <c r="AC763" s="24"/>
      <c r="AD763" s="23"/>
      <c r="AE763" s="24"/>
      <c r="AF763" s="23"/>
      <c r="AG763" s="23"/>
      <c r="AH763" s="23"/>
      <c r="AI763" s="24"/>
      <c r="AJ763" s="25"/>
      <c r="AK763" s="23"/>
      <c r="AL763" s="23"/>
      <c r="AM763" s="24"/>
      <c r="AN763" s="23"/>
      <c r="AO763" s="24"/>
      <c r="AP763" s="23"/>
      <c r="AQ763" s="24"/>
      <c r="AR763" s="23"/>
      <c r="AS763" s="23"/>
      <c r="AT763" s="23"/>
      <c r="AU763" s="24"/>
      <c r="AW763" s="27">
        <f t="shared" si="139"/>
        <v>7.6300000000000001E-4</v>
      </c>
      <c r="AX763" s="27">
        <f t="shared" si="140"/>
        <v>7.6300000000000001E-4</v>
      </c>
      <c r="AY763" s="27">
        <f t="shared" si="141"/>
        <v>7.6300000000000001E-4</v>
      </c>
      <c r="AZ763" s="27">
        <f t="shared" si="142"/>
        <v>7.6300000000000001E-4</v>
      </c>
    </row>
    <row r="764" spans="1:52" ht="15" customHeight="1" x14ac:dyDescent="0.25">
      <c r="A764" s="13" t="e">
        <f>VLOOKUP(L764,[1]VALIDAÇÃO!$D$13:$E$350,2,0)</f>
        <v>#N/A</v>
      </c>
      <c r="B764" s="14" t="str">
        <f t="shared" si="144"/>
        <v>674</v>
      </c>
      <c r="C764" s="15">
        <f t="shared" si="143"/>
        <v>674</v>
      </c>
      <c r="D764" s="16" t="str">
        <f t="shared" si="145"/>
        <v>674</v>
      </c>
      <c r="E764" s="17">
        <f t="shared" si="136"/>
        <v>674</v>
      </c>
      <c r="F764" s="18" t="str">
        <f t="shared" si="146"/>
        <v>674</v>
      </c>
      <c r="G764" s="18">
        <f t="shared" si="137"/>
        <v>674</v>
      </c>
      <c r="H764" s="19" t="str">
        <f t="shared" si="147"/>
        <v>674</v>
      </c>
      <c r="I764" s="19">
        <f t="shared" si="138"/>
        <v>674</v>
      </c>
      <c r="J764" s="13"/>
      <c r="K764" s="13"/>
      <c r="L764" s="13"/>
      <c r="M764" s="13"/>
      <c r="N764" s="20"/>
      <c r="O764" s="20"/>
      <c r="P764" s="21"/>
      <c r="Q764" s="22"/>
      <c r="R764" s="23"/>
      <c r="S764" s="24"/>
      <c r="T764" s="23"/>
      <c r="U764" s="24"/>
      <c r="V764" s="23"/>
      <c r="W764" s="23"/>
      <c r="X764" s="24"/>
      <c r="Y764" s="23"/>
      <c r="Z764" s="23"/>
      <c r="AA764" s="23"/>
      <c r="AB764" s="23"/>
      <c r="AC764" s="24"/>
      <c r="AD764" s="23"/>
      <c r="AE764" s="24"/>
      <c r="AF764" s="23"/>
      <c r="AG764" s="23"/>
      <c r="AH764" s="23"/>
      <c r="AI764" s="24"/>
      <c r="AJ764" s="25"/>
      <c r="AK764" s="23"/>
      <c r="AL764" s="23"/>
      <c r="AM764" s="24"/>
      <c r="AN764" s="23"/>
      <c r="AO764" s="24"/>
      <c r="AP764" s="23"/>
      <c r="AQ764" s="24"/>
      <c r="AR764" s="23"/>
      <c r="AS764" s="23"/>
      <c r="AT764" s="23"/>
      <c r="AU764" s="24"/>
      <c r="AW764" s="27">
        <f t="shared" si="139"/>
        <v>7.6400000000000003E-4</v>
      </c>
      <c r="AX764" s="27">
        <f t="shared" si="140"/>
        <v>7.6400000000000003E-4</v>
      </c>
      <c r="AY764" s="27">
        <f t="shared" si="141"/>
        <v>7.6400000000000003E-4</v>
      </c>
      <c r="AZ764" s="27">
        <f t="shared" si="142"/>
        <v>7.6400000000000003E-4</v>
      </c>
    </row>
    <row r="765" spans="1:52" ht="15" customHeight="1" x14ac:dyDescent="0.25">
      <c r="A765" s="13" t="e">
        <f>VLOOKUP(L765,[1]VALIDAÇÃO!$D$13:$E$350,2,0)</f>
        <v>#N/A</v>
      </c>
      <c r="B765" s="14" t="str">
        <f t="shared" si="144"/>
        <v>673</v>
      </c>
      <c r="C765" s="15">
        <f t="shared" si="143"/>
        <v>673</v>
      </c>
      <c r="D765" s="16" t="str">
        <f t="shared" si="145"/>
        <v>673</v>
      </c>
      <c r="E765" s="17">
        <f t="shared" si="136"/>
        <v>673</v>
      </c>
      <c r="F765" s="18" t="str">
        <f t="shared" si="146"/>
        <v>673</v>
      </c>
      <c r="G765" s="18">
        <f t="shared" si="137"/>
        <v>673</v>
      </c>
      <c r="H765" s="19" t="str">
        <f t="shared" si="147"/>
        <v>673</v>
      </c>
      <c r="I765" s="19">
        <f t="shared" si="138"/>
        <v>673</v>
      </c>
      <c r="J765" s="13"/>
      <c r="K765" s="13"/>
      <c r="L765" s="13"/>
      <c r="M765" s="13"/>
      <c r="N765" s="20"/>
      <c r="O765" s="20"/>
      <c r="P765" s="21"/>
      <c r="Q765" s="22"/>
      <c r="R765" s="23"/>
      <c r="S765" s="24"/>
      <c r="T765" s="23"/>
      <c r="U765" s="24"/>
      <c r="V765" s="23"/>
      <c r="W765" s="23"/>
      <c r="X765" s="24"/>
      <c r="Y765" s="23"/>
      <c r="Z765" s="23"/>
      <c r="AA765" s="23"/>
      <c r="AB765" s="23"/>
      <c r="AC765" s="24"/>
      <c r="AD765" s="23"/>
      <c r="AE765" s="24"/>
      <c r="AF765" s="23"/>
      <c r="AG765" s="23"/>
      <c r="AH765" s="23"/>
      <c r="AI765" s="24"/>
      <c r="AJ765" s="25"/>
      <c r="AK765" s="23"/>
      <c r="AL765" s="23"/>
      <c r="AM765" s="24"/>
      <c r="AN765" s="23"/>
      <c r="AO765" s="24"/>
      <c r="AP765" s="23"/>
      <c r="AQ765" s="24"/>
      <c r="AR765" s="23"/>
      <c r="AS765" s="23"/>
      <c r="AT765" s="23"/>
      <c r="AU765" s="24"/>
      <c r="AW765" s="27">
        <f t="shared" si="139"/>
        <v>7.6499999999999995E-4</v>
      </c>
      <c r="AX765" s="27">
        <f t="shared" si="140"/>
        <v>7.6499999999999995E-4</v>
      </c>
      <c r="AY765" s="27">
        <f t="shared" si="141"/>
        <v>7.6499999999999995E-4</v>
      </c>
      <c r="AZ765" s="27">
        <f t="shared" si="142"/>
        <v>7.6499999999999995E-4</v>
      </c>
    </row>
    <row r="766" spans="1:52" ht="15" customHeight="1" x14ac:dyDescent="0.25">
      <c r="A766" s="13" t="e">
        <f>VLOOKUP(L766,[1]VALIDAÇÃO!$D$13:$E$350,2,0)</f>
        <v>#N/A</v>
      </c>
      <c r="B766" s="14" t="str">
        <f t="shared" si="144"/>
        <v>672</v>
      </c>
      <c r="C766" s="15">
        <f t="shared" si="143"/>
        <v>672</v>
      </c>
      <c r="D766" s="16" t="str">
        <f t="shared" si="145"/>
        <v>672</v>
      </c>
      <c r="E766" s="17">
        <f t="shared" si="136"/>
        <v>672</v>
      </c>
      <c r="F766" s="18" t="str">
        <f t="shared" si="146"/>
        <v>672</v>
      </c>
      <c r="G766" s="18">
        <f t="shared" si="137"/>
        <v>672</v>
      </c>
      <c r="H766" s="19" t="str">
        <f t="shared" si="147"/>
        <v>672</v>
      </c>
      <c r="I766" s="19">
        <f t="shared" si="138"/>
        <v>672</v>
      </c>
      <c r="J766" s="13"/>
      <c r="K766" s="13"/>
      <c r="L766" s="13"/>
      <c r="M766" s="13"/>
      <c r="N766" s="20"/>
      <c r="O766" s="20"/>
      <c r="P766" s="21"/>
      <c r="Q766" s="22"/>
      <c r="R766" s="23"/>
      <c r="S766" s="24"/>
      <c r="T766" s="23"/>
      <c r="U766" s="24"/>
      <c r="V766" s="23"/>
      <c r="W766" s="23"/>
      <c r="X766" s="24"/>
      <c r="Y766" s="23"/>
      <c r="Z766" s="23"/>
      <c r="AA766" s="23"/>
      <c r="AB766" s="23"/>
      <c r="AC766" s="24"/>
      <c r="AD766" s="23"/>
      <c r="AE766" s="24"/>
      <c r="AF766" s="23"/>
      <c r="AG766" s="23"/>
      <c r="AH766" s="23"/>
      <c r="AI766" s="24"/>
      <c r="AJ766" s="25"/>
      <c r="AK766" s="23"/>
      <c r="AL766" s="23"/>
      <c r="AM766" s="24"/>
      <c r="AN766" s="23"/>
      <c r="AO766" s="24"/>
      <c r="AP766" s="23"/>
      <c r="AQ766" s="24"/>
      <c r="AR766" s="23"/>
      <c r="AS766" s="23"/>
      <c r="AT766" s="23"/>
      <c r="AU766" s="24"/>
      <c r="AW766" s="27">
        <f t="shared" si="139"/>
        <v>7.6599999999999997E-4</v>
      </c>
      <c r="AX766" s="27">
        <f t="shared" si="140"/>
        <v>7.6599999999999997E-4</v>
      </c>
      <c r="AY766" s="27">
        <f t="shared" si="141"/>
        <v>7.6599999999999997E-4</v>
      </c>
      <c r="AZ766" s="27">
        <f t="shared" si="142"/>
        <v>7.6599999999999997E-4</v>
      </c>
    </row>
    <row r="767" spans="1:52" ht="15" customHeight="1" x14ac:dyDescent="0.25">
      <c r="A767" s="13" t="e">
        <f>VLOOKUP(L767,[1]VALIDAÇÃO!$D$13:$E$350,2,0)</f>
        <v>#N/A</v>
      </c>
      <c r="B767" s="14" t="str">
        <f t="shared" si="144"/>
        <v>671</v>
      </c>
      <c r="C767" s="15">
        <f t="shared" si="143"/>
        <v>671</v>
      </c>
      <c r="D767" s="16" t="str">
        <f t="shared" si="145"/>
        <v>671</v>
      </c>
      <c r="E767" s="17">
        <f t="shared" si="136"/>
        <v>671</v>
      </c>
      <c r="F767" s="18" t="str">
        <f t="shared" si="146"/>
        <v>671</v>
      </c>
      <c r="G767" s="18">
        <f t="shared" si="137"/>
        <v>671</v>
      </c>
      <c r="H767" s="19" t="str">
        <f t="shared" si="147"/>
        <v>671</v>
      </c>
      <c r="I767" s="19">
        <f t="shared" si="138"/>
        <v>671</v>
      </c>
      <c r="J767" s="13"/>
      <c r="K767" s="13"/>
      <c r="L767" s="13"/>
      <c r="M767" s="13"/>
      <c r="N767" s="20"/>
      <c r="O767" s="20"/>
      <c r="P767" s="21"/>
      <c r="Q767" s="22"/>
      <c r="R767" s="23"/>
      <c r="S767" s="24"/>
      <c r="T767" s="23"/>
      <c r="U767" s="24"/>
      <c r="V767" s="23"/>
      <c r="W767" s="23"/>
      <c r="X767" s="24"/>
      <c r="Y767" s="23"/>
      <c r="Z767" s="23"/>
      <c r="AA767" s="23"/>
      <c r="AB767" s="23"/>
      <c r="AC767" s="24"/>
      <c r="AD767" s="23"/>
      <c r="AE767" s="24"/>
      <c r="AF767" s="23"/>
      <c r="AG767" s="23"/>
      <c r="AH767" s="23"/>
      <c r="AI767" s="24"/>
      <c r="AJ767" s="25"/>
      <c r="AK767" s="23"/>
      <c r="AL767" s="23"/>
      <c r="AM767" s="24"/>
      <c r="AN767" s="23"/>
      <c r="AO767" s="24"/>
      <c r="AP767" s="23"/>
      <c r="AQ767" s="24"/>
      <c r="AR767" s="23"/>
      <c r="AS767" s="23"/>
      <c r="AT767" s="23"/>
      <c r="AU767" s="24"/>
      <c r="AW767" s="27">
        <f t="shared" si="139"/>
        <v>7.67E-4</v>
      </c>
      <c r="AX767" s="27">
        <f t="shared" si="140"/>
        <v>7.67E-4</v>
      </c>
      <c r="AY767" s="27">
        <f t="shared" si="141"/>
        <v>7.67E-4</v>
      </c>
      <c r="AZ767" s="27">
        <f t="shared" si="142"/>
        <v>7.67E-4</v>
      </c>
    </row>
    <row r="768" spans="1:52" ht="15" customHeight="1" x14ac:dyDescent="0.25">
      <c r="A768" s="13" t="e">
        <f>VLOOKUP(L768,[1]VALIDAÇÃO!$D$13:$E$350,2,0)</f>
        <v>#N/A</v>
      </c>
      <c r="B768" s="14" t="str">
        <f t="shared" si="144"/>
        <v>670</v>
      </c>
      <c r="C768" s="15">
        <f t="shared" si="143"/>
        <v>670</v>
      </c>
      <c r="D768" s="16" t="str">
        <f t="shared" si="145"/>
        <v>670</v>
      </c>
      <c r="E768" s="17">
        <f t="shared" si="136"/>
        <v>670</v>
      </c>
      <c r="F768" s="18" t="str">
        <f t="shared" si="146"/>
        <v>670</v>
      </c>
      <c r="G768" s="18">
        <f t="shared" si="137"/>
        <v>670</v>
      </c>
      <c r="H768" s="19" t="str">
        <f t="shared" si="147"/>
        <v>670</v>
      </c>
      <c r="I768" s="19">
        <f t="shared" si="138"/>
        <v>670</v>
      </c>
      <c r="J768" s="13"/>
      <c r="K768" s="13"/>
      <c r="L768" s="13"/>
      <c r="M768" s="13"/>
      <c r="N768" s="20"/>
      <c r="O768" s="20"/>
      <c r="P768" s="21"/>
      <c r="Q768" s="22"/>
      <c r="R768" s="23"/>
      <c r="S768" s="24"/>
      <c r="T768" s="23"/>
      <c r="U768" s="24"/>
      <c r="V768" s="23"/>
      <c r="W768" s="23"/>
      <c r="X768" s="24"/>
      <c r="Y768" s="23"/>
      <c r="Z768" s="23"/>
      <c r="AA768" s="23"/>
      <c r="AB768" s="23"/>
      <c r="AC768" s="24"/>
      <c r="AD768" s="23"/>
      <c r="AE768" s="24"/>
      <c r="AF768" s="23"/>
      <c r="AG768" s="23"/>
      <c r="AH768" s="23"/>
      <c r="AI768" s="24"/>
      <c r="AJ768" s="25"/>
      <c r="AK768" s="23"/>
      <c r="AL768" s="23"/>
      <c r="AM768" s="24"/>
      <c r="AN768" s="23"/>
      <c r="AO768" s="24"/>
      <c r="AP768" s="23"/>
      <c r="AQ768" s="24"/>
      <c r="AR768" s="23"/>
      <c r="AS768" s="23"/>
      <c r="AT768" s="23"/>
      <c r="AU768" s="24"/>
      <c r="AW768" s="27">
        <f t="shared" si="139"/>
        <v>7.6800000000000002E-4</v>
      </c>
      <c r="AX768" s="27">
        <f t="shared" si="140"/>
        <v>7.6800000000000002E-4</v>
      </c>
      <c r="AY768" s="27">
        <f t="shared" si="141"/>
        <v>7.6800000000000002E-4</v>
      </c>
      <c r="AZ768" s="27">
        <f t="shared" si="142"/>
        <v>7.6800000000000002E-4</v>
      </c>
    </row>
    <row r="769" spans="1:52" ht="15" customHeight="1" x14ac:dyDescent="0.25">
      <c r="A769" s="13" t="e">
        <f>VLOOKUP(L769,[1]VALIDAÇÃO!$D$13:$E$350,2,0)</f>
        <v>#N/A</v>
      </c>
      <c r="B769" s="14" t="str">
        <f t="shared" si="144"/>
        <v>669</v>
      </c>
      <c r="C769" s="15">
        <f t="shared" si="143"/>
        <v>669</v>
      </c>
      <c r="D769" s="16" t="str">
        <f t="shared" si="145"/>
        <v>669</v>
      </c>
      <c r="E769" s="17">
        <f t="shared" si="136"/>
        <v>669</v>
      </c>
      <c r="F769" s="18" t="str">
        <f t="shared" si="146"/>
        <v>669</v>
      </c>
      <c r="G769" s="18">
        <f t="shared" si="137"/>
        <v>669</v>
      </c>
      <c r="H769" s="19" t="str">
        <f t="shared" si="147"/>
        <v>669</v>
      </c>
      <c r="I769" s="19">
        <f t="shared" si="138"/>
        <v>669</v>
      </c>
      <c r="J769" s="13"/>
      <c r="K769" s="13"/>
      <c r="L769" s="13"/>
      <c r="M769" s="13"/>
      <c r="N769" s="20"/>
      <c r="O769" s="20"/>
      <c r="P769" s="21"/>
      <c r="Q769" s="22"/>
      <c r="R769" s="23"/>
      <c r="S769" s="24"/>
      <c r="T769" s="23"/>
      <c r="U769" s="24"/>
      <c r="V769" s="23"/>
      <c r="W769" s="23"/>
      <c r="X769" s="24"/>
      <c r="Y769" s="23"/>
      <c r="Z769" s="23"/>
      <c r="AA769" s="23"/>
      <c r="AB769" s="23"/>
      <c r="AC769" s="24"/>
      <c r="AD769" s="23"/>
      <c r="AE769" s="24"/>
      <c r="AF769" s="23"/>
      <c r="AG769" s="23"/>
      <c r="AH769" s="23"/>
      <c r="AI769" s="24"/>
      <c r="AJ769" s="25"/>
      <c r="AK769" s="23"/>
      <c r="AL769" s="23"/>
      <c r="AM769" s="24"/>
      <c r="AN769" s="23"/>
      <c r="AO769" s="24"/>
      <c r="AP769" s="23"/>
      <c r="AQ769" s="24"/>
      <c r="AR769" s="23"/>
      <c r="AS769" s="23"/>
      <c r="AT769" s="23"/>
      <c r="AU769" s="24"/>
      <c r="AW769" s="27">
        <f t="shared" si="139"/>
        <v>7.6900000000000004E-4</v>
      </c>
      <c r="AX769" s="27">
        <f t="shared" si="140"/>
        <v>7.6900000000000004E-4</v>
      </c>
      <c r="AY769" s="27">
        <f t="shared" si="141"/>
        <v>7.6900000000000004E-4</v>
      </c>
      <c r="AZ769" s="27">
        <f t="shared" si="142"/>
        <v>7.6900000000000004E-4</v>
      </c>
    </row>
    <row r="770" spans="1:52" ht="15" customHeight="1" x14ac:dyDescent="0.25">
      <c r="A770" s="13" t="e">
        <f>VLOOKUP(L770,[1]VALIDAÇÃO!$D$13:$E$350,2,0)</f>
        <v>#N/A</v>
      </c>
      <c r="B770" s="14" t="str">
        <f t="shared" si="144"/>
        <v>668</v>
      </c>
      <c r="C770" s="15">
        <f t="shared" si="143"/>
        <v>668</v>
      </c>
      <c r="D770" s="16" t="str">
        <f t="shared" si="145"/>
        <v>668</v>
      </c>
      <c r="E770" s="17">
        <f t="shared" ref="E770:E833" si="148">1+SUMPRODUCT(($J$2:$J$1437=$J770)*(AX$2:AX$1437&gt;AX770))</f>
        <v>668</v>
      </c>
      <c r="F770" s="18" t="str">
        <f t="shared" si="146"/>
        <v>668</v>
      </c>
      <c r="G770" s="18">
        <f t="shared" ref="G770:G833" si="149">1+SUMPRODUCT(($J$2:$J$1437=$J770)*(AY$2:AY$1437&gt;AY770))</f>
        <v>668</v>
      </c>
      <c r="H770" s="19" t="str">
        <f t="shared" si="147"/>
        <v>668</v>
      </c>
      <c r="I770" s="19">
        <f t="shared" ref="I770:I833" si="150">1+SUMPRODUCT(($J$2:$J$1437=$J770)*(AZ$2:AZ$1437&gt;AZ770))</f>
        <v>668</v>
      </c>
      <c r="J770" s="13"/>
      <c r="K770" s="13"/>
      <c r="L770" s="13"/>
      <c r="M770" s="13"/>
      <c r="N770" s="20"/>
      <c r="O770" s="20"/>
      <c r="P770" s="21"/>
      <c r="Q770" s="22"/>
      <c r="R770" s="23"/>
      <c r="S770" s="24"/>
      <c r="T770" s="23"/>
      <c r="U770" s="24"/>
      <c r="V770" s="23"/>
      <c r="W770" s="23"/>
      <c r="X770" s="24"/>
      <c r="Y770" s="23"/>
      <c r="Z770" s="23"/>
      <c r="AA770" s="23"/>
      <c r="AB770" s="23"/>
      <c r="AC770" s="24"/>
      <c r="AD770" s="23"/>
      <c r="AE770" s="24"/>
      <c r="AF770" s="23"/>
      <c r="AG770" s="23"/>
      <c r="AH770" s="23"/>
      <c r="AI770" s="24"/>
      <c r="AJ770" s="25"/>
      <c r="AK770" s="23"/>
      <c r="AL770" s="23"/>
      <c r="AM770" s="24"/>
      <c r="AN770" s="23"/>
      <c r="AO770" s="24"/>
      <c r="AP770" s="23"/>
      <c r="AQ770" s="24"/>
      <c r="AR770" s="23"/>
      <c r="AS770" s="23"/>
      <c r="AT770" s="23"/>
      <c r="AU770" s="24"/>
      <c r="AW770" s="27">
        <f t="shared" ref="AW770:AW833" si="151">AJ770+ROW(C770)/1000000</f>
        <v>7.6999999999999996E-4</v>
      </c>
      <c r="AX770" s="27">
        <f t="shared" ref="AX770:AX833" si="152">AD770+ROW(C770)/1000000</f>
        <v>7.6999999999999996E-4</v>
      </c>
      <c r="AY770" s="27">
        <f t="shared" ref="AY770:AY833" si="153">AB770+ROW(A770)/1000000</f>
        <v>7.6999999999999996E-4</v>
      </c>
      <c r="AZ770" s="27">
        <f t="shared" ref="AZ770:AZ833" si="154">AP770+ROW(A770)/1000000</f>
        <v>7.6999999999999996E-4</v>
      </c>
    </row>
    <row r="771" spans="1:52" ht="15" customHeight="1" x14ac:dyDescent="0.25">
      <c r="A771" s="13" t="e">
        <f>VLOOKUP(L771,[1]VALIDAÇÃO!$D$13:$E$350,2,0)</f>
        <v>#N/A</v>
      </c>
      <c r="B771" s="14" t="str">
        <f t="shared" si="144"/>
        <v>667</v>
      </c>
      <c r="C771" s="15">
        <f t="shared" ref="C771:C834" si="155">1+SUMPRODUCT(($J$2:$J$1437=J771)*($AW$2:$AW$1437&gt;AW771))</f>
        <v>667</v>
      </c>
      <c r="D771" s="16" t="str">
        <f t="shared" si="145"/>
        <v>667</v>
      </c>
      <c r="E771" s="17">
        <f t="shared" si="148"/>
        <v>667</v>
      </c>
      <c r="F771" s="18" t="str">
        <f t="shared" si="146"/>
        <v>667</v>
      </c>
      <c r="G771" s="18">
        <f t="shared" si="149"/>
        <v>667</v>
      </c>
      <c r="H771" s="19" t="str">
        <f t="shared" si="147"/>
        <v>667</v>
      </c>
      <c r="I771" s="19">
        <f t="shared" si="150"/>
        <v>667</v>
      </c>
      <c r="J771" s="13"/>
      <c r="K771" s="13"/>
      <c r="L771" s="13"/>
      <c r="M771" s="13"/>
      <c r="N771" s="20"/>
      <c r="O771" s="20"/>
      <c r="P771" s="21"/>
      <c r="Q771" s="22"/>
      <c r="R771" s="23"/>
      <c r="S771" s="24"/>
      <c r="T771" s="23"/>
      <c r="U771" s="24"/>
      <c r="V771" s="23"/>
      <c r="W771" s="23"/>
      <c r="X771" s="24"/>
      <c r="Y771" s="23"/>
      <c r="Z771" s="23"/>
      <c r="AA771" s="23"/>
      <c r="AB771" s="23"/>
      <c r="AC771" s="24"/>
      <c r="AD771" s="23"/>
      <c r="AE771" s="24"/>
      <c r="AF771" s="23"/>
      <c r="AG771" s="23"/>
      <c r="AH771" s="23"/>
      <c r="AI771" s="24"/>
      <c r="AJ771" s="25"/>
      <c r="AK771" s="23"/>
      <c r="AL771" s="23"/>
      <c r="AM771" s="24"/>
      <c r="AN771" s="23"/>
      <c r="AO771" s="24"/>
      <c r="AP771" s="23"/>
      <c r="AQ771" s="24"/>
      <c r="AR771" s="23"/>
      <c r="AS771" s="23"/>
      <c r="AT771" s="23"/>
      <c r="AU771" s="24"/>
      <c r="AW771" s="27">
        <f t="shared" si="151"/>
        <v>7.7099999999999998E-4</v>
      </c>
      <c r="AX771" s="27">
        <f t="shared" si="152"/>
        <v>7.7099999999999998E-4</v>
      </c>
      <c r="AY771" s="27">
        <f t="shared" si="153"/>
        <v>7.7099999999999998E-4</v>
      </c>
      <c r="AZ771" s="27">
        <f t="shared" si="154"/>
        <v>7.7099999999999998E-4</v>
      </c>
    </row>
    <row r="772" spans="1:52" ht="15" customHeight="1" x14ac:dyDescent="0.25">
      <c r="A772" s="13" t="e">
        <f>VLOOKUP(L772,[1]VALIDAÇÃO!$D$13:$E$350,2,0)</f>
        <v>#N/A</v>
      </c>
      <c r="B772" s="14" t="str">
        <f t="shared" si="144"/>
        <v>666</v>
      </c>
      <c r="C772" s="15">
        <f t="shared" si="155"/>
        <v>666</v>
      </c>
      <c r="D772" s="16" t="str">
        <f t="shared" si="145"/>
        <v>666</v>
      </c>
      <c r="E772" s="17">
        <f t="shared" si="148"/>
        <v>666</v>
      </c>
      <c r="F772" s="18" t="str">
        <f t="shared" si="146"/>
        <v>666</v>
      </c>
      <c r="G772" s="18">
        <f t="shared" si="149"/>
        <v>666</v>
      </c>
      <c r="H772" s="19" t="str">
        <f t="shared" si="147"/>
        <v>666</v>
      </c>
      <c r="I772" s="19">
        <f t="shared" si="150"/>
        <v>666</v>
      </c>
      <c r="J772" s="13"/>
      <c r="K772" s="13"/>
      <c r="L772" s="13"/>
      <c r="M772" s="13"/>
      <c r="N772" s="20"/>
      <c r="O772" s="20"/>
      <c r="P772" s="21"/>
      <c r="Q772" s="22"/>
      <c r="R772" s="23"/>
      <c r="S772" s="24"/>
      <c r="T772" s="23"/>
      <c r="U772" s="24"/>
      <c r="V772" s="23"/>
      <c r="W772" s="23"/>
      <c r="X772" s="24"/>
      <c r="Y772" s="23"/>
      <c r="Z772" s="23"/>
      <c r="AA772" s="23"/>
      <c r="AB772" s="23"/>
      <c r="AC772" s="24"/>
      <c r="AD772" s="23"/>
      <c r="AE772" s="24"/>
      <c r="AF772" s="23"/>
      <c r="AG772" s="23"/>
      <c r="AH772" s="23"/>
      <c r="AI772" s="24"/>
      <c r="AJ772" s="25"/>
      <c r="AK772" s="23"/>
      <c r="AL772" s="23"/>
      <c r="AM772" s="24"/>
      <c r="AN772" s="23"/>
      <c r="AO772" s="24"/>
      <c r="AP772" s="23"/>
      <c r="AQ772" s="24"/>
      <c r="AR772" s="23"/>
      <c r="AS772" s="23"/>
      <c r="AT772" s="23"/>
      <c r="AU772" s="24"/>
      <c r="AW772" s="27">
        <f t="shared" si="151"/>
        <v>7.7200000000000001E-4</v>
      </c>
      <c r="AX772" s="27">
        <f t="shared" si="152"/>
        <v>7.7200000000000001E-4</v>
      </c>
      <c r="AY772" s="27">
        <f t="shared" si="153"/>
        <v>7.7200000000000001E-4</v>
      </c>
      <c r="AZ772" s="27">
        <f t="shared" si="154"/>
        <v>7.7200000000000001E-4</v>
      </c>
    </row>
    <row r="773" spans="1:52" ht="15" customHeight="1" x14ac:dyDescent="0.25">
      <c r="A773" s="13" t="e">
        <f>VLOOKUP(L773,[1]VALIDAÇÃO!$D$13:$E$350,2,0)</f>
        <v>#N/A</v>
      </c>
      <c r="B773" s="14" t="str">
        <f t="shared" si="144"/>
        <v>665</v>
      </c>
      <c r="C773" s="15">
        <f t="shared" si="155"/>
        <v>665</v>
      </c>
      <c r="D773" s="16" t="str">
        <f t="shared" si="145"/>
        <v>665</v>
      </c>
      <c r="E773" s="17">
        <f t="shared" si="148"/>
        <v>665</v>
      </c>
      <c r="F773" s="18" t="str">
        <f t="shared" si="146"/>
        <v>665</v>
      </c>
      <c r="G773" s="18">
        <f t="shared" si="149"/>
        <v>665</v>
      </c>
      <c r="H773" s="19" t="str">
        <f t="shared" si="147"/>
        <v>665</v>
      </c>
      <c r="I773" s="19">
        <f t="shared" si="150"/>
        <v>665</v>
      </c>
      <c r="J773" s="13"/>
      <c r="K773" s="13"/>
      <c r="L773" s="13"/>
      <c r="M773" s="13"/>
      <c r="N773" s="20"/>
      <c r="O773" s="20"/>
      <c r="P773" s="21"/>
      <c r="Q773" s="22"/>
      <c r="R773" s="23"/>
      <c r="S773" s="24"/>
      <c r="T773" s="23"/>
      <c r="U773" s="24"/>
      <c r="V773" s="23"/>
      <c r="W773" s="23"/>
      <c r="X773" s="24"/>
      <c r="Y773" s="23"/>
      <c r="Z773" s="23"/>
      <c r="AA773" s="23"/>
      <c r="AB773" s="23"/>
      <c r="AC773" s="24"/>
      <c r="AD773" s="23"/>
      <c r="AE773" s="24"/>
      <c r="AF773" s="23"/>
      <c r="AG773" s="23"/>
      <c r="AH773" s="23"/>
      <c r="AI773" s="24"/>
      <c r="AJ773" s="25"/>
      <c r="AK773" s="23"/>
      <c r="AL773" s="23"/>
      <c r="AM773" s="24"/>
      <c r="AN773" s="23"/>
      <c r="AO773" s="24"/>
      <c r="AP773" s="23"/>
      <c r="AQ773" s="24"/>
      <c r="AR773" s="23"/>
      <c r="AS773" s="23"/>
      <c r="AT773" s="23"/>
      <c r="AU773" s="24"/>
      <c r="AW773" s="27">
        <f t="shared" si="151"/>
        <v>7.7300000000000003E-4</v>
      </c>
      <c r="AX773" s="27">
        <f t="shared" si="152"/>
        <v>7.7300000000000003E-4</v>
      </c>
      <c r="AY773" s="27">
        <f t="shared" si="153"/>
        <v>7.7300000000000003E-4</v>
      </c>
      <c r="AZ773" s="27">
        <f t="shared" si="154"/>
        <v>7.7300000000000003E-4</v>
      </c>
    </row>
    <row r="774" spans="1:52" ht="15" customHeight="1" x14ac:dyDescent="0.25">
      <c r="A774" s="13" t="e">
        <f>VLOOKUP(L774,[1]VALIDAÇÃO!$D$13:$E$350,2,0)</f>
        <v>#N/A</v>
      </c>
      <c r="B774" s="14" t="str">
        <f t="shared" si="144"/>
        <v>664</v>
      </c>
      <c r="C774" s="15">
        <f t="shared" si="155"/>
        <v>664</v>
      </c>
      <c r="D774" s="16" t="str">
        <f t="shared" si="145"/>
        <v>664</v>
      </c>
      <c r="E774" s="17">
        <f t="shared" si="148"/>
        <v>664</v>
      </c>
      <c r="F774" s="18" t="str">
        <f t="shared" si="146"/>
        <v>664</v>
      </c>
      <c r="G774" s="18">
        <f t="shared" si="149"/>
        <v>664</v>
      </c>
      <c r="H774" s="19" t="str">
        <f t="shared" si="147"/>
        <v>664</v>
      </c>
      <c r="I774" s="19">
        <f t="shared" si="150"/>
        <v>664</v>
      </c>
      <c r="J774" s="13"/>
      <c r="K774" s="13"/>
      <c r="L774" s="13"/>
      <c r="M774" s="13"/>
      <c r="N774" s="20"/>
      <c r="O774" s="20"/>
      <c r="P774" s="21"/>
      <c r="Q774" s="22"/>
      <c r="R774" s="23"/>
      <c r="S774" s="24"/>
      <c r="T774" s="23"/>
      <c r="U774" s="24"/>
      <c r="V774" s="23"/>
      <c r="W774" s="23"/>
      <c r="X774" s="24"/>
      <c r="Y774" s="23"/>
      <c r="Z774" s="23"/>
      <c r="AA774" s="23"/>
      <c r="AB774" s="23"/>
      <c r="AC774" s="24"/>
      <c r="AD774" s="23"/>
      <c r="AE774" s="24"/>
      <c r="AF774" s="23"/>
      <c r="AG774" s="23"/>
      <c r="AH774" s="23"/>
      <c r="AI774" s="24"/>
      <c r="AJ774" s="25"/>
      <c r="AK774" s="23"/>
      <c r="AL774" s="23"/>
      <c r="AM774" s="24"/>
      <c r="AN774" s="23"/>
      <c r="AO774" s="24"/>
      <c r="AP774" s="23"/>
      <c r="AQ774" s="24"/>
      <c r="AR774" s="23"/>
      <c r="AS774" s="23"/>
      <c r="AT774" s="23"/>
      <c r="AU774" s="24"/>
      <c r="AW774" s="27">
        <f t="shared" si="151"/>
        <v>7.7399999999999995E-4</v>
      </c>
      <c r="AX774" s="27">
        <f t="shared" si="152"/>
        <v>7.7399999999999995E-4</v>
      </c>
      <c r="AY774" s="27">
        <f t="shared" si="153"/>
        <v>7.7399999999999995E-4</v>
      </c>
      <c r="AZ774" s="27">
        <f t="shared" si="154"/>
        <v>7.7399999999999995E-4</v>
      </c>
    </row>
    <row r="775" spans="1:52" ht="15" customHeight="1" x14ac:dyDescent="0.25">
      <c r="A775" s="13" t="e">
        <f>VLOOKUP(L775,[1]VALIDAÇÃO!$D$13:$E$350,2,0)</f>
        <v>#N/A</v>
      </c>
      <c r="B775" s="14" t="str">
        <f t="shared" si="144"/>
        <v>663</v>
      </c>
      <c r="C775" s="15">
        <f t="shared" si="155"/>
        <v>663</v>
      </c>
      <c r="D775" s="16" t="str">
        <f t="shared" si="145"/>
        <v>663</v>
      </c>
      <c r="E775" s="17">
        <f t="shared" si="148"/>
        <v>663</v>
      </c>
      <c r="F775" s="18" t="str">
        <f t="shared" si="146"/>
        <v>663</v>
      </c>
      <c r="G775" s="18">
        <f t="shared" si="149"/>
        <v>663</v>
      </c>
      <c r="H775" s="19" t="str">
        <f t="shared" si="147"/>
        <v>663</v>
      </c>
      <c r="I775" s="19">
        <f t="shared" si="150"/>
        <v>663</v>
      </c>
      <c r="J775" s="13"/>
      <c r="K775" s="13"/>
      <c r="L775" s="13"/>
      <c r="M775" s="13"/>
      <c r="N775" s="20"/>
      <c r="O775" s="20"/>
      <c r="P775" s="21"/>
      <c r="Q775" s="22"/>
      <c r="R775" s="23"/>
      <c r="S775" s="24"/>
      <c r="T775" s="23"/>
      <c r="U775" s="24"/>
      <c r="V775" s="23"/>
      <c r="W775" s="23"/>
      <c r="X775" s="24"/>
      <c r="Y775" s="23"/>
      <c r="Z775" s="23"/>
      <c r="AA775" s="23"/>
      <c r="AB775" s="23"/>
      <c r="AC775" s="24"/>
      <c r="AD775" s="23"/>
      <c r="AE775" s="24"/>
      <c r="AF775" s="23"/>
      <c r="AG775" s="23"/>
      <c r="AH775" s="23"/>
      <c r="AI775" s="24"/>
      <c r="AJ775" s="25"/>
      <c r="AK775" s="23"/>
      <c r="AL775" s="23"/>
      <c r="AM775" s="24"/>
      <c r="AN775" s="23"/>
      <c r="AO775" s="24"/>
      <c r="AP775" s="23"/>
      <c r="AQ775" s="24"/>
      <c r="AR775" s="23"/>
      <c r="AS775" s="23"/>
      <c r="AT775" s="23"/>
      <c r="AU775" s="24"/>
      <c r="AW775" s="27">
        <f t="shared" si="151"/>
        <v>7.7499999999999997E-4</v>
      </c>
      <c r="AX775" s="27">
        <f t="shared" si="152"/>
        <v>7.7499999999999997E-4</v>
      </c>
      <c r="AY775" s="27">
        <f t="shared" si="153"/>
        <v>7.7499999999999997E-4</v>
      </c>
      <c r="AZ775" s="27">
        <f t="shared" si="154"/>
        <v>7.7499999999999997E-4</v>
      </c>
    </row>
    <row r="776" spans="1:52" ht="15" customHeight="1" x14ac:dyDescent="0.25">
      <c r="A776" s="13" t="e">
        <f>VLOOKUP(L776,[1]VALIDAÇÃO!$D$13:$E$350,2,0)</f>
        <v>#N/A</v>
      </c>
      <c r="B776" s="14" t="str">
        <f t="shared" si="144"/>
        <v>662</v>
      </c>
      <c r="C776" s="15">
        <f t="shared" si="155"/>
        <v>662</v>
      </c>
      <c r="D776" s="16" t="str">
        <f t="shared" si="145"/>
        <v>662</v>
      </c>
      <c r="E776" s="17">
        <f t="shared" si="148"/>
        <v>662</v>
      </c>
      <c r="F776" s="18" t="str">
        <f t="shared" si="146"/>
        <v>662</v>
      </c>
      <c r="G776" s="18">
        <f t="shared" si="149"/>
        <v>662</v>
      </c>
      <c r="H776" s="19" t="str">
        <f t="shared" si="147"/>
        <v>662</v>
      </c>
      <c r="I776" s="19">
        <f t="shared" si="150"/>
        <v>662</v>
      </c>
      <c r="J776" s="13"/>
      <c r="K776" s="13"/>
      <c r="L776" s="13"/>
      <c r="M776" s="13"/>
      <c r="N776" s="20"/>
      <c r="O776" s="20"/>
      <c r="P776" s="21"/>
      <c r="Q776" s="22"/>
      <c r="R776" s="23"/>
      <c r="S776" s="24"/>
      <c r="T776" s="23"/>
      <c r="U776" s="24"/>
      <c r="V776" s="23"/>
      <c r="W776" s="23"/>
      <c r="X776" s="24"/>
      <c r="Y776" s="23"/>
      <c r="Z776" s="23"/>
      <c r="AA776" s="23"/>
      <c r="AB776" s="23"/>
      <c r="AC776" s="24"/>
      <c r="AD776" s="23"/>
      <c r="AE776" s="24"/>
      <c r="AF776" s="23"/>
      <c r="AG776" s="23"/>
      <c r="AH776" s="23"/>
      <c r="AI776" s="24"/>
      <c r="AJ776" s="25"/>
      <c r="AK776" s="23"/>
      <c r="AL776" s="23"/>
      <c r="AM776" s="24"/>
      <c r="AN776" s="23"/>
      <c r="AO776" s="24"/>
      <c r="AP776" s="23"/>
      <c r="AQ776" s="24"/>
      <c r="AR776" s="23"/>
      <c r="AS776" s="23"/>
      <c r="AT776" s="23"/>
      <c r="AU776" s="24"/>
      <c r="AW776" s="27">
        <f t="shared" si="151"/>
        <v>7.76E-4</v>
      </c>
      <c r="AX776" s="27">
        <f t="shared" si="152"/>
        <v>7.76E-4</v>
      </c>
      <c r="AY776" s="27">
        <f t="shared" si="153"/>
        <v>7.76E-4</v>
      </c>
      <c r="AZ776" s="27">
        <f t="shared" si="154"/>
        <v>7.76E-4</v>
      </c>
    </row>
    <row r="777" spans="1:52" ht="15" customHeight="1" x14ac:dyDescent="0.25">
      <c r="A777" s="13" t="e">
        <f>VLOOKUP(L777,[1]VALIDAÇÃO!$D$13:$E$350,2,0)</f>
        <v>#N/A</v>
      </c>
      <c r="B777" s="14" t="str">
        <f t="shared" si="144"/>
        <v>661</v>
      </c>
      <c r="C777" s="15">
        <f t="shared" si="155"/>
        <v>661</v>
      </c>
      <c r="D777" s="16" t="str">
        <f t="shared" si="145"/>
        <v>661</v>
      </c>
      <c r="E777" s="17">
        <f t="shared" si="148"/>
        <v>661</v>
      </c>
      <c r="F777" s="18" t="str">
        <f t="shared" si="146"/>
        <v>661</v>
      </c>
      <c r="G777" s="18">
        <f t="shared" si="149"/>
        <v>661</v>
      </c>
      <c r="H777" s="19" t="str">
        <f t="shared" si="147"/>
        <v>661</v>
      </c>
      <c r="I777" s="19">
        <f t="shared" si="150"/>
        <v>661</v>
      </c>
      <c r="J777" s="13"/>
      <c r="K777" s="13"/>
      <c r="L777" s="13"/>
      <c r="M777" s="13"/>
      <c r="N777" s="20"/>
      <c r="O777" s="20"/>
      <c r="P777" s="21"/>
      <c r="Q777" s="22"/>
      <c r="R777" s="23"/>
      <c r="S777" s="24"/>
      <c r="T777" s="23"/>
      <c r="U777" s="24"/>
      <c r="V777" s="23"/>
      <c r="W777" s="23"/>
      <c r="X777" s="24"/>
      <c r="Y777" s="23"/>
      <c r="Z777" s="23"/>
      <c r="AA777" s="23"/>
      <c r="AB777" s="23"/>
      <c r="AC777" s="24"/>
      <c r="AD777" s="23"/>
      <c r="AE777" s="24"/>
      <c r="AF777" s="23"/>
      <c r="AG777" s="23"/>
      <c r="AH777" s="23"/>
      <c r="AI777" s="24"/>
      <c r="AJ777" s="25"/>
      <c r="AK777" s="23"/>
      <c r="AL777" s="23"/>
      <c r="AM777" s="24"/>
      <c r="AN777" s="23"/>
      <c r="AO777" s="24"/>
      <c r="AP777" s="23"/>
      <c r="AQ777" s="24"/>
      <c r="AR777" s="23"/>
      <c r="AS777" s="23"/>
      <c r="AT777" s="23"/>
      <c r="AU777" s="24"/>
      <c r="AW777" s="27">
        <f t="shared" si="151"/>
        <v>7.7700000000000002E-4</v>
      </c>
      <c r="AX777" s="27">
        <f t="shared" si="152"/>
        <v>7.7700000000000002E-4</v>
      </c>
      <c r="AY777" s="27">
        <f t="shared" si="153"/>
        <v>7.7700000000000002E-4</v>
      </c>
      <c r="AZ777" s="27">
        <f t="shared" si="154"/>
        <v>7.7700000000000002E-4</v>
      </c>
    </row>
    <row r="778" spans="1:52" ht="15" customHeight="1" x14ac:dyDescent="0.25">
      <c r="A778" s="13" t="e">
        <f>VLOOKUP(L778,[1]VALIDAÇÃO!$D$13:$E$350,2,0)</f>
        <v>#N/A</v>
      </c>
      <c r="B778" s="14" t="str">
        <f t="shared" si="144"/>
        <v>660</v>
      </c>
      <c r="C778" s="15">
        <f t="shared" si="155"/>
        <v>660</v>
      </c>
      <c r="D778" s="16" t="str">
        <f t="shared" si="145"/>
        <v>660</v>
      </c>
      <c r="E778" s="17">
        <f t="shared" si="148"/>
        <v>660</v>
      </c>
      <c r="F778" s="18" t="str">
        <f t="shared" si="146"/>
        <v>660</v>
      </c>
      <c r="G778" s="18">
        <f t="shared" si="149"/>
        <v>660</v>
      </c>
      <c r="H778" s="19" t="str">
        <f t="shared" si="147"/>
        <v>660</v>
      </c>
      <c r="I778" s="19">
        <f t="shared" si="150"/>
        <v>660</v>
      </c>
      <c r="J778" s="13"/>
      <c r="K778" s="13"/>
      <c r="L778" s="13"/>
      <c r="M778" s="13"/>
      <c r="N778" s="20"/>
      <c r="O778" s="20"/>
      <c r="P778" s="21"/>
      <c r="Q778" s="22"/>
      <c r="R778" s="23"/>
      <c r="S778" s="24"/>
      <c r="T778" s="23"/>
      <c r="U778" s="24"/>
      <c r="V778" s="23"/>
      <c r="W778" s="23"/>
      <c r="X778" s="24"/>
      <c r="Y778" s="23"/>
      <c r="Z778" s="23"/>
      <c r="AA778" s="23"/>
      <c r="AB778" s="23"/>
      <c r="AC778" s="24"/>
      <c r="AD778" s="23"/>
      <c r="AE778" s="24"/>
      <c r="AF778" s="23"/>
      <c r="AG778" s="23"/>
      <c r="AH778" s="23"/>
      <c r="AI778" s="24"/>
      <c r="AJ778" s="25"/>
      <c r="AK778" s="23"/>
      <c r="AL778" s="23"/>
      <c r="AM778" s="24"/>
      <c r="AN778" s="23"/>
      <c r="AO778" s="24"/>
      <c r="AP778" s="23"/>
      <c r="AQ778" s="24"/>
      <c r="AR778" s="23"/>
      <c r="AS778" s="23"/>
      <c r="AT778" s="23"/>
      <c r="AU778" s="24"/>
      <c r="AW778" s="27">
        <f t="shared" si="151"/>
        <v>7.7800000000000005E-4</v>
      </c>
      <c r="AX778" s="27">
        <f t="shared" si="152"/>
        <v>7.7800000000000005E-4</v>
      </c>
      <c r="AY778" s="27">
        <f t="shared" si="153"/>
        <v>7.7800000000000005E-4</v>
      </c>
      <c r="AZ778" s="27">
        <f t="shared" si="154"/>
        <v>7.7800000000000005E-4</v>
      </c>
    </row>
    <row r="779" spans="1:52" ht="15" customHeight="1" x14ac:dyDescent="0.25">
      <c r="A779" s="13" t="e">
        <f>VLOOKUP(L779,[1]VALIDAÇÃO!$D$13:$E$350,2,0)</f>
        <v>#N/A</v>
      </c>
      <c r="B779" s="14" t="str">
        <f t="shared" si="144"/>
        <v>659</v>
      </c>
      <c r="C779" s="15">
        <f t="shared" si="155"/>
        <v>659</v>
      </c>
      <c r="D779" s="16" t="str">
        <f t="shared" si="145"/>
        <v>659</v>
      </c>
      <c r="E779" s="17">
        <f t="shared" si="148"/>
        <v>659</v>
      </c>
      <c r="F779" s="18" t="str">
        <f t="shared" si="146"/>
        <v>659</v>
      </c>
      <c r="G779" s="18">
        <f t="shared" si="149"/>
        <v>659</v>
      </c>
      <c r="H779" s="19" t="str">
        <f t="shared" si="147"/>
        <v>659</v>
      </c>
      <c r="I779" s="19">
        <f t="shared" si="150"/>
        <v>659</v>
      </c>
      <c r="J779" s="13"/>
      <c r="K779" s="13"/>
      <c r="L779" s="13"/>
      <c r="M779" s="13"/>
      <c r="N779" s="20"/>
      <c r="O779" s="20"/>
      <c r="P779" s="21"/>
      <c r="Q779" s="22"/>
      <c r="R779" s="23"/>
      <c r="S779" s="24"/>
      <c r="T779" s="23"/>
      <c r="U779" s="24"/>
      <c r="V779" s="23"/>
      <c r="W779" s="23"/>
      <c r="X779" s="24"/>
      <c r="Y779" s="23"/>
      <c r="Z779" s="23"/>
      <c r="AA779" s="23"/>
      <c r="AB779" s="23"/>
      <c r="AC779" s="24"/>
      <c r="AD779" s="23"/>
      <c r="AE779" s="24"/>
      <c r="AF779" s="23"/>
      <c r="AG779" s="23"/>
      <c r="AH779" s="23"/>
      <c r="AI779" s="24"/>
      <c r="AJ779" s="25"/>
      <c r="AK779" s="23"/>
      <c r="AL779" s="23"/>
      <c r="AM779" s="24"/>
      <c r="AN779" s="23"/>
      <c r="AO779" s="24"/>
      <c r="AP779" s="23"/>
      <c r="AQ779" s="24"/>
      <c r="AR779" s="23"/>
      <c r="AS779" s="23"/>
      <c r="AT779" s="23"/>
      <c r="AU779" s="24"/>
      <c r="AW779" s="27">
        <f t="shared" si="151"/>
        <v>7.7899999999999996E-4</v>
      </c>
      <c r="AX779" s="27">
        <f t="shared" si="152"/>
        <v>7.7899999999999996E-4</v>
      </c>
      <c r="AY779" s="27">
        <f t="shared" si="153"/>
        <v>7.7899999999999996E-4</v>
      </c>
      <c r="AZ779" s="27">
        <f t="shared" si="154"/>
        <v>7.7899999999999996E-4</v>
      </c>
    </row>
    <row r="780" spans="1:52" ht="15" customHeight="1" x14ac:dyDescent="0.25">
      <c r="A780" s="13" t="e">
        <f>VLOOKUP(L780,[1]VALIDAÇÃO!$D$13:$E$350,2,0)</f>
        <v>#N/A</v>
      </c>
      <c r="B780" s="14" t="str">
        <f t="shared" si="144"/>
        <v>658</v>
      </c>
      <c r="C780" s="15">
        <f t="shared" si="155"/>
        <v>658</v>
      </c>
      <c r="D780" s="16" t="str">
        <f t="shared" si="145"/>
        <v>658</v>
      </c>
      <c r="E780" s="17">
        <f t="shared" si="148"/>
        <v>658</v>
      </c>
      <c r="F780" s="18" t="str">
        <f t="shared" si="146"/>
        <v>658</v>
      </c>
      <c r="G780" s="18">
        <f t="shared" si="149"/>
        <v>658</v>
      </c>
      <c r="H780" s="19" t="str">
        <f t="shared" si="147"/>
        <v>658</v>
      </c>
      <c r="I780" s="19">
        <f t="shared" si="150"/>
        <v>658</v>
      </c>
      <c r="J780" s="13"/>
      <c r="K780" s="13"/>
      <c r="L780" s="13"/>
      <c r="M780" s="13"/>
      <c r="N780" s="20"/>
      <c r="O780" s="20"/>
      <c r="P780" s="21"/>
      <c r="Q780" s="22"/>
      <c r="R780" s="23"/>
      <c r="S780" s="24"/>
      <c r="T780" s="23"/>
      <c r="U780" s="24"/>
      <c r="V780" s="23"/>
      <c r="W780" s="23"/>
      <c r="X780" s="24"/>
      <c r="Y780" s="23"/>
      <c r="Z780" s="23"/>
      <c r="AA780" s="23"/>
      <c r="AB780" s="23"/>
      <c r="AC780" s="24"/>
      <c r="AD780" s="23"/>
      <c r="AE780" s="24"/>
      <c r="AF780" s="23"/>
      <c r="AG780" s="23"/>
      <c r="AH780" s="23"/>
      <c r="AI780" s="24"/>
      <c r="AJ780" s="25"/>
      <c r="AK780" s="23"/>
      <c r="AL780" s="23"/>
      <c r="AM780" s="24"/>
      <c r="AN780" s="23"/>
      <c r="AO780" s="24"/>
      <c r="AP780" s="23"/>
      <c r="AQ780" s="24"/>
      <c r="AR780" s="23"/>
      <c r="AS780" s="23"/>
      <c r="AT780" s="23"/>
      <c r="AU780" s="24"/>
      <c r="AW780" s="27">
        <f t="shared" si="151"/>
        <v>7.7999999999999999E-4</v>
      </c>
      <c r="AX780" s="27">
        <f t="shared" si="152"/>
        <v>7.7999999999999999E-4</v>
      </c>
      <c r="AY780" s="27">
        <f t="shared" si="153"/>
        <v>7.7999999999999999E-4</v>
      </c>
      <c r="AZ780" s="27">
        <f t="shared" si="154"/>
        <v>7.7999999999999999E-4</v>
      </c>
    </row>
    <row r="781" spans="1:52" ht="15" customHeight="1" x14ac:dyDescent="0.25">
      <c r="A781" s="13" t="e">
        <f>VLOOKUP(L781,[1]VALIDAÇÃO!$D$13:$E$350,2,0)</f>
        <v>#N/A</v>
      </c>
      <c r="B781" s="14" t="str">
        <f t="shared" si="144"/>
        <v>657</v>
      </c>
      <c r="C781" s="15">
        <f t="shared" si="155"/>
        <v>657</v>
      </c>
      <c r="D781" s="16" t="str">
        <f t="shared" si="145"/>
        <v>657</v>
      </c>
      <c r="E781" s="17">
        <f t="shared" si="148"/>
        <v>657</v>
      </c>
      <c r="F781" s="18" t="str">
        <f t="shared" si="146"/>
        <v>657</v>
      </c>
      <c r="G781" s="18">
        <f t="shared" si="149"/>
        <v>657</v>
      </c>
      <c r="H781" s="19" t="str">
        <f t="shared" si="147"/>
        <v>657</v>
      </c>
      <c r="I781" s="19">
        <f t="shared" si="150"/>
        <v>657</v>
      </c>
      <c r="J781" s="13"/>
      <c r="K781" s="13"/>
      <c r="L781" s="13"/>
      <c r="M781" s="13"/>
      <c r="N781" s="20"/>
      <c r="O781" s="20"/>
      <c r="P781" s="21"/>
      <c r="Q781" s="22"/>
      <c r="R781" s="23"/>
      <c r="S781" s="24"/>
      <c r="T781" s="23"/>
      <c r="U781" s="24"/>
      <c r="V781" s="23"/>
      <c r="W781" s="23"/>
      <c r="X781" s="24"/>
      <c r="Y781" s="23"/>
      <c r="Z781" s="23"/>
      <c r="AA781" s="23"/>
      <c r="AB781" s="23"/>
      <c r="AC781" s="24"/>
      <c r="AD781" s="23"/>
      <c r="AE781" s="24"/>
      <c r="AF781" s="23"/>
      <c r="AG781" s="23"/>
      <c r="AH781" s="23"/>
      <c r="AI781" s="24"/>
      <c r="AJ781" s="25"/>
      <c r="AK781" s="23"/>
      <c r="AL781" s="23"/>
      <c r="AM781" s="24"/>
      <c r="AN781" s="23"/>
      <c r="AO781" s="24"/>
      <c r="AP781" s="23"/>
      <c r="AQ781" s="24"/>
      <c r="AR781" s="23"/>
      <c r="AS781" s="23"/>
      <c r="AT781" s="23"/>
      <c r="AU781" s="24"/>
      <c r="AW781" s="27">
        <f t="shared" si="151"/>
        <v>7.8100000000000001E-4</v>
      </c>
      <c r="AX781" s="27">
        <f t="shared" si="152"/>
        <v>7.8100000000000001E-4</v>
      </c>
      <c r="AY781" s="27">
        <f t="shared" si="153"/>
        <v>7.8100000000000001E-4</v>
      </c>
      <c r="AZ781" s="27">
        <f t="shared" si="154"/>
        <v>7.8100000000000001E-4</v>
      </c>
    </row>
    <row r="782" spans="1:52" ht="15" customHeight="1" x14ac:dyDescent="0.25">
      <c r="A782" s="13" t="e">
        <f>VLOOKUP(L782,[1]VALIDAÇÃO!$D$13:$E$350,2,0)</f>
        <v>#N/A</v>
      </c>
      <c r="B782" s="14" t="str">
        <f t="shared" si="144"/>
        <v>656</v>
      </c>
      <c r="C782" s="15">
        <f t="shared" si="155"/>
        <v>656</v>
      </c>
      <c r="D782" s="16" t="str">
        <f t="shared" si="145"/>
        <v>656</v>
      </c>
      <c r="E782" s="17">
        <f t="shared" si="148"/>
        <v>656</v>
      </c>
      <c r="F782" s="18" t="str">
        <f t="shared" si="146"/>
        <v>656</v>
      </c>
      <c r="G782" s="18">
        <f t="shared" si="149"/>
        <v>656</v>
      </c>
      <c r="H782" s="19" t="str">
        <f t="shared" si="147"/>
        <v>656</v>
      </c>
      <c r="I782" s="19">
        <f t="shared" si="150"/>
        <v>656</v>
      </c>
      <c r="J782" s="13"/>
      <c r="K782" s="13"/>
      <c r="L782" s="13"/>
      <c r="M782" s="13"/>
      <c r="N782" s="20"/>
      <c r="O782" s="20"/>
      <c r="P782" s="21"/>
      <c r="Q782" s="22"/>
      <c r="R782" s="23"/>
      <c r="S782" s="24"/>
      <c r="T782" s="23"/>
      <c r="U782" s="24"/>
      <c r="V782" s="23"/>
      <c r="W782" s="23"/>
      <c r="X782" s="24"/>
      <c r="Y782" s="23"/>
      <c r="Z782" s="23"/>
      <c r="AA782" s="23"/>
      <c r="AB782" s="23"/>
      <c r="AC782" s="24"/>
      <c r="AD782" s="23"/>
      <c r="AE782" s="24"/>
      <c r="AF782" s="23"/>
      <c r="AG782" s="23"/>
      <c r="AH782" s="23"/>
      <c r="AI782" s="24"/>
      <c r="AJ782" s="25"/>
      <c r="AK782" s="23"/>
      <c r="AL782" s="23"/>
      <c r="AM782" s="24"/>
      <c r="AN782" s="23"/>
      <c r="AO782" s="24"/>
      <c r="AP782" s="23"/>
      <c r="AQ782" s="24"/>
      <c r="AR782" s="23"/>
      <c r="AS782" s="23"/>
      <c r="AT782" s="23"/>
      <c r="AU782" s="24"/>
      <c r="AW782" s="27">
        <f t="shared" si="151"/>
        <v>7.8200000000000003E-4</v>
      </c>
      <c r="AX782" s="27">
        <f t="shared" si="152"/>
        <v>7.8200000000000003E-4</v>
      </c>
      <c r="AY782" s="27">
        <f t="shared" si="153"/>
        <v>7.8200000000000003E-4</v>
      </c>
      <c r="AZ782" s="27">
        <f t="shared" si="154"/>
        <v>7.8200000000000003E-4</v>
      </c>
    </row>
    <row r="783" spans="1:52" ht="15" customHeight="1" x14ac:dyDescent="0.25">
      <c r="A783" s="13" t="e">
        <f>VLOOKUP(L783,[1]VALIDAÇÃO!$D$13:$E$350,2,0)</f>
        <v>#N/A</v>
      </c>
      <c r="B783" s="14" t="str">
        <f t="shared" si="144"/>
        <v>655</v>
      </c>
      <c r="C783" s="15">
        <f t="shared" si="155"/>
        <v>655</v>
      </c>
      <c r="D783" s="16" t="str">
        <f t="shared" si="145"/>
        <v>655</v>
      </c>
      <c r="E783" s="17">
        <f t="shared" si="148"/>
        <v>655</v>
      </c>
      <c r="F783" s="18" t="str">
        <f t="shared" si="146"/>
        <v>655</v>
      </c>
      <c r="G783" s="18">
        <f t="shared" si="149"/>
        <v>655</v>
      </c>
      <c r="H783" s="19" t="str">
        <f t="shared" si="147"/>
        <v>655</v>
      </c>
      <c r="I783" s="19">
        <f t="shared" si="150"/>
        <v>655</v>
      </c>
      <c r="J783" s="13"/>
      <c r="K783" s="13"/>
      <c r="L783" s="13"/>
      <c r="M783" s="13"/>
      <c r="N783" s="20"/>
      <c r="O783" s="20"/>
      <c r="P783" s="21"/>
      <c r="Q783" s="22"/>
      <c r="R783" s="23"/>
      <c r="S783" s="24"/>
      <c r="T783" s="23"/>
      <c r="U783" s="24"/>
      <c r="V783" s="23"/>
      <c r="W783" s="23"/>
      <c r="X783" s="24"/>
      <c r="Y783" s="23"/>
      <c r="Z783" s="23"/>
      <c r="AA783" s="23"/>
      <c r="AB783" s="23"/>
      <c r="AC783" s="24"/>
      <c r="AD783" s="23"/>
      <c r="AE783" s="24"/>
      <c r="AF783" s="23"/>
      <c r="AG783" s="23"/>
      <c r="AH783" s="23"/>
      <c r="AI783" s="24"/>
      <c r="AJ783" s="25"/>
      <c r="AK783" s="23"/>
      <c r="AL783" s="23"/>
      <c r="AM783" s="24"/>
      <c r="AN783" s="23"/>
      <c r="AO783" s="24"/>
      <c r="AP783" s="23"/>
      <c r="AQ783" s="24"/>
      <c r="AR783" s="23"/>
      <c r="AS783" s="23"/>
      <c r="AT783" s="23"/>
      <c r="AU783" s="24"/>
      <c r="AW783" s="27">
        <f t="shared" si="151"/>
        <v>7.8299999999999995E-4</v>
      </c>
      <c r="AX783" s="27">
        <f t="shared" si="152"/>
        <v>7.8299999999999995E-4</v>
      </c>
      <c r="AY783" s="27">
        <f t="shared" si="153"/>
        <v>7.8299999999999995E-4</v>
      </c>
      <c r="AZ783" s="27">
        <f t="shared" si="154"/>
        <v>7.8299999999999995E-4</v>
      </c>
    </row>
    <row r="784" spans="1:52" ht="15" customHeight="1" x14ac:dyDescent="0.25">
      <c r="A784" s="13" t="e">
        <f>VLOOKUP(L784,[1]VALIDAÇÃO!$D$13:$E$350,2,0)</f>
        <v>#N/A</v>
      </c>
      <c r="B784" s="14" t="str">
        <f t="shared" si="144"/>
        <v>654</v>
      </c>
      <c r="C784" s="15">
        <f t="shared" si="155"/>
        <v>654</v>
      </c>
      <c r="D784" s="16" t="str">
        <f t="shared" si="145"/>
        <v>654</v>
      </c>
      <c r="E784" s="17">
        <f t="shared" si="148"/>
        <v>654</v>
      </c>
      <c r="F784" s="18" t="str">
        <f t="shared" si="146"/>
        <v>654</v>
      </c>
      <c r="G784" s="18">
        <f t="shared" si="149"/>
        <v>654</v>
      </c>
      <c r="H784" s="19" t="str">
        <f t="shared" si="147"/>
        <v>654</v>
      </c>
      <c r="I784" s="19">
        <f t="shared" si="150"/>
        <v>654</v>
      </c>
      <c r="J784" s="13"/>
      <c r="K784" s="13"/>
      <c r="L784" s="13"/>
      <c r="M784" s="13"/>
      <c r="N784" s="20"/>
      <c r="O784" s="20"/>
      <c r="P784" s="21"/>
      <c r="Q784" s="22"/>
      <c r="R784" s="23"/>
      <c r="S784" s="24"/>
      <c r="T784" s="23"/>
      <c r="U784" s="24"/>
      <c r="V784" s="23"/>
      <c r="W784" s="23"/>
      <c r="X784" s="24"/>
      <c r="Y784" s="23"/>
      <c r="Z784" s="23"/>
      <c r="AA784" s="23"/>
      <c r="AB784" s="23"/>
      <c r="AC784" s="24"/>
      <c r="AD784" s="23"/>
      <c r="AE784" s="24"/>
      <c r="AF784" s="23"/>
      <c r="AG784" s="23"/>
      <c r="AH784" s="23"/>
      <c r="AI784" s="24"/>
      <c r="AJ784" s="25"/>
      <c r="AK784" s="23"/>
      <c r="AL784" s="23"/>
      <c r="AM784" s="24"/>
      <c r="AN784" s="23"/>
      <c r="AO784" s="24"/>
      <c r="AP784" s="23"/>
      <c r="AQ784" s="24"/>
      <c r="AR784" s="23"/>
      <c r="AS784" s="23"/>
      <c r="AT784" s="23"/>
      <c r="AU784" s="24"/>
      <c r="AW784" s="27">
        <f t="shared" si="151"/>
        <v>7.8399999999999997E-4</v>
      </c>
      <c r="AX784" s="27">
        <f t="shared" si="152"/>
        <v>7.8399999999999997E-4</v>
      </c>
      <c r="AY784" s="27">
        <f t="shared" si="153"/>
        <v>7.8399999999999997E-4</v>
      </c>
      <c r="AZ784" s="27">
        <f t="shared" si="154"/>
        <v>7.8399999999999997E-4</v>
      </c>
    </row>
    <row r="785" spans="1:52" ht="15" customHeight="1" x14ac:dyDescent="0.25">
      <c r="A785" s="13" t="e">
        <f>VLOOKUP(L785,[1]VALIDAÇÃO!$D$13:$E$350,2,0)</f>
        <v>#N/A</v>
      </c>
      <c r="B785" s="14" t="str">
        <f t="shared" si="144"/>
        <v>653</v>
      </c>
      <c r="C785" s="15">
        <f t="shared" si="155"/>
        <v>653</v>
      </c>
      <c r="D785" s="16" t="str">
        <f t="shared" si="145"/>
        <v>653</v>
      </c>
      <c r="E785" s="17">
        <f t="shared" si="148"/>
        <v>653</v>
      </c>
      <c r="F785" s="18" t="str">
        <f t="shared" si="146"/>
        <v>653</v>
      </c>
      <c r="G785" s="18">
        <f t="shared" si="149"/>
        <v>653</v>
      </c>
      <c r="H785" s="19" t="str">
        <f t="shared" si="147"/>
        <v>653</v>
      </c>
      <c r="I785" s="19">
        <f t="shared" si="150"/>
        <v>653</v>
      </c>
      <c r="J785" s="13"/>
      <c r="K785" s="13"/>
      <c r="L785" s="13"/>
      <c r="M785" s="13"/>
      <c r="N785" s="20"/>
      <c r="O785" s="20"/>
      <c r="P785" s="21"/>
      <c r="Q785" s="22"/>
      <c r="R785" s="23"/>
      <c r="S785" s="24"/>
      <c r="T785" s="23"/>
      <c r="U785" s="24"/>
      <c r="V785" s="23"/>
      <c r="W785" s="23"/>
      <c r="X785" s="24"/>
      <c r="Y785" s="23"/>
      <c r="Z785" s="23"/>
      <c r="AA785" s="23"/>
      <c r="AB785" s="23"/>
      <c r="AC785" s="24"/>
      <c r="AD785" s="23"/>
      <c r="AE785" s="24"/>
      <c r="AF785" s="23"/>
      <c r="AG785" s="23"/>
      <c r="AH785" s="23"/>
      <c r="AI785" s="24"/>
      <c r="AJ785" s="25"/>
      <c r="AK785" s="23"/>
      <c r="AL785" s="23"/>
      <c r="AM785" s="24"/>
      <c r="AN785" s="23"/>
      <c r="AO785" s="24"/>
      <c r="AP785" s="23"/>
      <c r="AQ785" s="24"/>
      <c r="AR785" s="23"/>
      <c r="AS785" s="23"/>
      <c r="AT785" s="23"/>
      <c r="AU785" s="24"/>
      <c r="AW785" s="27">
        <f t="shared" si="151"/>
        <v>7.85E-4</v>
      </c>
      <c r="AX785" s="27">
        <f t="shared" si="152"/>
        <v>7.85E-4</v>
      </c>
      <c r="AY785" s="27">
        <f t="shared" si="153"/>
        <v>7.85E-4</v>
      </c>
      <c r="AZ785" s="27">
        <f t="shared" si="154"/>
        <v>7.85E-4</v>
      </c>
    </row>
    <row r="786" spans="1:52" ht="15" customHeight="1" x14ac:dyDescent="0.25">
      <c r="A786" s="13" t="e">
        <f>VLOOKUP(L786,[1]VALIDAÇÃO!$D$13:$E$350,2,0)</f>
        <v>#N/A</v>
      </c>
      <c r="B786" s="14" t="str">
        <f t="shared" si="144"/>
        <v>652</v>
      </c>
      <c r="C786" s="15">
        <f t="shared" si="155"/>
        <v>652</v>
      </c>
      <c r="D786" s="16" t="str">
        <f t="shared" si="145"/>
        <v>652</v>
      </c>
      <c r="E786" s="17">
        <f t="shared" si="148"/>
        <v>652</v>
      </c>
      <c r="F786" s="18" t="str">
        <f t="shared" si="146"/>
        <v>652</v>
      </c>
      <c r="G786" s="18">
        <f t="shared" si="149"/>
        <v>652</v>
      </c>
      <c r="H786" s="19" t="str">
        <f t="shared" si="147"/>
        <v>652</v>
      </c>
      <c r="I786" s="19">
        <f t="shared" si="150"/>
        <v>652</v>
      </c>
      <c r="J786" s="13"/>
      <c r="K786" s="13"/>
      <c r="L786" s="13"/>
      <c r="M786" s="13"/>
      <c r="N786" s="20"/>
      <c r="O786" s="20"/>
      <c r="P786" s="21"/>
      <c r="Q786" s="22"/>
      <c r="R786" s="23"/>
      <c r="S786" s="24"/>
      <c r="T786" s="23"/>
      <c r="U786" s="24"/>
      <c r="V786" s="23"/>
      <c r="W786" s="23"/>
      <c r="X786" s="24"/>
      <c r="Y786" s="23"/>
      <c r="Z786" s="23"/>
      <c r="AA786" s="23"/>
      <c r="AB786" s="23"/>
      <c r="AC786" s="24"/>
      <c r="AD786" s="23"/>
      <c r="AE786" s="24"/>
      <c r="AF786" s="23"/>
      <c r="AG786" s="23"/>
      <c r="AH786" s="23"/>
      <c r="AI786" s="24"/>
      <c r="AJ786" s="25"/>
      <c r="AK786" s="23"/>
      <c r="AL786" s="23"/>
      <c r="AM786" s="24"/>
      <c r="AN786" s="23"/>
      <c r="AO786" s="24"/>
      <c r="AP786" s="23"/>
      <c r="AQ786" s="24"/>
      <c r="AR786" s="23"/>
      <c r="AS786" s="23"/>
      <c r="AT786" s="23"/>
      <c r="AU786" s="24"/>
      <c r="AW786" s="27">
        <f t="shared" si="151"/>
        <v>7.8600000000000002E-4</v>
      </c>
      <c r="AX786" s="27">
        <f t="shared" si="152"/>
        <v>7.8600000000000002E-4</v>
      </c>
      <c r="AY786" s="27">
        <f t="shared" si="153"/>
        <v>7.8600000000000002E-4</v>
      </c>
      <c r="AZ786" s="27">
        <f t="shared" si="154"/>
        <v>7.8600000000000002E-4</v>
      </c>
    </row>
    <row r="787" spans="1:52" ht="15" customHeight="1" x14ac:dyDescent="0.25">
      <c r="A787" s="13" t="e">
        <f>VLOOKUP(L787,[1]VALIDAÇÃO!$D$13:$E$350,2,0)</f>
        <v>#N/A</v>
      </c>
      <c r="B787" s="14" t="str">
        <f t="shared" si="144"/>
        <v>651</v>
      </c>
      <c r="C787" s="15">
        <f t="shared" si="155"/>
        <v>651</v>
      </c>
      <c r="D787" s="16" t="str">
        <f t="shared" si="145"/>
        <v>651</v>
      </c>
      <c r="E787" s="17">
        <f t="shared" si="148"/>
        <v>651</v>
      </c>
      <c r="F787" s="18" t="str">
        <f t="shared" si="146"/>
        <v>651</v>
      </c>
      <c r="G787" s="18">
        <f t="shared" si="149"/>
        <v>651</v>
      </c>
      <c r="H787" s="19" t="str">
        <f t="shared" si="147"/>
        <v>651</v>
      </c>
      <c r="I787" s="19">
        <f t="shared" si="150"/>
        <v>651</v>
      </c>
      <c r="J787" s="13"/>
      <c r="K787" s="13"/>
      <c r="L787" s="13"/>
      <c r="M787" s="13"/>
      <c r="N787" s="20"/>
      <c r="O787" s="20"/>
      <c r="P787" s="21"/>
      <c r="Q787" s="22"/>
      <c r="R787" s="23"/>
      <c r="S787" s="24"/>
      <c r="T787" s="23"/>
      <c r="U787" s="24"/>
      <c r="V787" s="23"/>
      <c r="W787" s="23"/>
      <c r="X787" s="24"/>
      <c r="Y787" s="23"/>
      <c r="Z787" s="23"/>
      <c r="AA787" s="23"/>
      <c r="AB787" s="23"/>
      <c r="AC787" s="24"/>
      <c r="AD787" s="23"/>
      <c r="AE787" s="24"/>
      <c r="AF787" s="23"/>
      <c r="AG787" s="23"/>
      <c r="AH787" s="23"/>
      <c r="AI787" s="24"/>
      <c r="AJ787" s="25"/>
      <c r="AK787" s="23"/>
      <c r="AL787" s="23"/>
      <c r="AM787" s="24"/>
      <c r="AN787" s="23"/>
      <c r="AO787" s="24"/>
      <c r="AP787" s="23"/>
      <c r="AQ787" s="24"/>
      <c r="AR787" s="23"/>
      <c r="AS787" s="23"/>
      <c r="AT787" s="23"/>
      <c r="AU787" s="24"/>
      <c r="AW787" s="27">
        <f t="shared" si="151"/>
        <v>7.8700000000000005E-4</v>
      </c>
      <c r="AX787" s="27">
        <f t="shared" si="152"/>
        <v>7.8700000000000005E-4</v>
      </c>
      <c r="AY787" s="27">
        <f t="shared" si="153"/>
        <v>7.8700000000000005E-4</v>
      </c>
      <c r="AZ787" s="27">
        <f t="shared" si="154"/>
        <v>7.8700000000000005E-4</v>
      </c>
    </row>
    <row r="788" spans="1:52" ht="15" customHeight="1" x14ac:dyDescent="0.25">
      <c r="A788" s="13" t="e">
        <f>VLOOKUP(L788,[1]VALIDAÇÃO!$D$13:$E$350,2,0)</f>
        <v>#N/A</v>
      </c>
      <c r="B788" s="14" t="str">
        <f t="shared" ref="B788:B851" si="156">C788&amp;J788</f>
        <v>650</v>
      </c>
      <c r="C788" s="15">
        <f t="shared" si="155"/>
        <v>650</v>
      </c>
      <c r="D788" s="16" t="str">
        <f t="shared" ref="D788:D851" si="157">E788&amp;J788</f>
        <v>650</v>
      </c>
      <c r="E788" s="17">
        <f t="shared" si="148"/>
        <v>650</v>
      </c>
      <c r="F788" s="18" t="str">
        <f t="shared" ref="F788:F851" si="158">G788&amp;J788</f>
        <v>650</v>
      </c>
      <c r="G788" s="18">
        <f t="shared" si="149"/>
        <v>650</v>
      </c>
      <c r="H788" s="19" t="str">
        <f t="shared" ref="H788:H851" si="159">I788&amp;J788</f>
        <v>650</v>
      </c>
      <c r="I788" s="19">
        <f t="shared" si="150"/>
        <v>650</v>
      </c>
      <c r="J788" s="13"/>
      <c r="K788" s="13"/>
      <c r="L788" s="13"/>
      <c r="M788" s="13"/>
      <c r="N788" s="20"/>
      <c r="O788" s="20"/>
      <c r="P788" s="21"/>
      <c r="Q788" s="22"/>
      <c r="R788" s="23"/>
      <c r="S788" s="24"/>
      <c r="T788" s="23"/>
      <c r="U788" s="24"/>
      <c r="V788" s="23"/>
      <c r="W788" s="23"/>
      <c r="X788" s="24"/>
      <c r="Y788" s="23"/>
      <c r="Z788" s="23"/>
      <c r="AA788" s="23"/>
      <c r="AB788" s="23"/>
      <c r="AC788" s="24"/>
      <c r="AD788" s="23"/>
      <c r="AE788" s="24"/>
      <c r="AF788" s="23"/>
      <c r="AG788" s="23"/>
      <c r="AH788" s="23"/>
      <c r="AI788" s="24"/>
      <c r="AJ788" s="25"/>
      <c r="AK788" s="23"/>
      <c r="AL788" s="23"/>
      <c r="AM788" s="24"/>
      <c r="AN788" s="23"/>
      <c r="AO788" s="24"/>
      <c r="AP788" s="23"/>
      <c r="AQ788" s="24"/>
      <c r="AR788" s="23"/>
      <c r="AS788" s="23"/>
      <c r="AT788" s="23"/>
      <c r="AU788" s="24"/>
      <c r="AW788" s="27">
        <f t="shared" si="151"/>
        <v>7.8799999999999996E-4</v>
      </c>
      <c r="AX788" s="27">
        <f t="shared" si="152"/>
        <v>7.8799999999999996E-4</v>
      </c>
      <c r="AY788" s="27">
        <f t="shared" si="153"/>
        <v>7.8799999999999996E-4</v>
      </c>
      <c r="AZ788" s="27">
        <f t="shared" si="154"/>
        <v>7.8799999999999996E-4</v>
      </c>
    </row>
    <row r="789" spans="1:52" ht="15" customHeight="1" x14ac:dyDescent="0.25">
      <c r="A789" s="13" t="e">
        <f>VLOOKUP(L789,[1]VALIDAÇÃO!$D$13:$E$350,2,0)</f>
        <v>#N/A</v>
      </c>
      <c r="B789" s="14" t="str">
        <f t="shared" si="156"/>
        <v>649</v>
      </c>
      <c r="C789" s="15">
        <f t="shared" si="155"/>
        <v>649</v>
      </c>
      <c r="D789" s="16" t="str">
        <f t="shared" si="157"/>
        <v>649</v>
      </c>
      <c r="E789" s="17">
        <f t="shared" si="148"/>
        <v>649</v>
      </c>
      <c r="F789" s="18" t="str">
        <f t="shared" si="158"/>
        <v>649</v>
      </c>
      <c r="G789" s="18">
        <f t="shared" si="149"/>
        <v>649</v>
      </c>
      <c r="H789" s="19" t="str">
        <f t="shared" si="159"/>
        <v>649</v>
      </c>
      <c r="I789" s="19">
        <f t="shared" si="150"/>
        <v>649</v>
      </c>
      <c r="J789" s="13"/>
      <c r="K789" s="13"/>
      <c r="L789" s="13"/>
      <c r="M789" s="13"/>
      <c r="N789" s="20"/>
      <c r="O789" s="20"/>
      <c r="P789" s="21"/>
      <c r="Q789" s="22"/>
      <c r="R789" s="23"/>
      <c r="S789" s="24"/>
      <c r="T789" s="23"/>
      <c r="U789" s="24"/>
      <c r="V789" s="23"/>
      <c r="W789" s="23"/>
      <c r="X789" s="24"/>
      <c r="Y789" s="23"/>
      <c r="Z789" s="23"/>
      <c r="AA789" s="23"/>
      <c r="AB789" s="23"/>
      <c r="AC789" s="24"/>
      <c r="AD789" s="23"/>
      <c r="AE789" s="24"/>
      <c r="AF789" s="23"/>
      <c r="AG789" s="23"/>
      <c r="AH789" s="23"/>
      <c r="AI789" s="24"/>
      <c r="AJ789" s="25"/>
      <c r="AK789" s="23"/>
      <c r="AL789" s="23"/>
      <c r="AM789" s="24"/>
      <c r="AN789" s="23"/>
      <c r="AO789" s="24"/>
      <c r="AP789" s="23"/>
      <c r="AQ789" s="24"/>
      <c r="AR789" s="23"/>
      <c r="AS789" s="23"/>
      <c r="AT789" s="23"/>
      <c r="AU789" s="24"/>
      <c r="AW789" s="27">
        <f t="shared" si="151"/>
        <v>7.8899999999999999E-4</v>
      </c>
      <c r="AX789" s="27">
        <f t="shared" si="152"/>
        <v>7.8899999999999999E-4</v>
      </c>
      <c r="AY789" s="27">
        <f t="shared" si="153"/>
        <v>7.8899999999999999E-4</v>
      </c>
      <c r="AZ789" s="27">
        <f t="shared" si="154"/>
        <v>7.8899999999999999E-4</v>
      </c>
    </row>
    <row r="790" spans="1:52" ht="15" customHeight="1" x14ac:dyDescent="0.25">
      <c r="A790" s="13" t="e">
        <f>VLOOKUP(L790,[1]VALIDAÇÃO!$D$13:$E$350,2,0)</f>
        <v>#N/A</v>
      </c>
      <c r="B790" s="14" t="str">
        <f t="shared" si="156"/>
        <v>648</v>
      </c>
      <c r="C790" s="15">
        <f t="shared" si="155"/>
        <v>648</v>
      </c>
      <c r="D790" s="16" t="str">
        <f t="shared" si="157"/>
        <v>648</v>
      </c>
      <c r="E790" s="17">
        <f t="shared" si="148"/>
        <v>648</v>
      </c>
      <c r="F790" s="18" t="str">
        <f t="shared" si="158"/>
        <v>648</v>
      </c>
      <c r="G790" s="18">
        <f t="shared" si="149"/>
        <v>648</v>
      </c>
      <c r="H790" s="19" t="str">
        <f t="shared" si="159"/>
        <v>648</v>
      </c>
      <c r="I790" s="19">
        <f t="shared" si="150"/>
        <v>648</v>
      </c>
      <c r="J790" s="13"/>
      <c r="K790" s="13"/>
      <c r="L790" s="13"/>
      <c r="M790" s="13"/>
      <c r="N790" s="20"/>
      <c r="O790" s="20"/>
      <c r="P790" s="21"/>
      <c r="Q790" s="22"/>
      <c r="R790" s="23"/>
      <c r="S790" s="24"/>
      <c r="T790" s="23"/>
      <c r="U790" s="24"/>
      <c r="V790" s="23"/>
      <c r="W790" s="23"/>
      <c r="X790" s="24"/>
      <c r="Y790" s="23"/>
      <c r="Z790" s="23"/>
      <c r="AA790" s="23"/>
      <c r="AB790" s="23"/>
      <c r="AC790" s="24"/>
      <c r="AD790" s="23"/>
      <c r="AE790" s="24"/>
      <c r="AF790" s="23"/>
      <c r="AG790" s="23"/>
      <c r="AH790" s="23"/>
      <c r="AI790" s="24"/>
      <c r="AJ790" s="25"/>
      <c r="AK790" s="23"/>
      <c r="AL790" s="23"/>
      <c r="AM790" s="24"/>
      <c r="AN790" s="23"/>
      <c r="AO790" s="24"/>
      <c r="AP790" s="23"/>
      <c r="AQ790" s="24"/>
      <c r="AR790" s="23"/>
      <c r="AS790" s="23"/>
      <c r="AT790" s="23"/>
      <c r="AU790" s="24"/>
      <c r="AW790" s="27">
        <f t="shared" si="151"/>
        <v>7.9000000000000001E-4</v>
      </c>
      <c r="AX790" s="27">
        <f t="shared" si="152"/>
        <v>7.9000000000000001E-4</v>
      </c>
      <c r="AY790" s="27">
        <f t="shared" si="153"/>
        <v>7.9000000000000001E-4</v>
      </c>
      <c r="AZ790" s="27">
        <f t="shared" si="154"/>
        <v>7.9000000000000001E-4</v>
      </c>
    </row>
    <row r="791" spans="1:52" ht="15" customHeight="1" x14ac:dyDescent="0.25">
      <c r="A791" s="13" t="e">
        <f>VLOOKUP(L791,[1]VALIDAÇÃO!$D$13:$E$350,2,0)</f>
        <v>#N/A</v>
      </c>
      <c r="B791" s="14" t="str">
        <f t="shared" si="156"/>
        <v>647</v>
      </c>
      <c r="C791" s="15">
        <f t="shared" si="155"/>
        <v>647</v>
      </c>
      <c r="D791" s="16" t="str">
        <f t="shared" si="157"/>
        <v>647</v>
      </c>
      <c r="E791" s="17">
        <f t="shared" si="148"/>
        <v>647</v>
      </c>
      <c r="F791" s="18" t="str">
        <f t="shared" si="158"/>
        <v>647</v>
      </c>
      <c r="G791" s="18">
        <f t="shared" si="149"/>
        <v>647</v>
      </c>
      <c r="H791" s="19" t="str">
        <f t="shared" si="159"/>
        <v>647</v>
      </c>
      <c r="I791" s="19">
        <f t="shared" si="150"/>
        <v>647</v>
      </c>
      <c r="J791" s="13"/>
      <c r="K791" s="13"/>
      <c r="L791" s="13"/>
      <c r="M791" s="13"/>
      <c r="N791" s="20"/>
      <c r="O791" s="20"/>
      <c r="P791" s="21"/>
      <c r="Q791" s="22"/>
      <c r="R791" s="23"/>
      <c r="S791" s="24"/>
      <c r="T791" s="23"/>
      <c r="U791" s="24"/>
      <c r="V791" s="23"/>
      <c r="W791" s="23"/>
      <c r="X791" s="24"/>
      <c r="Y791" s="23"/>
      <c r="Z791" s="23"/>
      <c r="AA791" s="23"/>
      <c r="AB791" s="23"/>
      <c r="AC791" s="24"/>
      <c r="AD791" s="23"/>
      <c r="AE791" s="24"/>
      <c r="AF791" s="23"/>
      <c r="AG791" s="23"/>
      <c r="AH791" s="23"/>
      <c r="AI791" s="24"/>
      <c r="AJ791" s="25"/>
      <c r="AK791" s="23"/>
      <c r="AL791" s="23"/>
      <c r="AM791" s="24"/>
      <c r="AN791" s="23"/>
      <c r="AO791" s="24"/>
      <c r="AP791" s="23"/>
      <c r="AQ791" s="24"/>
      <c r="AR791" s="23"/>
      <c r="AS791" s="23"/>
      <c r="AT791" s="23"/>
      <c r="AU791" s="24"/>
      <c r="AW791" s="27">
        <f t="shared" si="151"/>
        <v>7.9100000000000004E-4</v>
      </c>
      <c r="AX791" s="27">
        <f t="shared" si="152"/>
        <v>7.9100000000000004E-4</v>
      </c>
      <c r="AY791" s="27">
        <f t="shared" si="153"/>
        <v>7.9100000000000004E-4</v>
      </c>
      <c r="AZ791" s="27">
        <f t="shared" si="154"/>
        <v>7.9100000000000004E-4</v>
      </c>
    </row>
    <row r="792" spans="1:52" ht="15" customHeight="1" x14ac:dyDescent="0.25">
      <c r="A792" s="13" t="e">
        <f>VLOOKUP(L792,[1]VALIDAÇÃO!$D$13:$E$350,2,0)</f>
        <v>#N/A</v>
      </c>
      <c r="B792" s="14" t="str">
        <f t="shared" si="156"/>
        <v>646</v>
      </c>
      <c r="C792" s="15">
        <f t="shared" si="155"/>
        <v>646</v>
      </c>
      <c r="D792" s="16" t="str">
        <f t="shared" si="157"/>
        <v>646</v>
      </c>
      <c r="E792" s="17">
        <f t="shared" si="148"/>
        <v>646</v>
      </c>
      <c r="F792" s="18" t="str">
        <f t="shared" si="158"/>
        <v>646</v>
      </c>
      <c r="G792" s="18">
        <f t="shared" si="149"/>
        <v>646</v>
      </c>
      <c r="H792" s="19" t="str">
        <f t="shared" si="159"/>
        <v>646</v>
      </c>
      <c r="I792" s="19">
        <f t="shared" si="150"/>
        <v>646</v>
      </c>
      <c r="J792" s="13"/>
      <c r="K792" s="13"/>
      <c r="L792" s="13"/>
      <c r="M792" s="13"/>
      <c r="N792" s="20"/>
      <c r="O792" s="20"/>
      <c r="P792" s="21"/>
      <c r="Q792" s="22"/>
      <c r="R792" s="23"/>
      <c r="S792" s="24"/>
      <c r="T792" s="23"/>
      <c r="U792" s="24"/>
      <c r="V792" s="23"/>
      <c r="W792" s="23"/>
      <c r="X792" s="24"/>
      <c r="Y792" s="23"/>
      <c r="Z792" s="23"/>
      <c r="AA792" s="23"/>
      <c r="AB792" s="23"/>
      <c r="AC792" s="24"/>
      <c r="AD792" s="23"/>
      <c r="AE792" s="24"/>
      <c r="AF792" s="23"/>
      <c r="AG792" s="23"/>
      <c r="AH792" s="23"/>
      <c r="AI792" s="24"/>
      <c r="AJ792" s="25"/>
      <c r="AK792" s="23"/>
      <c r="AL792" s="23"/>
      <c r="AM792" s="24"/>
      <c r="AN792" s="23"/>
      <c r="AO792" s="24"/>
      <c r="AP792" s="23"/>
      <c r="AQ792" s="24"/>
      <c r="AR792" s="23"/>
      <c r="AS792" s="23"/>
      <c r="AT792" s="23"/>
      <c r="AU792" s="24"/>
      <c r="AW792" s="27">
        <f t="shared" si="151"/>
        <v>7.9199999999999995E-4</v>
      </c>
      <c r="AX792" s="27">
        <f t="shared" si="152"/>
        <v>7.9199999999999995E-4</v>
      </c>
      <c r="AY792" s="27">
        <f t="shared" si="153"/>
        <v>7.9199999999999995E-4</v>
      </c>
      <c r="AZ792" s="27">
        <f t="shared" si="154"/>
        <v>7.9199999999999995E-4</v>
      </c>
    </row>
    <row r="793" spans="1:52" ht="15" customHeight="1" x14ac:dyDescent="0.25">
      <c r="A793" s="13" t="e">
        <f>VLOOKUP(L793,[1]VALIDAÇÃO!$D$13:$E$350,2,0)</f>
        <v>#N/A</v>
      </c>
      <c r="B793" s="14" t="str">
        <f t="shared" si="156"/>
        <v>645</v>
      </c>
      <c r="C793" s="15">
        <f t="shared" si="155"/>
        <v>645</v>
      </c>
      <c r="D793" s="16" t="str">
        <f t="shared" si="157"/>
        <v>645</v>
      </c>
      <c r="E793" s="17">
        <f t="shared" si="148"/>
        <v>645</v>
      </c>
      <c r="F793" s="18" t="str">
        <f t="shared" si="158"/>
        <v>645</v>
      </c>
      <c r="G793" s="18">
        <f t="shared" si="149"/>
        <v>645</v>
      </c>
      <c r="H793" s="19" t="str">
        <f t="shared" si="159"/>
        <v>645</v>
      </c>
      <c r="I793" s="19">
        <f t="shared" si="150"/>
        <v>645</v>
      </c>
      <c r="J793" s="13"/>
      <c r="K793" s="13"/>
      <c r="L793" s="13"/>
      <c r="M793" s="13"/>
      <c r="N793" s="20"/>
      <c r="O793" s="20"/>
      <c r="P793" s="21"/>
      <c r="Q793" s="22"/>
      <c r="R793" s="23"/>
      <c r="S793" s="24"/>
      <c r="T793" s="23"/>
      <c r="U793" s="24"/>
      <c r="V793" s="23"/>
      <c r="W793" s="23"/>
      <c r="X793" s="24"/>
      <c r="Y793" s="23"/>
      <c r="Z793" s="23"/>
      <c r="AA793" s="23"/>
      <c r="AB793" s="23"/>
      <c r="AC793" s="24"/>
      <c r="AD793" s="23"/>
      <c r="AE793" s="24"/>
      <c r="AF793" s="23"/>
      <c r="AG793" s="23"/>
      <c r="AH793" s="23"/>
      <c r="AI793" s="24"/>
      <c r="AJ793" s="25"/>
      <c r="AK793" s="23"/>
      <c r="AL793" s="23"/>
      <c r="AM793" s="24"/>
      <c r="AN793" s="23"/>
      <c r="AO793" s="24"/>
      <c r="AP793" s="23"/>
      <c r="AQ793" s="24"/>
      <c r="AR793" s="23"/>
      <c r="AS793" s="23"/>
      <c r="AT793" s="23"/>
      <c r="AU793" s="24"/>
      <c r="AW793" s="27">
        <f t="shared" si="151"/>
        <v>7.9299999999999998E-4</v>
      </c>
      <c r="AX793" s="27">
        <f t="shared" si="152"/>
        <v>7.9299999999999998E-4</v>
      </c>
      <c r="AY793" s="27">
        <f t="shared" si="153"/>
        <v>7.9299999999999998E-4</v>
      </c>
      <c r="AZ793" s="27">
        <f t="shared" si="154"/>
        <v>7.9299999999999998E-4</v>
      </c>
    </row>
    <row r="794" spans="1:52" ht="15" customHeight="1" x14ac:dyDescent="0.25">
      <c r="A794" s="13" t="e">
        <f>VLOOKUP(L794,[1]VALIDAÇÃO!$D$13:$E$350,2,0)</f>
        <v>#N/A</v>
      </c>
      <c r="B794" s="14" t="str">
        <f t="shared" si="156"/>
        <v>644</v>
      </c>
      <c r="C794" s="15">
        <f t="shared" si="155"/>
        <v>644</v>
      </c>
      <c r="D794" s="16" t="str">
        <f t="shared" si="157"/>
        <v>644</v>
      </c>
      <c r="E794" s="17">
        <f t="shared" si="148"/>
        <v>644</v>
      </c>
      <c r="F794" s="18" t="str">
        <f t="shared" si="158"/>
        <v>644</v>
      </c>
      <c r="G794" s="18">
        <f t="shared" si="149"/>
        <v>644</v>
      </c>
      <c r="H794" s="19" t="str">
        <f t="shared" si="159"/>
        <v>644</v>
      </c>
      <c r="I794" s="19">
        <f t="shared" si="150"/>
        <v>644</v>
      </c>
      <c r="J794" s="13"/>
      <c r="K794" s="13"/>
      <c r="L794" s="13"/>
      <c r="M794" s="13"/>
      <c r="N794" s="20"/>
      <c r="O794" s="20"/>
      <c r="P794" s="21"/>
      <c r="Q794" s="22"/>
      <c r="R794" s="23"/>
      <c r="S794" s="24"/>
      <c r="T794" s="23"/>
      <c r="U794" s="24"/>
      <c r="V794" s="23"/>
      <c r="W794" s="23"/>
      <c r="X794" s="24"/>
      <c r="Y794" s="23"/>
      <c r="Z794" s="23"/>
      <c r="AA794" s="23"/>
      <c r="AB794" s="23"/>
      <c r="AC794" s="24"/>
      <c r="AD794" s="23"/>
      <c r="AE794" s="24"/>
      <c r="AF794" s="23"/>
      <c r="AG794" s="23"/>
      <c r="AH794" s="23"/>
      <c r="AI794" s="24"/>
      <c r="AJ794" s="25"/>
      <c r="AK794" s="23"/>
      <c r="AL794" s="23"/>
      <c r="AM794" s="24"/>
      <c r="AN794" s="23"/>
      <c r="AO794" s="24"/>
      <c r="AP794" s="23"/>
      <c r="AQ794" s="24"/>
      <c r="AR794" s="23"/>
      <c r="AS794" s="23"/>
      <c r="AT794" s="23"/>
      <c r="AU794" s="24"/>
      <c r="AW794" s="27">
        <f t="shared" si="151"/>
        <v>7.94E-4</v>
      </c>
      <c r="AX794" s="27">
        <f t="shared" si="152"/>
        <v>7.94E-4</v>
      </c>
      <c r="AY794" s="27">
        <f t="shared" si="153"/>
        <v>7.94E-4</v>
      </c>
      <c r="AZ794" s="27">
        <f t="shared" si="154"/>
        <v>7.94E-4</v>
      </c>
    </row>
    <row r="795" spans="1:52" ht="15" customHeight="1" x14ac:dyDescent="0.25">
      <c r="A795" s="13" t="e">
        <f>VLOOKUP(L795,[1]VALIDAÇÃO!$D$13:$E$350,2,0)</f>
        <v>#N/A</v>
      </c>
      <c r="B795" s="14" t="str">
        <f t="shared" si="156"/>
        <v>643</v>
      </c>
      <c r="C795" s="15">
        <f t="shared" si="155"/>
        <v>643</v>
      </c>
      <c r="D795" s="16" t="str">
        <f t="shared" si="157"/>
        <v>643</v>
      </c>
      <c r="E795" s="17">
        <f t="shared" si="148"/>
        <v>643</v>
      </c>
      <c r="F795" s="18" t="str">
        <f t="shared" si="158"/>
        <v>643</v>
      </c>
      <c r="G795" s="18">
        <f t="shared" si="149"/>
        <v>643</v>
      </c>
      <c r="H795" s="19" t="str">
        <f t="shared" si="159"/>
        <v>643</v>
      </c>
      <c r="I795" s="19">
        <f t="shared" si="150"/>
        <v>643</v>
      </c>
      <c r="J795" s="13"/>
      <c r="K795" s="13"/>
      <c r="L795" s="13"/>
      <c r="M795" s="13"/>
      <c r="N795" s="20"/>
      <c r="O795" s="20"/>
      <c r="P795" s="21"/>
      <c r="Q795" s="22"/>
      <c r="R795" s="23"/>
      <c r="S795" s="24"/>
      <c r="T795" s="23"/>
      <c r="U795" s="24"/>
      <c r="V795" s="23"/>
      <c r="W795" s="23"/>
      <c r="X795" s="24"/>
      <c r="Y795" s="23"/>
      <c r="Z795" s="23"/>
      <c r="AA795" s="23"/>
      <c r="AB795" s="23"/>
      <c r="AC795" s="24"/>
      <c r="AD795" s="23"/>
      <c r="AE795" s="24"/>
      <c r="AF795" s="23"/>
      <c r="AG795" s="23"/>
      <c r="AH795" s="23"/>
      <c r="AI795" s="24"/>
      <c r="AJ795" s="25"/>
      <c r="AK795" s="23"/>
      <c r="AL795" s="23"/>
      <c r="AM795" s="24"/>
      <c r="AN795" s="23"/>
      <c r="AO795" s="24"/>
      <c r="AP795" s="23"/>
      <c r="AQ795" s="24"/>
      <c r="AR795" s="23"/>
      <c r="AS795" s="23"/>
      <c r="AT795" s="23"/>
      <c r="AU795" s="24"/>
      <c r="AW795" s="27">
        <f t="shared" si="151"/>
        <v>7.9500000000000003E-4</v>
      </c>
      <c r="AX795" s="27">
        <f t="shared" si="152"/>
        <v>7.9500000000000003E-4</v>
      </c>
      <c r="AY795" s="27">
        <f t="shared" si="153"/>
        <v>7.9500000000000003E-4</v>
      </c>
      <c r="AZ795" s="27">
        <f t="shared" si="154"/>
        <v>7.9500000000000003E-4</v>
      </c>
    </row>
    <row r="796" spans="1:52" ht="15" customHeight="1" x14ac:dyDescent="0.25">
      <c r="A796" s="13" t="e">
        <f>VLOOKUP(L796,[1]VALIDAÇÃO!$D$13:$E$350,2,0)</f>
        <v>#N/A</v>
      </c>
      <c r="B796" s="14" t="str">
        <f t="shared" si="156"/>
        <v>642</v>
      </c>
      <c r="C796" s="15">
        <f t="shared" si="155"/>
        <v>642</v>
      </c>
      <c r="D796" s="16" t="str">
        <f t="shared" si="157"/>
        <v>642</v>
      </c>
      <c r="E796" s="17">
        <f t="shared" si="148"/>
        <v>642</v>
      </c>
      <c r="F796" s="18" t="str">
        <f t="shared" si="158"/>
        <v>642</v>
      </c>
      <c r="G796" s="18">
        <f t="shared" si="149"/>
        <v>642</v>
      </c>
      <c r="H796" s="19" t="str">
        <f t="shared" si="159"/>
        <v>642</v>
      </c>
      <c r="I796" s="19">
        <f t="shared" si="150"/>
        <v>642</v>
      </c>
      <c r="J796" s="13"/>
      <c r="K796" s="13"/>
      <c r="L796" s="13"/>
      <c r="M796" s="13"/>
      <c r="N796" s="20"/>
      <c r="O796" s="20"/>
      <c r="P796" s="21"/>
      <c r="Q796" s="22"/>
      <c r="R796" s="23"/>
      <c r="S796" s="24"/>
      <c r="T796" s="23"/>
      <c r="U796" s="24"/>
      <c r="V796" s="23"/>
      <c r="W796" s="23"/>
      <c r="X796" s="24"/>
      <c r="Y796" s="23"/>
      <c r="Z796" s="23"/>
      <c r="AA796" s="23"/>
      <c r="AB796" s="23"/>
      <c r="AC796" s="24"/>
      <c r="AD796" s="23"/>
      <c r="AE796" s="24"/>
      <c r="AF796" s="23"/>
      <c r="AG796" s="23"/>
      <c r="AH796" s="23"/>
      <c r="AI796" s="24"/>
      <c r="AJ796" s="25"/>
      <c r="AK796" s="23"/>
      <c r="AL796" s="23"/>
      <c r="AM796" s="24"/>
      <c r="AN796" s="23"/>
      <c r="AO796" s="24"/>
      <c r="AP796" s="23"/>
      <c r="AQ796" s="24"/>
      <c r="AR796" s="23"/>
      <c r="AS796" s="23"/>
      <c r="AT796" s="23"/>
      <c r="AU796" s="24"/>
      <c r="AW796" s="27">
        <f t="shared" si="151"/>
        <v>7.9600000000000005E-4</v>
      </c>
      <c r="AX796" s="27">
        <f t="shared" si="152"/>
        <v>7.9600000000000005E-4</v>
      </c>
      <c r="AY796" s="27">
        <f t="shared" si="153"/>
        <v>7.9600000000000005E-4</v>
      </c>
      <c r="AZ796" s="27">
        <f t="shared" si="154"/>
        <v>7.9600000000000005E-4</v>
      </c>
    </row>
    <row r="797" spans="1:52" ht="15" customHeight="1" x14ac:dyDescent="0.25">
      <c r="A797" s="13" t="e">
        <f>VLOOKUP(L797,[1]VALIDAÇÃO!$D$13:$E$350,2,0)</f>
        <v>#N/A</v>
      </c>
      <c r="B797" s="14" t="str">
        <f t="shared" si="156"/>
        <v>641</v>
      </c>
      <c r="C797" s="15">
        <f t="shared" si="155"/>
        <v>641</v>
      </c>
      <c r="D797" s="16" t="str">
        <f t="shared" si="157"/>
        <v>641</v>
      </c>
      <c r="E797" s="17">
        <f t="shared" si="148"/>
        <v>641</v>
      </c>
      <c r="F797" s="18" t="str">
        <f t="shared" si="158"/>
        <v>641</v>
      </c>
      <c r="G797" s="18">
        <f t="shared" si="149"/>
        <v>641</v>
      </c>
      <c r="H797" s="19" t="str">
        <f t="shared" si="159"/>
        <v>641</v>
      </c>
      <c r="I797" s="19">
        <f t="shared" si="150"/>
        <v>641</v>
      </c>
      <c r="J797" s="13"/>
      <c r="K797" s="13"/>
      <c r="L797" s="13"/>
      <c r="M797" s="13"/>
      <c r="N797" s="20"/>
      <c r="O797" s="20"/>
      <c r="P797" s="21"/>
      <c r="Q797" s="22"/>
      <c r="R797" s="23"/>
      <c r="S797" s="24"/>
      <c r="T797" s="23"/>
      <c r="U797" s="24"/>
      <c r="V797" s="23"/>
      <c r="W797" s="23"/>
      <c r="X797" s="24"/>
      <c r="Y797" s="23"/>
      <c r="Z797" s="23"/>
      <c r="AA797" s="23"/>
      <c r="AB797" s="23"/>
      <c r="AC797" s="24"/>
      <c r="AD797" s="23"/>
      <c r="AE797" s="24"/>
      <c r="AF797" s="23"/>
      <c r="AG797" s="23"/>
      <c r="AH797" s="23"/>
      <c r="AI797" s="24"/>
      <c r="AJ797" s="25"/>
      <c r="AK797" s="23"/>
      <c r="AL797" s="23"/>
      <c r="AM797" s="24"/>
      <c r="AN797" s="23"/>
      <c r="AO797" s="24"/>
      <c r="AP797" s="23"/>
      <c r="AQ797" s="24"/>
      <c r="AR797" s="23"/>
      <c r="AS797" s="23"/>
      <c r="AT797" s="23"/>
      <c r="AU797" s="24"/>
      <c r="AW797" s="27">
        <f t="shared" si="151"/>
        <v>7.9699999999999997E-4</v>
      </c>
      <c r="AX797" s="27">
        <f t="shared" si="152"/>
        <v>7.9699999999999997E-4</v>
      </c>
      <c r="AY797" s="27">
        <f t="shared" si="153"/>
        <v>7.9699999999999997E-4</v>
      </c>
      <c r="AZ797" s="27">
        <f t="shared" si="154"/>
        <v>7.9699999999999997E-4</v>
      </c>
    </row>
    <row r="798" spans="1:52" ht="15" customHeight="1" x14ac:dyDescent="0.25">
      <c r="A798" s="13" t="e">
        <f>VLOOKUP(L798,[1]VALIDAÇÃO!$D$13:$E$350,2,0)</f>
        <v>#N/A</v>
      </c>
      <c r="B798" s="14" t="str">
        <f t="shared" si="156"/>
        <v>640</v>
      </c>
      <c r="C798" s="15">
        <f t="shared" si="155"/>
        <v>640</v>
      </c>
      <c r="D798" s="16" t="str">
        <f t="shared" si="157"/>
        <v>640</v>
      </c>
      <c r="E798" s="17">
        <f t="shared" si="148"/>
        <v>640</v>
      </c>
      <c r="F798" s="18" t="str">
        <f t="shared" si="158"/>
        <v>640</v>
      </c>
      <c r="G798" s="18">
        <f t="shared" si="149"/>
        <v>640</v>
      </c>
      <c r="H798" s="19" t="str">
        <f t="shared" si="159"/>
        <v>640</v>
      </c>
      <c r="I798" s="19">
        <f t="shared" si="150"/>
        <v>640</v>
      </c>
      <c r="J798" s="13"/>
      <c r="K798" s="13"/>
      <c r="L798" s="13"/>
      <c r="M798" s="13"/>
      <c r="N798" s="20"/>
      <c r="O798" s="20"/>
      <c r="P798" s="21"/>
      <c r="Q798" s="22"/>
      <c r="R798" s="23"/>
      <c r="S798" s="24"/>
      <c r="T798" s="23"/>
      <c r="U798" s="24"/>
      <c r="V798" s="23"/>
      <c r="W798" s="23"/>
      <c r="X798" s="24"/>
      <c r="Y798" s="23"/>
      <c r="Z798" s="23"/>
      <c r="AA798" s="23"/>
      <c r="AB798" s="23"/>
      <c r="AC798" s="24"/>
      <c r="AD798" s="23"/>
      <c r="AE798" s="24"/>
      <c r="AF798" s="23"/>
      <c r="AG798" s="23"/>
      <c r="AH798" s="23"/>
      <c r="AI798" s="24"/>
      <c r="AJ798" s="25"/>
      <c r="AK798" s="23"/>
      <c r="AL798" s="23"/>
      <c r="AM798" s="24"/>
      <c r="AN798" s="23"/>
      <c r="AO798" s="24"/>
      <c r="AP798" s="23"/>
      <c r="AQ798" s="24"/>
      <c r="AR798" s="23"/>
      <c r="AS798" s="23"/>
      <c r="AT798" s="23"/>
      <c r="AU798" s="24"/>
      <c r="AW798" s="27">
        <f t="shared" si="151"/>
        <v>7.9799999999999999E-4</v>
      </c>
      <c r="AX798" s="27">
        <f t="shared" si="152"/>
        <v>7.9799999999999999E-4</v>
      </c>
      <c r="AY798" s="27">
        <f t="shared" si="153"/>
        <v>7.9799999999999999E-4</v>
      </c>
      <c r="AZ798" s="27">
        <f t="shared" si="154"/>
        <v>7.9799999999999999E-4</v>
      </c>
    </row>
    <row r="799" spans="1:52" ht="15" customHeight="1" x14ac:dyDescent="0.25">
      <c r="A799" s="13" t="e">
        <f>VLOOKUP(L799,[1]VALIDAÇÃO!$D$13:$E$350,2,0)</f>
        <v>#N/A</v>
      </c>
      <c r="B799" s="14" t="str">
        <f t="shared" si="156"/>
        <v>639</v>
      </c>
      <c r="C799" s="15">
        <f t="shared" si="155"/>
        <v>639</v>
      </c>
      <c r="D799" s="16" t="str">
        <f t="shared" si="157"/>
        <v>639</v>
      </c>
      <c r="E799" s="17">
        <f t="shared" si="148"/>
        <v>639</v>
      </c>
      <c r="F799" s="18" t="str">
        <f t="shared" si="158"/>
        <v>639</v>
      </c>
      <c r="G799" s="18">
        <f t="shared" si="149"/>
        <v>639</v>
      </c>
      <c r="H799" s="19" t="str">
        <f t="shared" si="159"/>
        <v>639</v>
      </c>
      <c r="I799" s="19">
        <f t="shared" si="150"/>
        <v>639</v>
      </c>
      <c r="J799" s="13"/>
      <c r="K799" s="13"/>
      <c r="L799" s="13"/>
      <c r="M799" s="13"/>
      <c r="N799" s="20"/>
      <c r="O799" s="20"/>
      <c r="P799" s="21"/>
      <c r="Q799" s="22"/>
      <c r="R799" s="23"/>
      <c r="S799" s="24"/>
      <c r="T799" s="23"/>
      <c r="U799" s="24"/>
      <c r="V799" s="23"/>
      <c r="W799" s="23"/>
      <c r="X799" s="24"/>
      <c r="Y799" s="23"/>
      <c r="Z799" s="23"/>
      <c r="AA799" s="23"/>
      <c r="AB799" s="23"/>
      <c r="AC799" s="24"/>
      <c r="AD799" s="23"/>
      <c r="AE799" s="24"/>
      <c r="AF799" s="23"/>
      <c r="AG799" s="23"/>
      <c r="AH799" s="23"/>
      <c r="AI799" s="24"/>
      <c r="AJ799" s="25"/>
      <c r="AK799" s="23"/>
      <c r="AL799" s="23"/>
      <c r="AM799" s="24"/>
      <c r="AN799" s="23"/>
      <c r="AO799" s="24"/>
      <c r="AP799" s="23"/>
      <c r="AQ799" s="24"/>
      <c r="AR799" s="23"/>
      <c r="AS799" s="23"/>
      <c r="AT799" s="23"/>
      <c r="AU799" s="24"/>
      <c r="AW799" s="27">
        <f t="shared" si="151"/>
        <v>7.9900000000000001E-4</v>
      </c>
      <c r="AX799" s="27">
        <f t="shared" si="152"/>
        <v>7.9900000000000001E-4</v>
      </c>
      <c r="AY799" s="27">
        <f t="shared" si="153"/>
        <v>7.9900000000000001E-4</v>
      </c>
      <c r="AZ799" s="27">
        <f t="shared" si="154"/>
        <v>7.9900000000000001E-4</v>
      </c>
    </row>
    <row r="800" spans="1:52" ht="15" customHeight="1" x14ac:dyDescent="0.25">
      <c r="A800" s="13" t="e">
        <f>VLOOKUP(L800,[1]VALIDAÇÃO!$D$13:$E$350,2,0)</f>
        <v>#N/A</v>
      </c>
      <c r="B800" s="14" t="str">
        <f t="shared" si="156"/>
        <v>638</v>
      </c>
      <c r="C800" s="15">
        <f t="shared" si="155"/>
        <v>638</v>
      </c>
      <c r="D800" s="16" t="str">
        <f t="shared" si="157"/>
        <v>638</v>
      </c>
      <c r="E800" s="17">
        <f t="shared" si="148"/>
        <v>638</v>
      </c>
      <c r="F800" s="18" t="str">
        <f t="shared" si="158"/>
        <v>638</v>
      </c>
      <c r="G800" s="18">
        <f t="shared" si="149"/>
        <v>638</v>
      </c>
      <c r="H800" s="19" t="str">
        <f t="shared" si="159"/>
        <v>638</v>
      </c>
      <c r="I800" s="19">
        <f t="shared" si="150"/>
        <v>638</v>
      </c>
      <c r="J800" s="13"/>
      <c r="K800" s="13"/>
      <c r="L800" s="13"/>
      <c r="M800" s="13"/>
      <c r="N800" s="20"/>
      <c r="O800" s="20"/>
      <c r="P800" s="21"/>
      <c r="Q800" s="22"/>
      <c r="R800" s="23"/>
      <c r="S800" s="24"/>
      <c r="T800" s="23"/>
      <c r="U800" s="24"/>
      <c r="V800" s="23"/>
      <c r="W800" s="23"/>
      <c r="X800" s="24"/>
      <c r="Y800" s="23"/>
      <c r="Z800" s="23"/>
      <c r="AA800" s="23"/>
      <c r="AB800" s="23"/>
      <c r="AC800" s="24"/>
      <c r="AD800" s="23"/>
      <c r="AE800" s="24"/>
      <c r="AF800" s="23"/>
      <c r="AG800" s="23"/>
      <c r="AH800" s="23"/>
      <c r="AI800" s="24"/>
      <c r="AJ800" s="25"/>
      <c r="AK800" s="23"/>
      <c r="AL800" s="23"/>
      <c r="AM800" s="24"/>
      <c r="AN800" s="23"/>
      <c r="AO800" s="24"/>
      <c r="AP800" s="23"/>
      <c r="AQ800" s="24"/>
      <c r="AR800" s="23"/>
      <c r="AS800" s="23"/>
      <c r="AT800" s="23"/>
      <c r="AU800" s="24"/>
      <c r="AW800" s="27">
        <f t="shared" si="151"/>
        <v>8.0000000000000004E-4</v>
      </c>
      <c r="AX800" s="27">
        <f t="shared" si="152"/>
        <v>8.0000000000000004E-4</v>
      </c>
      <c r="AY800" s="27">
        <f t="shared" si="153"/>
        <v>8.0000000000000004E-4</v>
      </c>
      <c r="AZ800" s="27">
        <f t="shared" si="154"/>
        <v>8.0000000000000004E-4</v>
      </c>
    </row>
    <row r="801" spans="1:52" ht="15" customHeight="1" x14ac:dyDescent="0.25">
      <c r="A801" s="13" t="e">
        <f>VLOOKUP(L801,[1]VALIDAÇÃO!$D$13:$E$350,2,0)</f>
        <v>#N/A</v>
      </c>
      <c r="B801" s="14" t="str">
        <f t="shared" si="156"/>
        <v>637</v>
      </c>
      <c r="C801" s="15">
        <f t="shared" si="155"/>
        <v>637</v>
      </c>
      <c r="D801" s="16" t="str">
        <f t="shared" si="157"/>
        <v>637</v>
      </c>
      <c r="E801" s="17">
        <f t="shared" si="148"/>
        <v>637</v>
      </c>
      <c r="F801" s="18" t="str">
        <f t="shared" si="158"/>
        <v>637</v>
      </c>
      <c r="G801" s="18">
        <f t="shared" si="149"/>
        <v>637</v>
      </c>
      <c r="H801" s="19" t="str">
        <f t="shared" si="159"/>
        <v>637</v>
      </c>
      <c r="I801" s="19">
        <f t="shared" si="150"/>
        <v>637</v>
      </c>
      <c r="J801" s="13"/>
      <c r="K801" s="13"/>
      <c r="L801" s="13"/>
      <c r="M801" s="13"/>
      <c r="N801" s="20"/>
      <c r="O801" s="20"/>
      <c r="P801" s="21"/>
      <c r="Q801" s="22"/>
      <c r="R801" s="23"/>
      <c r="S801" s="24"/>
      <c r="T801" s="23"/>
      <c r="U801" s="24"/>
      <c r="V801" s="23"/>
      <c r="W801" s="23"/>
      <c r="X801" s="24"/>
      <c r="Y801" s="23"/>
      <c r="Z801" s="23"/>
      <c r="AA801" s="23"/>
      <c r="AB801" s="23"/>
      <c r="AC801" s="24"/>
      <c r="AD801" s="23"/>
      <c r="AE801" s="24"/>
      <c r="AF801" s="23"/>
      <c r="AG801" s="23"/>
      <c r="AH801" s="23"/>
      <c r="AI801" s="24"/>
      <c r="AJ801" s="25"/>
      <c r="AK801" s="23"/>
      <c r="AL801" s="23"/>
      <c r="AM801" s="24"/>
      <c r="AN801" s="23"/>
      <c r="AO801" s="24"/>
      <c r="AP801" s="23"/>
      <c r="AQ801" s="24"/>
      <c r="AR801" s="23"/>
      <c r="AS801" s="23"/>
      <c r="AT801" s="23"/>
      <c r="AU801" s="24"/>
      <c r="AW801" s="27">
        <f t="shared" si="151"/>
        <v>8.0099999999999995E-4</v>
      </c>
      <c r="AX801" s="27">
        <f t="shared" si="152"/>
        <v>8.0099999999999995E-4</v>
      </c>
      <c r="AY801" s="27">
        <f t="shared" si="153"/>
        <v>8.0099999999999995E-4</v>
      </c>
      <c r="AZ801" s="27">
        <f t="shared" si="154"/>
        <v>8.0099999999999995E-4</v>
      </c>
    </row>
    <row r="802" spans="1:52" ht="15" customHeight="1" x14ac:dyDescent="0.25">
      <c r="A802" s="13" t="e">
        <f>VLOOKUP(L802,[1]VALIDAÇÃO!$D$13:$E$350,2,0)</f>
        <v>#N/A</v>
      </c>
      <c r="B802" s="14" t="str">
        <f t="shared" si="156"/>
        <v>636</v>
      </c>
      <c r="C802" s="15">
        <f t="shared" si="155"/>
        <v>636</v>
      </c>
      <c r="D802" s="16" t="str">
        <f t="shared" si="157"/>
        <v>636</v>
      </c>
      <c r="E802" s="17">
        <f t="shared" si="148"/>
        <v>636</v>
      </c>
      <c r="F802" s="18" t="str">
        <f t="shared" si="158"/>
        <v>636</v>
      </c>
      <c r="G802" s="18">
        <f t="shared" si="149"/>
        <v>636</v>
      </c>
      <c r="H802" s="19" t="str">
        <f t="shared" si="159"/>
        <v>636</v>
      </c>
      <c r="I802" s="19">
        <f t="shared" si="150"/>
        <v>636</v>
      </c>
      <c r="J802" s="13"/>
      <c r="K802" s="13"/>
      <c r="L802" s="13"/>
      <c r="M802" s="13"/>
      <c r="N802" s="20"/>
      <c r="O802" s="20"/>
      <c r="P802" s="21"/>
      <c r="Q802" s="22"/>
      <c r="R802" s="23"/>
      <c r="S802" s="24"/>
      <c r="T802" s="23"/>
      <c r="U802" s="24"/>
      <c r="V802" s="23"/>
      <c r="W802" s="23"/>
      <c r="X802" s="24"/>
      <c r="Y802" s="23"/>
      <c r="Z802" s="23"/>
      <c r="AA802" s="23"/>
      <c r="AB802" s="23"/>
      <c r="AC802" s="24"/>
      <c r="AD802" s="23"/>
      <c r="AE802" s="24"/>
      <c r="AF802" s="23"/>
      <c r="AG802" s="23"/>
      <c r="AH802" s="23"/>
      <c r="AI802" s="24"/>
      <c r="AJ802" s="25"/>
      <c r="AK802" s="23"/>
      <c r="AL802" s="23"/>
      <c r="AM802" s="24"/>
      <c r="AN802" s="23"/>
      <c r="AO802" s="24"/>
      <c r="AP802" s="23"/>
      <c r="AQ802" s="24"/>
      <c r="AR802" s="23"/>
      <c r="AS802" s="23"/>
      <c r="AT802" s="23"/>
      <c r="AU802" s="24"/>
      <c r="AW802" s="27">
        <f t="shared" si="151"/>
        <v>8.0199999999999998E-4</v>
      </c>
      <c r="AX802" s="27">
        <f t="shared" si="152"/>
        <v>8.0199999999999998E-4</v>
      </c>
      <c r="AY802" s="27">
        <f t="shared" si="153"/>
        <v>8.0199999999999998E-4</v>
      </c>
      <c r="AZ802" s="27">
        <f t="shared" si="154"/>
        <v>8.0199999999999998E-4</v>
      </c>
    </row>
    <row r="803" spans="1:52" ht="15" customHeight="1" x14ac:dyDescent="0.25">
      <c r="A803" s="13" t="e">
        <f>VLOOKUP(L803,[1]VALIDAÇÃO!$D$13:$E$350,2,0)</f>
        <v>#N/A</v>
      </c>
      <c r="B803" s="14" t="str">
        <f t="shared" si="156"/>
        <v>635</v>
      </c>
      <c r="C803" s="15">
        <f t="shared" si="155"/>
        <v>635</v>
      </c>
      <c r="D803" s="16" t="str">
        <f t="shared" si="157"/>
        <v>635</v>
      </c>
      <c r="E803" s="17">
        <f t="shared" si="148"/>
        <v>635</v>
      </c>
      <c r="F803" s="18" t="str">
        <f t="shared" si="158"/>
        <v>635</v>
      </c>
      <c r="G803" s="18">
        <f t="shared" si="149"/>
        <v>635</v>
      </c>
      <c r="H803" s="19" t="str">
        <f t="shared" si="159"/>
        <v>635</v>
      </c>
      <c r="I803" s="19">
        <f t="shared" si="150"/>
        <v>635</v>
      </c>
      <c r="J803" s="30"/>
      <c r="K803" s="30"/>
      <c r="L803" s="30"/>
      <c r="M803" s="30"/>
      <c r="N803" s="33"/>
      <c r="O803" s="30"/>
      <c r="P803" s="29"/>
      <c r="Q803" s="29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25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W803" s="27">
        <f t="shared" si="151"/>
        <v>8.03E-4</v>
      </c>
      <c r="AX803" s="27">
        <f t="shared" si="152"/>
        <v>8.03E-4</v>
      </c>
      <c r="AY803" s="27">
        <f t="shared" si="153"/>
        <v>8.03E-4</v>
      </c>
      <c r="AZ803" s="27">
        <f t="shared" si="154"/>
        <v>8.03E-4</v>
      </c>
    </row>
    <row r="804" spans="1:52" ht="15" customHeight="1" x14ac:dyDescent="0.25">
      <c r="A804" s="13" t="e">
        <f>VLOOKUP(L804,[1]VALIDAÇÃO!$D$13:$E$350,2,0)</f>
        <v>#N/A</v>
      </c>
      <c r="B804" s="14" t="str">
        <f t="shared" si="156"/>
        <v>634</v>
      </c>
      <c r="C804" s="15">
        <f t="shared" si="155"/>
        <v>634</v>
      </c>
      <c r="D804" s="16" t="str">
        <f t="shared" si="157"/>
        <v>634</v>
      </c>
      <c r="E804" s="17">
        <f t="shared" si="148"/>
        <v>634</v>
      </c>
      <c r="F804" s="18" t="str">
        <f t="shared" si="158"/>
        <v>634</v>
      </c>
      <c r="G804" s="18">
        <f t="shared" si="149"/>
        <v>634</v>
      </c>
      <c r="H804" s="19" t="str">
        <f t="shared" si="159"/>
        <v>634</v>
      </c>
      <c r="I804" s="19">
        <f t="shared" si="150"/>
        <v>634</v>
      </c>
      <c r="J804" s="30"/>
      <c r="K804" s="30"/>
      <c r="L804" s="30"/>
      <c r="M804" s="30"/>
      <c r="N804" s="33"/>
      <c r="O804" s="30"/>
      <c r="P804" s="29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25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W804" s="27">
        <f t="shared" si="151"/>
        <v>8.0400000000000003E-4</v>
      </c>
      <c r="AX804" s="27">
        <f t="shared" si="152"/>
        <v>8.0400000000000003E-4</v>
      </c>
      <c r="AY804" s="27">
        <f t="shared" si="153"/>
        <v>8.0400000000000003E-4</v>
      </c>
      <c r="AZ804" s="27">
        <f t="shared" si="154"/>
        <v>8.0400000000000003E-4</v>
      </c>
    </row>
    <row r="805" spans="1:52" ht="15" customHeight="1" x14ac:dyDescent="0.25">
      <c r="A805" s="13" t="e">
        <f>VLOOKUP(L805,[1]VALIDAÇÃO!$D$13:$E$350,2,0)</f>
        <v>#N/A</v>
      </c>
      <c r="B805" s="14" t="str">
        <f t="shared" si="156"/>
        <v>633</v>
      </c>
      <c r="C805" s="15">
        <f t="shared" si="155"/>
        <v>633</v>
      </c>
      <c r="D805" s="16" t="str">
        <f t="shared" si="157"/>
        <v>633</v>
      </c>
      <c r="E805" s="17">
        <f t="shared" si="148"/>
        <v>633</v>
      </c>
      <c r="F805" s="18" t="str">
        <f t="shared" si="158"/>
        <v>633</v>
      </c>
      <c r="G805" s="18">
        <f t="shared" si="149"/>
        <v>633</v>
      </c>
      <c r="H805" s="19" t="str">
        <f t="shared" si="159"/>
        <v>633</v>
      </c>
      <c r="I805" s="19">
        <f t="shared" si="150"/>
        <v>633</v>
      </c>
      <c r="J805" s="30"/>
      <c r="K805" s="30"/>
      <c r="L805" s="30"/>
      <c r="M805" s="30"/>
      <c r="N805" s="33"/>
      <c r="O805" s="30"/>
      <c r="P805" s="29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25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W805" s="27">
        <f t="shared" si="151"/>
        <v>8.0500000000000005E-4</v>
      </c>
      <c r="AX805" s="27">
        <f t="shared" si="152"/>
        <v>8.0500000000000005E-4</v>
      </c>
      <c r="AY805" s="27">
        <f t="shared" si="153"/>
        <v>8.0500000000000005E-4</v>
      </c>
      <c r="AZ805" s="27">
        <f t="shared" si="154"/>
        <v>8.0500000000000005E-4</v>
      </c>
    </row>
    <row r="806" spans="1:52" ht="15" customHeight="1" x14ac:dyDescent="0.25">
      <c r="A806" s="13" t="e">
        <f>VLOOKUP(L806,[1]VALIDAÇÃO!$D$13:$E$350,2,0)</f>
        <v>#N/A</v>
      </c>
      <c r="B806" s="14" t="str">
        <f t="shared" si="156"/>
        <v>632</v>
      </c>
      <c r="C806" s="15">
        <f t="shared" si="155"/>
        <v>632</v>
      </c>
      <c r="D806" s="16" t="str">
        <f t="shared" si="157"/>
        <v>632</v>
      </c>
      <c r="E806" s="17">
        <f t="shared" si="148"/>
        <v>632</v>
      </c>
      <c r="F806" s="18" t="str">
        <f t="shared" si="158"/>
        <v>632</v>
      </c>
      <c r="G806" s="18">
        <f t="shared" si="149"/>
        <v>632</v>
      </c>
      <c r="H806" s="19" t="str">
        <f t="shared" si="159"/>
        <v>632</v>
      </c>
      <c r="I806" s="19">
        <f t="shared" si="150"/>
        <v>632</v>
      </c>
      <c r="J806" s="30"/>
      <c r="K806" s="30"/>
      <c r="L806" s="30"/>
      <c r="M806" s="30"/>
      <c r="N806" s="33"/>
      <c r="O806" s="30"/>
      <c r="P806" s="29"/>
      <c r="Q806" s="29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25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W806" s="27">
        <f t="shared" si="151"/>
        <v>8.0599999999999997E-4</v>
      </c>
      <c r="AX806" s="27">
        <f t="shared" si="152"/>
        <v>8.0599999999999997E-4</v>
      </c>
      <c r="AY806" s="27">
        <f t="shared" si="153"/>
        <v>8.0599999999999997E-4</v>
      </c>
      <c r="AZ806" s="27">
        <f t="shared" si="154"/>
        <v>8.0599999999999997E-4</v>
      </c>
    </row>
    <row r="807" spans="1:52" ht="15" customHeight="1" x14ac:dyDescent="0.25">
      <c r="A807" s="13" t="e">
        <f>VLOOKUP(L807,[1]VALIDAÇÃO!$D$13:$E$350,2,0)</f>
        <v>#N/A</v>
      </c>
      <c r="B807" s="14" t="str">
        <f t="shared" si="156"/>
        <v>631</v>
      </c>
      <c r="C807" s="15">
        <f t="shared" si="155"/>
        <v>631</v>
      </c>
      <c r="D807" s="16" t="str">
        <f t="shared" si="157"/>
        <v>631</v>
      </c>
      <c r="E807" s="17">
        <f t="shared" si="148"/>
        <v>631</v>
      </c>
      <c r="F807" s="18" t="str">
        <f t="shared" si="158"/>
        <v>631</v>
      </c>
      <c r="G807" s="18">
        <f t="shared" si="149"/>
        <v>631</v>
      </c>
      <c r="H807" s="19" t="str">
        <f t="shared" si="159"/>
        <v>631</v>
      </c>
      <c r="I807" s="19">
        <f t="shared" si="150"/>
        <v>631</v>
      </c>
      <c r="J807" s="30"/>
      <c r="K807" s="30"/>
      <c r="L807" s="30"/>
      <c r="M807" s="30"/>
      <c r="N807" s="33"/>
      <c r="O807" s="30"/>
      <c r="P807" s="29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25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W807" s="27">
        <f t="shared" si="151"/>
        <v>8.0699999999999999E-4</v>
      </c>
      <c r="AX807" s="27">
        <f t="shared" si="152"/>
        <v>8.0699999999999999E-4</v>
      </c>
      <c r="AY807" s="27">
        <f t="shared" si="153"/>
        <v>8.0699999999999999E-4</v>
      </c>
      <c r="AZ807" s="27">
        <f t="shared" si="154"/>
        <v>8.0699999999999999E-4</v>
      </c>
    </row>
    <row r="808" spans="1:52" ht="15" customHeight="1" x14ac:dyDescent="0.25">
      <c r="A808" s="13" t="e">
        <f>VLOOKUP(L808,[1]VALIDAÇÃO!$D$13:$E$350,2,0)</f>
        <v>#N/A</v>
      </c>
      <c r="B808" s="14" t="str">
        <f t="shared" si="156"/>
        <v>630</v>
      </c>
      <c r="C808" s="15">
        <f t="shared" si="155"/>
        <v>630</v>
      </c>
      <c r="D808" s="16" t="str">
        <f t="shared" si="157"/>
        <v>630</v>
      </c>
      <c r="E808" s="17">
        <f t="shared" si="148"/>
        <v>630</v>
      </c>
      <c r="F808" s="18" t="str">
        <f t="shared" si="158"/>
        <v>630</v>
      </c>
      <c r="G808" s="18">
        <f t="shared" si="149"/>
        <v>630</v>
      </c>
      <c r="H808" s="19" t="str">
        <f t="shared" si="159"/>
        <v>630</v>
      </c>
      <c r="I808" s="19">
        <f t="shared" si="150"/>
        <v>630</v>
      </c>
      <c r="J808" s="30"/>
      <c r="K808" s="30"/>
      <c r="L808" s="30"/>
      <c r="M808" s="30"/>
      <c r="N808" s="33"/>
      <c r="O808" s="30"/>
      <c r="P808" s="29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25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W808" s="27">
        <f t="shared" si="151"/>
        <v>8.0800000000000002E-4</v>
      </c>
      <c r="AX808" s="27">
        <f t="shared" si="152"/>
        <v>8.0800000000000002E-4</v>
      </c>
      <c r="AY808" s="27">
        <f t="shared" si="153"/>
        <v>8.0800000000000002E-4</v>
      </c>
      <c r="AZ808" s="27">
        <f t="shared" si="154"/>
        <v>8.0800000000000002E-4</v>
      </c>
    </row>
    <row r="809" spans="1:52" ht="15" customHeight="1" x14ac:dyDescent="0.25">
      <c r="A809" s="13" t="e">
        <f>VLOOKUP(L809,[1]VALIDAÇÃO!$D$13:$E$350,2,0)</f>
        <v>#N/A</v>
      </c>
      <c r="B809" s="14" t="str">
        <f t="shared" si="156"/>
        <v>629</v>
      </c>
      <c r="C809" s="15">
        <f t="shared" si="155"/>
        <v>629</v>
      </c>
      <c r="D809" s="16" t="str">
        <f t="shared" si="157"/>
        <v>629</v>
      </c>
      <c r="E809" s="17">
        <f t="shared" si="148"/>
        <v>629</v>
      </c>
      <c r="F809" s="18" t="str">
        <f t="shared" si="158"/>
        <v>629</v>
      </c>
      <c r="G809" s="18">
        <f t="shared" si="149"/>
        <v>629</v>
      </c>
      <c r="H809" s="19" t="str">
        <f t="shared" si="159"/>
        <v>629</v>
      </c>
      <c r="I809" s="19">
        <f t="shared" si="150"/>
        <v>629</v>
      </c>
      <c r="J809" s="30"/>
      <c r="K809" s="30"/>
      <c r="L809" s="30"/>
      <c r="M809" s="30"/>
      <c r="N809" s="33"/>
      <c r="O809" s="30"/>
      <c r="P809" s="29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25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W809" s="27">
        <f t="shared" si="151"/>
        <v>8.0900000000000004E-4</v>
      </c>
      <c r="AX809" s="27">
        <f t="shared" si="152"/>
        <v>8.0900000000000004E-4</v>
      </c>
      <c r="AY809" s="27">
        <f t="shared" si="153"/>
        <v>8.0900000000000004E-4</v>
      </c>
      <c r="AZ809" s="27">
        <f t="shared" si="154"/>
        <v>8.0900000000000004E-4</v>
      </c>
    </row>
    <row r="810" spans="1:52" ht="15" customHeight="1" x14ac:dyDescent="0.25">
      <c r="A810" s="13" t="e">
        <f>VLOOKUP(L810,[1]VALIDAÇÃO!$D$13:$E$350,2,0)</f>
        <v>#N/A</v>
      </c>
      <c r="B810" s="14" t="str">
        <f t="shared" si="156"/>
        <v>628</v>
      </c>
      <c r="C810" s="15">
        <f t="shared" si="155"/>
        <v>628</v>
      </c>
      <c r="D810" s="16" t="str">
        <f t="shared" si="157"/>
        <v>628</v>
      </c>
      <c r="E810" s="17">
        <f t="shared" si="148"/>
        <v>628</v>
      </c>
      <c r="F810" s="18" t="str">
        <f t="shared" si="158"/>
        <v>628</v>
      </c>
      <c r="G810" s="18">
        <f t="shared" si="149"/>
        <v>628</v>
      </c>
      <c r="H810" s="19" t="str">
        <f t="shared" si="159"/>
        <v>628</v>
      </c>
      <c r="I810" s="19">
        <f t="shared" si="150"/>
        <v>628</v>
      </c>
      <c r="J810" s="30"/>
      <c r="K810" s="30"/>
      <c r="L810" s="30"/>
      <c r="M810" s="30"/>
      <c r="N810" s="33"/>
      <c r="O810" s="30"/>
      <c r="P810" s="29"/>
      <c r="Q810" s="29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25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W810" s="27">
        <f t="shared" si="151"/>
        <v>8.0999999999999996E-4</v>
      </c>
      <c r="AX810" s="27">
        <f t="shared" si="152"/>
        <v>8.0999999999999996E-4</v>
      </c>
      <c r="AY810" s="27">
        <f t="shared" si="153"/>
        <v>8.0999999999999996E-4</v>
      </c>
      <c r="AZ810" s="27">
        <f t="shared" si="154"/>
        <v>8.0999999999999996E-4</v>
      </c>
    </row>
    <row r="811" spans="1:52" ht="15" customHeight="1" x14ac:dyDescent="0.25">
      <c r="A811" s="13" t="e">
        <f>VLOOKUP(L811,[1]VALIDAÇÃO!$D$13:$E$350,2,0)</f>
        <v>#N/A</v>
      </c>
      <c r="B811" s="14" t="str">
        <f t="shared" si="156"/>
        <v>627</v>
      </c>
      <c r="C811" s="15">
        <f t="shared" si="155"/>
        <v>627</v>
      </c>
      <c r="D811" s="16" t="str">
        <f t="shared" si="157"/>
        <v>627</v>
      </c>
      <c r="E811" s="17">
        <f t="shared" si="148"/>
        <v>627</v>
      </c>
      <c r="F811" s="18" t="str">
        <f t="shared" si="158"/>
        <v>627</v>
      </c>
      <c r="G811" s="18">
        <f t="shared" si="149"/>
        <v>627</v>
      </c>
      <c r="H811" s="19" t="str">
        <f t="shared" si="159"/>
        <v>627</v>
      </c>
      <c r="I811" s="19">
        <f t="shared" si="150"/>
        <v>627</v>
      </c>
      <c r="J811" s="30"/>
      <c r="K811" s="30"/>
      <c r="L811" s="30"/>
      <c r="M811" s="30"/>
      <c r="N811" s="33"/>
      <c r="O811" s="30"/>
      <c r="P811" s="29"/>
      <c r="Q811" s="29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25"/>
      <c r="AK811" s="30"/>
      <c r="AL811" s="30"/>
      <c r="AM811" s="24"/>
      <c r="AN811" s="30"/>
      <c r="AO811" s="30"/>
      <c r="AP811" s="30"/>
      <c r="AQ811" s="30"/>
      <c r="AR811" s="30"/>
      <c r="AS811" s="30"/>
      <c r="AT811" s="30"/>
      <c r="AU811" s="30"/>
      <c r="AW811" s="27">
        <f t="shared" si="151"/>
        <v>8.1099999999999998E-4</v>
      </c>
      <c r="AX811" s="27">
        <f t="shared" si="152"/>
        <v>8.1099999999999998E-4</v>
      </c>
      <c r="AY811" s="27">
        <f t="shared" si="153"/>
        <v>8.1099999999999998E-4</v>
      </c>
      <c r="AZ811" s="27">
        <f t="shared" si="154"/>
        <v>8.1099999999999998E-4</v>
      </c>
    </row>
    <row r="812" spans="1:52" ht="15" customHeight="1" x14ac:dyDescent="0.25">
      <c r="A812" s="13" t="e">
        <f>VLOOKUP(L812,[1]VALIDAÇÃO!$D$13:$E$350,2,0)</f>
        <v>#N/A</v>
      </c>
      <c r="B812" s="14" t="str">
        <f t="shared" si="156"/>
        <v>626</v>
      </c>
      <c r="C812" s="15">
        <f t="shared" si="155"/>
        <v>626</v>
      </c>
      <c r="D812" s="16" t="str">
        <f t="shared" si="157"/>
        <v>626</v>
      </c>
      <c r="E812" s="17">
        <f t="shared" si="148"/>
        <v>626</v>
      </c>
      <c r="F812" s="18" t="str">
        <f t="shared" si="158"/>
        <v>626</v>
      </c>
      <c r="G812" s="18">
        <f t="shared" si="149"/>
        <v>626</v>
      </c>
      <c r="H812" s="19" t="str">
        <f t="shared" si="159"/>
        <v>626</v>
      </c>
      <c r="I812" s="19">
        <f t="shared" si="150"/>
        <v>626</v>
      </c>
      <c r="J812" s="30"/>
      <c r="K812" s="30"/>
      <c r="L812" s="30"/>
      <c r="M812" s="30"/>
      <c r="N812" s="33"/>
      <c r="O812" s="30"/>
      <c r="P812" s="29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25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W812" s="27">
        <f t="shared" si="151"/>
        <v>8.12E-4</v>
      </c>
      <c r="AX812" s="27">
        <f t="shared" si="152"/>
        <v>8.12E-4</v>
      </c>
      <c r="AY812" s="27">
        <f t="shared" si="153"/>
        <v>8.12E-4</v>
      </c>
      <c r="AZ812" s="27">
        <f t="shared" si="154"/>
        <v>8.12E-4</v>
      </c>
    </row>
    <row r="813" spans="1:52" ht="15" customHeight="1" x14ac:dyDescent="0.25">
      <c r="A813" s="13" t="e">
        <f>VLOOKUP(L813,[1]VALIDAÇÃO!$D$13:$E$350,2,0)</f>
        <v>#N/A</v>
      </c>
      <c r="B813" s="14" t="str">
        <f t="shared" si="156"/>
        <v>625</v>
      </c>
      <c r="C813" s="15">
        <f t="shared" si="155"/>
        <v>625</v>
      </c>
      <c r="D813" s="16" t="str">
        <f t="shared" si="157"/>
        <v>625</v>
      </c>
      <c r="E813" s="17">
        <f t="shared" si="148"/>
        <v>625</v>
      </c>
      <c r="F813" s="18" t="str">
        <f t="shared" si="158"/>
        <v>625</v>
      </c>
      <c r="G813" s="18">
        <f t="shared" si="149"/>
        <v>625</v>
      </c>
      <c r="H813" s="19" t="str">
        <f t="shared" si="159"/>
        <v>625</v>
      </c>
      <c r="I813" s="19">
        <f t="shared" si="150"/>
        <v>625</v>
      </c>
      <c r="J813" s="30"/>
      <c r="K813" s="30"/>
      <c r="L813" s="30"/>
      <c r="M813" s="30"/>
      <c r="N813" s="33"/>
      <c r="O813" s="30"/>
      <c r="P813" s="29"/>
      <c r="Q813" s="29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25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W813" s="27">
        <f t="shared" si="151"/>
        <v>8.1300000000000003E-4</v>
      </c>
      <c r="AX813" s="27">
        <f t="shared" si="152"/>
        <v>8.1300000000000003E-4</v>
      </c>
      <c r="AY813" s="27">
        <f t="shared" si="153"/>
        <v>8.1300000000000003E-4</v>
      </c>
      <c r="AZ813" s="27">
        <f t="shared" si="154"/>
        <v>8.1300000000000003E-4</v>
      </c>
    </row>
    <row r="814" spans="1:52" ht="15" customHeight="1" x14ac:dyDescent="0.25">
      <c r="A814" s="13" t="e">
        <f>VLOOKUP(L814,[1]VALIDAÇÃO!$D$13:$E$350,2,0)</f>
        <v>#N/A</v>
      </c>
      <c r="B814" s="14" t="str">
        <f t="shared" si="156"/>
        <v>624</v>
      </c>
      <c r="C814" s="15">
        <f t="shared" si="155"/>
        <v>624</v>
      </c>
      <c r="D814" s="16" t="str">
        <f t="shared" si="157"/>
        <v>624</v>
      </c>
      <c r="E814" s="17">
        <f t="shared" si="148"/>
        <v>624</v>
      </c>
      <c r="F814" s="18" t="str">
        <f t="shared" si="158"/>
        <v>624</v>
      </c>
      <c r="G814" s="18">
        <f t="shared" si="149"/>
        <v>624</v>
      </c>
      <c r="H814" s="19" t="str">
        <f t="shared" si="159"/>
        <v>624</v>
      </c>
      <c r="I814" s="19">
        <f t="shared" si="150"/>
        <v>624</v>
      </c>
      <c r="J814" s="30"/>
      <c r="K814" s="30"/>
      <c r="L814" s="30"/>
      <c r="M814" s="30"/>
      <c r="N814" s="33"/>
      <c r="O814" s="30"/>
      <c r="P814" s="29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25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W814" s="27">
        <f t="shared" si="151"/>
        <v>8.1400000000000005E-4</v>
      </c>
      <c r="AX814" s="27">
        <f t="shared" si="152"/>
        <v>8.1400000000000005E-4</v>
      </c>
      <c r="AY814" s="27">
        <f t="shared" si="153"/>
        <v>8.1400000000000005E-4</v>
      </c>
      <c r="AZ814" s="27">
        <f t="shared" si="154"/>
        <v>8.1400000000000005E-4</v>
      </c>
    </row>
    <row r="815" spans="1:52" ht="15" customHeight="1" x14ac:dyDescent="0.25">
      <c r="A815" s="13" t="e">
        <f>VLOOKUP(L815,[1]VALIDAÇÃO!$D$13:$E$350,2,0)</f>
        <v>#N/A</v>
      </c>
      <c r="B815" s="14" t="str">
        <f t="shared" si="156"/>
        <v>623</v>
      </c>
      <c r="C815" s="15">
        <f t="shared" si="155"/>
        <v>623</v>
      </c>
      <c r="D815" s="16" t="str">
        <f t="shared" si="157"/>
        <v>623</v>
      </c>
      <c r="E815" s="17">
        <f t="shared" si="148"/>
        <v>623</v>
      </c>
      <c r="F815" s="18" t="str">
        <f t="shared" si="158"/>
        <v>623</v>
      </c>
      <c r="G815" s="18">
        <f t="shared" si="149"/>
        <v>623</v>
      </c>
      <c r="H815" s="19" t="str">
        <f t="shared" si="159"/>
        <v>623</v>
      </c>
      <c r="I815" s="19">
        <f t="shared" si="150"/>
        <v>623</v>
      </c>
      <c r="J815" s="30"/>
      <c r="K815" s="30"/>
      <c r="L815" s="30"/>
      <c r="M815" s="30"/>
      <c r="N815" s="33"/>
      <c r="O815" s="30"/>
      <c r="P815" s="29"/>
      <c r="Q815" s="29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25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W815" s="27">
        <f t="shared" si="151"/>
        <v>8.1499999999999997E-4</v>
      </c>
      <c r="AX815" s="27">
        <f t="shared" si="152"/>
        <v>8.1499999999999997E-4</v>
      </c>
      <c r="AY815" s="27">
        <f t="shared" si="153"/>
        <v>8.1499999999999997E-4</v>
      </c>
      <c r="AZ815" s="27">
        <f t="shared" si="154"/>
        <v>8.1499999999999997E-4</v>
      </c>
    </row>
    <row r="816" spans="1:52" ht="15" customHeight="1" x14ac:dyDescent="0.25">
      <c r="A816" s="13" t="e">
        <f>VLOOKUP(L816,[1]VALIDAÇÃO!$D$13:$E$350,2,0)</f>
        <v>#N/A</v>
      </c>
      <c r="B816" s="14" t="str">
        <f t="shared" si="156"/>
        <v>622</v>
      </c>
      <c r="C816" s="15">
        <f t="shared" si="155"/>
        <v>622</v>
      </c>
      <c r="D816" s="16" t="str">
        <f t="shared" si="157"/>
        <v>622</v>
      </c>
      <c r="E816" s="17">
        <f t="shared" si="148"/>
        <v>622</v>
      </c>
      <c r="F816" s="18" t="str">
        <f t="shared" si="158"/>
        <v>622</v>
      </c>
      <c r="G816" s="18">
        <f t="shared" si="149"/>
        <v>622</v>
      </c>
      <c r="H816" s="19" t="str">
        <f t="shared" si="159"/>
        <v>622</v>
      </c>
      <c r="I816" s="19">
        <f t="shared" si="150"/>
        <v>622</v>
      </c>
      <c r="J816" s="30"/>
      <c r="K816" s="30"/>
      <c r="L816" s="30"/>
      <c r="M816" s="30"/>
      <c r="N816" s="33"/>
      <c r="O816" s="30"/>
      <c r="P816" s="29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25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W816" s="27">
        <f t="shared" si="151"/>
        <v>8.1599999999999999E-4</v>
      </c>
      <c r="AX816" s="27">
        <f t="shared" si="152"/>
        <v>8.1599999999999999E-4</v>
      </c>
      <c r="AY816" s="27">
        <f t="shared" si="153"/>
        <v>8.1599999999999999E-4</v>
      </c>
      <c r="AZ816" s="27">
        <f t="shared" si="154"/>
        <v>8.1599999999999999E-4</v>
      </c>
    </row>
    <row r="817" spans="1:52" ht="15" customHeight="1" x14ac:dyDescent="0.25">
      <c r="A817" s="13" t="e">
        <f>VLOOKUP(L817,[1]VALIDAÇÃO!$D$13:$E$350,2,0)</f>
        <v>#N/A</v>
      </c>
      <c r="B817" s="14" t="str">
        <f t="shared" si="156"/>
        <v>621</v>
      </c>
      <c r="C817" s="15">
        <f t="shared" si="155"/>
        <v>621</v>
      </c>
      <c r="D817" s="16" t="str">
        <f t="shared" si="157"/>
        <v>621</v>
      </c>
      <c r="E817" s="17">
        <f t="shared" si="148"/>
        <v>621</v>
      </c>
      <c r="F817" s="18" t="str">
        <f t="shared" si="158"/>
        <v>621</v>
      </c>
      <c r="G817" s="18">
        <f t="shared" si="149"/>
        <v>621</v>
      </c>
      <c r="H817" s="19" t="str">
        <f t="shared" si="159"/>
        <v>621</v>
      </c>
      <c r="I817" s="19">
        <f t="shared" si="150"/>
        <v>621</v>
      </c>
      <c r="J817" s="30"/>
      <c r="K817" s="30"/>
      <c r="L817" s="30"/>
      <c r="M817" s="30"/>
      <c r="N817" s="33"/>
      <c r="O817" s="30"/>
      <c r="P817" s="29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25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W817" s="27">
        <f t="shared" si="151"/>
        <v>8.1700000000000002E-4</v>
      </c>
      <c r="AX817" s="27">
        <f t="shared" si="152"/>
        <v>8.1700000000000002E-4</v>
      </c>
      <c r="AY817" s="27">
        <f t="shared" si="153"/>
        <v>8.1700000000000002E-4</v>
      </c>
      <c r="AZ817" s="27">
        <f t="shared" si="154"/>
        <v>8.1700000000000002E-4</v>
      </c>
    </row>
    <row r="818" spans="1:52" ht="15" customHeight="1" x14ac:dyDescent="0.25">
      <c r="A818" s="13" t="e">
        <f>VLOOKUP(L818,[1]VALIDAÇÃO!$D$13:$E$350,2,0)</f>
        <v>#N/A</v>
      </c>
      <c r="B818" s="14" t="str">
        <f t="shared" si="156"/>
        <v>620</v>
      </c>
      <c r="C818" s="15">
        <f t="shared" si="155"/>
        <v>620</v>
      </c>
      <c r="D818" s="16" t="str">
        <f t="shared" si="157"/>
        <v>620</v>
      </c>
      <c r="E818" s="17">
        <f t="shared" si="148"/>
        <v>620</v>
      </c>
      <c r="F818" s="18" t="str">
        <f t="shared" si="158"/>
        <v>620</v>
      </c>
      <c r="G818" s="18">
        <f t="shared" si="149"/>
        <v>620</v>
      </c>
      <c r="H818" s="19" t="str">
        <f t="shared" si="159"/>
        <v>620</v>
      </c>
      <c r="I818" s="19">
        <f t="shared" si="150"/>
        <v>620</v>
      </c>
      <c r="J818" s="30"/>
      <c r="K818" s="30"/>
      <c r="L818" s="30"/>
      <c r="M818" s="30"/>
      <c r="N818" s="33"/>
      <c r="O818" s="30"/>
      <c r="P818" s="29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25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W818" s="27">
        <f t="shared" si="151"/>
        <v>8.1800000000000004E-4</v>
      </c>
      <c r="AX818" s="27">
        <f t="shared" si="152"/>
        <v>8.1800000000000004E-4</v>
      </c>
      <c r="AY818" s="27">
        <f t="shared" si="153"/>
        <v>8.1800000000000004E-4</v>
      </c>
      <c r="AZ818" s="27">
        <f t="shared" si="154"/>
        <v>8.1800000000000004E-4</v>
      </c>
    </row>
    <row r="819" spans="1:52" ht="15" customHeight="1" x14ac:dyDescent="0.25">
      <c r="A819" s="13" t="e">
        <f>VLOOKUP(L819,[1]VALIDAÇÃO!$D$13:$E$350,2,0)</f>
        <v>#N/A</v>
      </c>
      <c r="B819" s="14" t="str">
        <f t="shared" si="156"/>
        <v>619</v>
      </c>
      <c r="C819" s="15">
        <f t="shared" si="155"/>
        <v>619</v>
      </c>
      <c r="D819" s="16" t="str">
        <f t="shared" si="157"/>
        <v>619</v>
      </c>
      <c r="E819" s="17">
        <f t="shared" si="148"/>
        <v>619</v>
      </c>
      <c r="F819" s="18" t="str">
        <f t="shared" si="158"/>
        <v>619</v>
      </c>
      <c r="G819" s="18">
        <f t="shared" si="149"/>
        <v>619</v>
      </c>
      <c r="H819" s="19" t="str">
        <f t="shared" si="159"/>
        <v>619</v>
      </c>
      <c r="I819" s="19">
        <f t="shared" si="150"/>
        <v>619</v>
      </c>
      <c r="J819" s="30"/>
      <c r="K819" s="30"/>
      <c r="L819" s="30"/>
      <c r="M819" s="30"/>
      <c r="N819" s="33"/>
      <c r="O819" s="30"/>
      <c r="P819" s="29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25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W819" s="27">
        <f t="shared" si="151"/>
        <v>8.1899999999999996E-4</v>
      </c>
      <c r="AX819" s="27">
        <f t="shared" si="152"/>
        <v>8.1899999999999996E-4</v>
      </c>
      <c r="AY819" s="27">
        <f t="shared" si="153"/>
        <v>8.1899999999999996E-4</v>
      </c>
      <c r="AZ819" s="27">
        <f t="shared" si="154"/>
        <v>8.1899999999999996E-4</v>
      </c>
    </row>
    <row r="820" spans="1:52" ht="15" customHeight="1" x14ac:dyDescent="0.25">
      <c r="A820" s="13" t="e">
        <f>VLOOKUP(L820,[1]VALIDAÇÃO!$D$13:$E$350,2,0)</f>
        <v>#N/A</v>
      </c>
      <c r="B820" s="14" t="str">
        <f t="shared" si="156"/>
        <v>618</v>
      </c>
      <c r="C820" s="15">
        <f t="shared" si="155"/>
        <v>618</v>
      </c>
      <c r="D820" s="16" t="str">
        <f t="shared" si="157"/>
        <v>618</v>
      </c>
      <c r="E820" s="17">
        <f t="shared" si="148"/>
        <v>618</v>
      </c>
      <c r="F820" s="18" t="str">
        <f t="shared" si="158"/>
        <v>618</v>
      </c>
      <c r="G820" s="18">
        <f t="shared" si="149"/>
        <v>618</v>
      </c>
      <c r="H820" s="19" t="str">
        <f t="shared" si="159"/>
        <v>618</v>
      </c>
      <c r="I820" s="19">
        <f t="shared" si="150"/>
        <v>618</v>
      </c>
      <c r="J820" s="30"/>
      <c r="K820" s="30"/>
      <c r="L820" s="30"/>
      <c r="M820" s="30"/>
      <c r="N820" s="33"/>
      <c r="O820" s="30"/>
      <c r="P820" s="29"/>
      <c r="Q820" s="29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25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W820" s="27">
        <f t="shared" si="151"/>
        <v>8.1999999999999998E-4</v>
      </c>
      <c r="AX820" s="27">
        <f t="shared" si="152"/>
        <v>8.1999999999999998E-4</v>
      </c>
      <c r="AY820" s="27">
        <f t="shared" si="153"/>
        <v>8.1999999999999998E-4</v>
      </c>
      <c r="AZ820" s="27">
        <f t="shared" si="154"/>
        <v>8.1999999999999998E-4</v>
      </c>
    </row>
    <row r="821" spans="1:52" ht="15" customHeight="1" x14ac:dyDescent="0.25">
      <c r="A821" s="13" t="e">
        <f>VLOOKUP(L821,[1]VALIDAÇÃO!$D$13:$E$350,2,0)</f>
        <v>#N/A</v>
      </c>
      <c r="B821" s="14" t="str">
        <f t="shared" si="156"/>
        <v>617</v>
      </c>
      <c r="C821" s="15">
        <f t="shared" si="155"/>
        <v>617</v>
      </c>
      <c r="D821" s="16" t="str">
        <f t="shared" si="157"/>
        <v>617</v>
      </c>
      <c r="E821" s="17">
        <f t="shared" si="148"/>
        <v>617</v>
      </c>
      <c r="F821" s="18" t="str">
        <f t="shared" si="158"/>
        <v>617</v>
      </c>
      <c r="G821" s="18">
        <f t="shared" si="149"/>
        <v>617</v>
      </c>
      <c r="H821" s="19" t="str">
        <f t="shared" si="159"/>
        <v>617</v>
      </c>
      <c r="I821" s="19">
        <f t="shared" si="150"/>
        <v>617</v>
      </c>
      <c r="J821" s="30"/>
      <c r="K821" s="30"/>
      <c r="L821" s="30"/>
      <c r="M821" s="30"/>
      <c r="N821" s="33"/>
      <c r="O821" s="30"/>
      <c r="P821" s="29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25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W821" s="27">
        <f t="shared" si="151"/>
        <v>8.2100000000000001E-4</v>
      </c>
      <c r="AX821" s="27">
        <f t="shared" si="152"/>
        <v>8.2100000000000001E-4</v>
      </c>
      <c r="AY821" s="27">
        <f t="shared" si="153"/>
        <v>8.2100000000000001E-4</v>
      </c>
      <c r="AZ821" s="27">
        <f t="shared" si="154"/>
        <v>8.2100000000000001E-4</v>
      </c>
    </row>
    <row r="822" spans="1:52" ht="15" customHeight="1" x14ac:dyDescent="0.25">
      <c r="A822" s="13" t="e">
        <f>VLOOKUP(L822,[1]VALIDAÇÃO!$D$13:$E$350,2,0)</f>
        <v>#N/A</v>
      </c>
      <c r="B822" s="14" t="str">
        <f t="shared" si="156"/>
        <v>616</v>
      </c>
      <c r="C822" s="15">
        <f t="shared" si="155"/>
        <v>616</v>
      </c>
      <c r="D822" s="16" t="str">
        <f t="shared" si="157"/>
        <v>616</v>
      </c>
      <c r="E822" s="17">
        <f t="shared" si="148"/>
        <v>616</v>
      </c>
      <c r="F822" s="18" t="str">
        <f t="shared" si="158"/>
        <v>616</v>
      </c>
      <c r="G822" s="18">
        <f t="shared" si="149"/>
        <v>616</v>
      </c>
      <c r="H822" s="19" t="str">
        <f t="shared" si="159"/>
        <v>616</v>
      </c>
      <c r="I822" s="19">
        <f t="shared" si="150"/>
        <v>616</v>
      </c>
      <c r="J822" s="30"/>
      <c r="K822" s="30"/>
      <c r="L822" s="30"/>
      <c r="M822" s="30"/>
      <c r="N822" s="33"/>
      <c r="O822" s="30"/>
      <c r="P822" s="29"/>
      <c r="Q822" s="29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25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W822" s="27">
        <f t="shared" si="151"/>
        <v>8.2200000000000003E-4</v>
      </c>
      <c r="AX822" s="27">
        <f t="shared" si="152"/>
        <v>8.2200000000000003E-4</v>
      </c>
      <c r="AY822" s="27">
        <f t="shared" si="153"/>
        <v>8.2200000000000003E-4</v>
      </c>
      <c r="AZ822" s="27">
        <f t="shared" si="154"/>
        <v>8.2200000000000003E-4</v>
      </c>
    </row>
    <row r="823" spans="1:52" ht="15" customHeight="1" x14ac:dyDescent="0.25">
      <c r="A823" s="13" t="e">
        <f>VLOOKUP(L823,[1]VALIDAÇÃO!$D$13:$E$350,2,0)</f>
        <v>#N/A</v>
      </c>
      <c r="B823" s="14" t="str">
        <f t="shared" si="156"/>
        <v>615</v>
      </c>
      <c r="C823" s="15">
        <f t="shared" si="155"/>
        <v>615</v>
      </c>
      <c r="D823" s="16" t="str">
        <f t="shared" si="157"/>
        <v>615</v>
      </c>
      <c r="E823" s="17">
        <f t="shared" si="148"/>
        <v>615</v>
      </c>
      <c r="F823" s="18" t="str">
        <f t="shared" si="158"/>
        <v>615</v>
      </c>
      <c r="G823" s="18">
        <f t="shared" si="149"/>
        <v>615</v>
      </c>
      <c r="H823" s="19" t="str">
        <f t="shared" si="159"/>
        <v>615</v>
      </c>
      <c r="I823" s="19">
        <f t="shared" si="150"/>
        <v>615</v>
      </c>
      <c r="J823" s="30"/>
      <c r="K823" s="30"/>
      <c r="L823" s="30"/>
      <c r="M823" s="30"/>
      <c r="N823" s="33"/>
      <c r="O823" s="30"/>
      <c r="P823" s="29"/>
      <c r="Q823" s="29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25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W823" s="27">
        <f t="shared" si="151"/>
        <v>8.2299999999999995E-4</v>
      </c>
      <c r="AX823" s="27">
        <f t="shared" si="152"/>
        <v>8.2299999999999995E-4</v>
      </c>
      <c r="AY823" s="27">
        <f t="shared" si="153"/>
        <v>8.2299999999999995E-4</v>
      </c>
      <c r="AZ823" s="27">
        <f t="shared" si="154"/>
        <v>8.2299999999999995E-4</v>
      </c>
    </row>
    <row r="824" spans="1:52" ht="15" customHeight="1" x14ac:dyDescent="0.25">
      <c r="A824" s="13" t="e">
        <f>VLOOKUP(L824,[1]VALIDAÇÃO!$D$13:$E$350,2,0)</f>
        <v>#N/A</v>
      </c>
      <c r="B824" s="14" t="str">
        <f t="shared" si="156"/>
        <v>614</v>
      </c>
      <c r="C824" s="15">
        <f t="shared" si="155"/>
        <v>614</v>
      </c>
      <c r="D824" s="16" t="str">
        <f t="shared" si="157"/>
        <v>614</v>
      </c>
      <c r="E824" s="17">
        <f t="shared" si="148"/>
        <v>614</v>
      </c>
      <c r="F824" s="18" t="str">
        <f t="shared" si="158"/>
        <v>614</v>
      </c>
      <c r="G824" s="18">
        <f t="shared" si="149"/>
        <v>614</v>
      </c>
      <c r="H824" s="19" t="str">
        <f t="shared" si="159"/>
        <v>614</v>
      </c>
      <c r="I824" s="19">
        <f t="shared" si="150"/>
        <v>614</v>
      </c>
      <c r="J824" s="30"/>
      <c r="K824" s="30"/>
      <c r="L824" s="30"/>
      <c r="M824" s="30"/>
      <c r="N824" s="33"/>
      <c r="O824" s="30"/>
      <c r="P824" s="29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25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W824" s="27">
        <f t="shared" si="151"/>
        <v>8.2399999999999997E-4</v>
      </c>
      <c r="AX824" s="27">
        <f t="shared" si="152"/>
        <v>8.2399999999999997E-4</v>
      </c>
      <c r="AY824" s="27">
        <f t="shared" si="153"/>
        <v>8.2399999999999997E-4</v>
      </c>
      <c r="AZ824" s="27">
        <f t="shared" si="154"/>
        <v>8.2399999999999997E-4</v>
      </c>
    </row>
    <row r="825" spans="1:52" ht="15" customHeight="1" x14ac:dyDescent="0.25">
      <c r="A825" s="13" t="e">
        <f>VLOOKUP(L825,[1]VALIDAÇÃO!$D$13:$E$350,2,0)</f>
        <v>#N/A</v>
      </c>
      <c r="B825" s="14" t="str">
        <f t="shared" si="156"/>
        <v>613</v>
      </c>
      <c r="C825" s="15">
        <f t="shared" si="155"/>
        <v>613</v>
      </c>
      <c r="D825" s="16" t="str">
        <f t="shared" si="157"/>
        <v>613</v>
      </c>
      <c r="E825" s="17">
        <f t="shared" si="148"/>
        <v>613</v>
      </c>
      <c r="F825" s="18" t="str">
        <f t="shared" si="158"/>
        <v>613</v>
      </c>
      <c r="G825" s="18">
        <f t="shared" si="149"/>
        <v>613</v>
      </c>
      <c r="H825" s="19" t="str">
        <f t="shared" si="159"/>
        <v>613</v>
      </c>
      <c r="I825" s="19">
        <f t="shared" si="150"/>
        <v>613</v>
      </c>
      <c r="J825" s="30"/>
      <c r="K825" s="30"/>
      <c r="L825" s="30"/>
      <c r="M825" s="30"/>
      <c r="N825" s="33"/>
      <c r="O825" s="30"/>
      <c r="P825" s="29"/>
      <c r="Q825" s="29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25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W825" s="27">
        <f t="shared" si="151"/>
        <v>8.25E-4</v>
      </c>
      <c r="AX825" s="27">
        <f t="shared" si="152"/>
        <v>8.25E-4</v>
      </c>
      <c r="AY825" s="27">
        <f t="shared" si="153"/>
        <v>8.25E-4</v>
      </c>
      <c r="AZ825" s="27">
        <f t="shared" si="154"/>
        <v>8.25E-4</v>
      </c>
    </row>
    <row r="826" spans="1:52" ht="15" customHeight="1" x14ac:dyDescent="0.25">
      <c r="A826" s="13" t="e">
        <f>VLOOKUP(L826,[1]VALIDAÇÃO!$D$13:$E$350,2,0)</f>
        <v>#N/A</v>
      </c>
      <c r="B826" s="14" t="str">
        <f t="shared" si="156"/>
        <v>612</v>
      </c>
      <c r="C826" s="15">
        <f t="shared" si="155"/>
        <v>612</v>
      </c>
      <c r="D826" s="16" t="str">
        <f t="shared" si="157"/>
        <v>612</v>
      </c>
      <c r="E826" s="17">
        <f t="shared" si="148"/>
        <v>612</v>
      </c>
      <c r="F826" s="18" t="str">
        <f t="shared" si="158"/>
        <v>612</v>
      </c>
      <c r="G826" s="18">
        <f t="shared" si="149"/>
        <v>612</v>
      </c>
      <c r="H826" s="19" t="str">
        <f t="shared" si="159"/>
        <v>612</v>
      </c>
      <c r="I826" s="19">
        <f t="shared" si="150"/>
        <v>612</v>
      </c>
      <c r="J826" s="30"/>
      <c r="K826" s="30"/>
      <c r="L826" s="30"/>
      <c r="M826" s="30"/>
      <c r="N826" s="33"/>
      <c r="O826" s="30"/>
      <c r="P826" s="29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25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W826" s="27">
        <f t="shared" si="151"/>
        <v>8.2600000000000002E-4</v>
      </c>
      <c r="AX826" s="27">
        <f t="shared" si="152"/>
        <v>8.2600000000000002E-4</v>
      </c>
      <c r="AY826" s="27">
        <f t="shared" si="153"/>
        <v>8.2600000000000002E-4</v>
      </c>
      <c r="AZ826" s="27">
        <f t="shared" si="154"/>
        <v>8.2600000000000002E-4</v>
      </c>
    </row>
    <row r="827" spans="1:52" ht="15" customHeight="1" x14ac:dyDescent="0.25">
      <c r="A827" s="13" t="e">
        <f>VLOOKUP(L827,[1]VALIDAÇÃO!$D$13:$E$350,2,0)</f>
        <v>#N/A</v>
      </c>
      <c r="B827" s="14" t="str">
        <f t="shared" si="156"/>
        <v>611</v>
      </c>
      <c r="C827" s="15">
        <f t="shared" si="155"/>
        <v>611</v>
      </c>
      <c r="D827" s="16" t="str">
        <f t="shared" si="157"/>
        <v>611</v>
      </c>
      <c r="E827" s="17">
        <f t="shared" si="148"/>
        <v>611</v>
      </c>
      <c r="F827" s="18" t="str">
        <f t="shared" si="158"/>
        <v>611</v>
      </c>
      <c r="G827" s="18">
        <f t="shared" si="149"/>
        <v>611</v>
      </c>
      <c r="H827" s="19" t="str">
        <f t="shared" si="159"/>
        <v>611</v>
      </c>
      <c r="I827" s="19">
        <f t="shared" si="150"/>
        <v>611</v>
      </c>
      <c r="J827" s="30"/>
      <c r="K827" s="30"/>
      <c r="L827" s="30"/>
      <c r="M827" s="30"/>
      <c r="N827" s="33"/>
      <c r="O827" s="30"/>
      <c r="P827" s="29"/>
      <c r="Q827" s="29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25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W827" s="27">
        <f t="shared" si="151"/>
        <v>8.2700000000000004E-4</v>
      </c>
      <c r="AX827" s="27">
        <f t="shared" si="152"/>
        <v>8.2700000000000004E-4</v>
      </c>
      <c r="AY827" s="27">
        <f t="shared" si="153"/>
        <v>8.2700000000000004E-4</v>
      </c>
      <c r="AZ827" s="27">
        <f t="shared" si="154"/>
        <v>8.2700000000000004E-4</v>
      </c>
    </row>
    <row r="828" spans="1:52" ht="15" customHeight="1" x14ac:dyDescent="0.25">
      <c r="A828" s="13" t="e">
        <f>VLOOKUP(L828,[1]VALIDAÇÃO!$D$13:$E$350,2,0)</f>
        <v>#N/A</v>
      </c>
      <c r="B828" s="14" t="str">
        <f t="shared" si="156"/>
        <v>610</v>
      </c>
      <c r="C828" s="15">
        <f t="shared" si="155"/>
        <v>610</v>
      </c>
      <c r="D828" s="16" t="str">
        <f t="shared" si="157"/>
        <v>610</v>
      </c>
      <c r="E828" s="17">
        <f t="shared" si="148"/>
        <v>610</v>
      </c>
      <c r="F828" s="18" t="str">
        <f t="shared" si="158"/>
        <v>610</v>
      </c>
      <c r="G828" s="18">
        <f t="shared" si="149"/>
        <v>610</v>
      </c>
      <c r="H828" s="19" t="str">
        <f t="shared" si="159"/>
        <v>610</v>
      </c>
      <c r="I828" s="19">
        <f t="shared" si="150"/>
        <v>610</v>
      </c>
      <c r="J828" s="30"/>
      <c r="K828" s="30"/>
      <c r="L828" s="30"/>
      <c r="M828" s="30"/>
      <c r="N828" s="33"/>
      <c r="O828" s="30"/>
      <c r="P828" s="29"/>
      <c r="Q828" s="29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25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W828" s="27">
        <f t="shared" si="151"/>
        <v>8.2799999999999996E-4</v>
      </c>
      <c r="AX828" s="27">
        <f t="shared" si="152"/>
        <v>8.2799999999999996E-4</v>
      </c>
      <c r="AY828" s="27">
        <f t="shared" si="153"/>
        <v>8.2799999999999996E-4</v>
      </c>
      <c r="AZ828" s="27">
        <f t="shared" si="154"/>
        <v>8.2799999999999996E-4</v>
      </c>
    </row>
    <row r="829" spans="1:52" ht="15" customHeight="1" x14ac:dyDescent="0.25">
      <c r="A829" s="13" t="e">
        <f>VLOOKUP(L829,[1]VALIDAÇÃO!$D$13:$E$350,2,0)</f>
        <v>#N/A</v>
      </c>
      <c r="B829" s="14" t="str">
        <f t="shared" si="156"/>
        <v>609</v>
      </c>
      <c r="C829" s="15">
        <f t="shared" si="155"/>
        <v>609</v>
      </c>
      <c r="D829" s="16" t="str">
        <f t="shared" si="157"/>
        <v>609</v>
      </c>
      <c r="E829" s="17">
        <f t="shared" si="148"/>
        <v>609</v>
      </c>
      <c r="F829" s="18" t="str">
        <f t="shared" si="158"/>
        <v>609</v>
      </c>
      <c r="G829" s="18">
        <f t="shared" si="149"/>
        <v>609</v>
      </c>
      <c r="H829" s="19" t="str">
        <f t="shared" si="159"/>
        <v>609</v>
      </c>
      <c r="I829" s="19">
        <f t="shared" si="150"/>
        <v>609</v>
      </c>
      <c r="J829" s="30"/>
      <c r="K829" s="30"/>
      <c r="L829" s="30"/>
      <c r="M829" s="30"/>
      <c r="N829" s="33"/>
      <c r="O829" s="30"/>
      <c r="P829" s="29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25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W829" s="27">
        <f t="shared" si="151"/>
        <v>8.2899999999999998E-4</v>
      </c>
      <c r="AX829" s="27">
        <f t="shared" si="152"/>
        <v>8.2899999999999998E-4</v>
      </c>
      <c r="AY829" s="27">
        <f t="shared" si="153"/>
        <v>8.2899999999999998E-4</v>
      </c>
      <c r="AZ829" s="27">
        <f t="shared" si="154"/>
        <v>8.2899999999999998E-4</v>
      </c>
    </row>
    <row r="830" spans="1:52" ht="15" customHeight="1" x14ac:dyDescent="0.25">
      <c r="A830" s="13" t="e">
        <f>VLOOKUP(L830,[1]VALIDAÇÃO!$D$13:$E$350,2,0)</f>
        <v>#N/A</v>
      </c>
      <c r="B830" s="14" t="str">
        <f t="shared" si="156"/>
        <v>608</v>
      </c>
      <c r="C830" s="15">
        <f t="shared" si="155"/>
        <v>608</v>
      </c>
      <c r="D830" s="16" t="str">
        <f t="shared" si="157"/>
        <v>608</v>
      </c>
      <c r="E830" s="17">
        <f t="shared" si="148"/>
        <v>608</v>
      </c>
      <c r="F830" s="18" t="str">
        <f t="shared" si="158"/>
        <v>608</v>
      </c>
      <c r="G830" s="18">
        <f t="shared" si="149"/>
        <v>608</v>
      </c>
      <c r="H830" s="19" t="str">
        <f t="shared" si="159"/>
        <v>608</v>
      </c>
      <c r="I830" s="19">
        <f t="shared" si="150"/>
        <v>608</v>
      </c>
      <c r="J830" s="30"/>
      <c r="K830" s="30"/>
      <c r="L830" s="30"/>
      <c r="M830" s="30"/>
      <c r="N830" s="33"/>
      <c r="O830" s="30"/>
      <c r="P830" s="29"/>
      <c r="Q830" s="29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25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W830" s="27">
        <f t="shared" si="151"/>
        <v>8.3000000000000001E-4</v>
      </c>
      <c r="AX830" s="27">
        <f t="shared" si="152"/>
        <v>8.3000000000000001E-4</v>
      </c>
      <c r="AY830" s="27">
        <f t="shared" si="153"/>
        <v>8.3000000000000001E-4</v>
      </c>
      <c r="AZ830" s="27">
        <f t="shared" si="154"/>
        <v>8.3000000000000001E-4</v>
      </c>
    </row>
    <row r="831" spans="1:52" ht="15" customHeight="1" x14ac:dyDescent="0.25">
      <c r="A831" s="13" t="e">
        <f>VLOOKUP(L831,[1]VALIDAÇÃO!$D$13:$E$350,2,0)</f>
        <v>#N/A</v>
      </c>
      <c r="B831" s="14" t="str">
        <f t="shared" si="156"/>
        <v>607</v>
      </c>
      <c r="C831" s="15">
        <f t="shared" si="155"/>
        <v>607</v>
      </c>
      <c r="D831" s="16" t="str">
        <f t="shared" si="157"/>
        <v>607</v>
      </c>
      <c r="E831" s="17">
        <f t="shared" si="148"/>
        <v>607</v>
      </c>
      <c r="F831" s="18" t="str">
        <f t="shared" si="158"/>
        <v>607</v>
      </c>
      <c r="G831" s="18">
        <f t="shared" si="149"/>
        <v>607</v>
      </c>
      <c r="H831" s="19" t="str">
        <f t="shared" si="159"/>
        <v>607</v>
      </c>
      <c r="I831" s="19">
        <f t="shared" si="150"/>
        <v>607</v>
      </c>
      <c r="J831" s="30"/>
      <c r="K831" s="30"/>
      <c r="L831" s="30"/>
      <c r="M831" s="30"/>
      <c r="N831" s="33"/>
      <c r="O831" s="30"/>
      <c r="P831" s="29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25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W831" s="27">
        <f t="shared" si="151"/>
        <v>8.3100000000000003E-4</v>
      </c>
      <c r="AX831" s="27">
        <f t="shared" si="152"/>
        <v>8.3100000000000003E-4</v>
      </c>
      <c r="AY831" s="27">
        <f t="shared" si="153"/>
        <v>8.3100000000000003E-4</v>
      </c>
      <c r="AZ831" s="27">
        <f t="shared" si="154"/>
        <v>8.3100000000000003E-4</v>
      </c>
    </row>
    <row r="832" spans="1:52" ht="15" customHeight="1" x14ac:dyDescent="0.25">
      <c r="A832" s="13" t="e">
        <f>VLOOKUP(L832,[1]VALIDAÇÃO!$D$13:$E$350,2,0)</f>
        <v>#N/A</v>
      </c>
      <c r="B832" s="14" t="str">
        <f t="shared" si="156"/>
        <v>606</v>
      </c>
      <c r="C832" s="15">
        <f t="shared" si="155"/>
        <v>606</v>
      </c>
      <c r="D832" s="16" t="str">
        <f t="shared" si="157"/>
        <v>606</v>
      </c>
      <c r="E832" s="17">
        <f t="shared" si="148"/>
        <v>606</v>
      </c>
      <c r="F832" s="18" t="str">
        <f t="shared" si="158"/>
        <v>606</v>
      </c>
      <c r="G832" s="18">
        <f t="shared" si="149"/>
        <v>606</v>
      </c>
      <c r="H832" s="19" t="str">
        <f t="shared" si="159"/>
        <v>606</v>
      </c>
      <c r="I832" s="19">
        <f t="shared" si="150"/>
        <v>606</v>
      </c>
      <c r="J832" s="30"/>
      <c r="K832" s="30"/>
      <c r="L832" s="30"/>
      <c r="M832" s="30"/>
      <c r="N832" s="33"/>
      <c r="O832" s="30"/>
      <c r="P832" s="29"/>
      <c r="Q832" s="29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25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W832" s="27">
        <f t="shared" si="151"/>
        <v>8.3199999999999995E-4</v>
      </c>
      <c r="AX832" s="27">
        <f t="shared" si="152"/>
        <v>8.3199999999999995E-4</v>
      </c>
      <c r="AY832" s="27">
        <f t="shared" si="153"/>
        <v>8.3199999999999995E-4</v>
      </c>
      <c r="AZ832" s="27">
        <f t="shared" si="154"/>
        <v>8.3199999999999995E-4</v>
      </c>
    </row>
    <row r="833" spans="1:52" ht="15" customHeight="1" x14ac:dyDescent="0.25">
      <c r="A833" s="13" t="e">
        <f>VLOOKUP(L833,[1]VALIDAÇÃO!$D$13:$E$350,2,0)</f>
        <v>#N/A</v>
      </c>
      <c r="B833" s="14" t="str">
        <f t="shared" si="156"/>
        <v>605</v>
      </c>
      <c r="C833" s="15">
        <f t="shared" si="155"/>
        <v>605</v>
      </c>
      <c r="D833" s="16" t="str">
        <f t="shared" si="157"/>
        <v>605</v>
      </c>
      <c r="E833" s="17">
        <f t="shared" si="148"/>
        <v>605</v>
      </c>
      <c r="F833" s="18" t="str">
        <f t="shared" si="158"/>
        <v>605</v>
      </c>
      <c r="G833" s="18">
        <f t="shared" si="149"/>
        <v>605</v>
      </c>
      <c r="H833" s="19" t="str">
        <f t="shared" si="159"/>
        <v>605</v>
      </c>
      <c r="I833" s="19">
        <f t="shared" si="150"/>
        <v>605</v>
      </c>
      <c r="J833" s="30"/>
      <c r="K833" s="30"/>
      <c r="L833" s="30"/>
      <c r="M833" s="30"/>
      <c r="N833" s="33"/>
      <c r="O833" s="30"/>
      <c r="P833" s="29"/>
      <c r="Q833" s="29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25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W833" s="27">
        <f t="shared" si="151"/>
        <v>8.3299999999999997E-4</v>
      </c>
      <c r="AX833" s="27">
        <f t="shared" si="152"/>
        <v>8.3299999999999997E-4</v>
      </c>
      <c r="AY833" s="27">
        <f t="shared" si="153"/>
        <v>8.3299999999999997E-4</v>
      </c>
      <c r="AZ833" s="27">
        <f t="shared" si="154"/>
        <v>8.3299999999999997E-4</v>
      </c>
    </row>
    <row r="834" spans="1:52" ht="15" customHeight="1" x14ac:dyDescent="0.25">
      <c r="A834" s="13" t="e">
        <f>VLOOKUP(L834,[1]VALIDAÇÃO!$D$13:$E$350,2,0)</f>
        <v>#N/A</v>
      </c>
      <c r="B834" s="14" t="str">
        <f t="shared" si="156"/>
        <v>604</v>
      </c>
      <c r="C834" s="15">
        <f t="shared" si="155"/>
        <v>604</v>
      </c>
      <c r="D834" s="16" t="str">
        <f t="shared" si="157"/>
        <v>604</v>
      </c>
      <c r="E834" s="17">
        <f t="shared" ref="E834:E897" si="160">1+SUMPRODUCT(($J$2:$J$1437=$J834)*(AX$2:AX$1437&gt;AX834))</f>
        <v>604</v>
      </c>
      <c r="F834" s="18" t="str">
        <f t="shared" si="158"/>
        <v>604</v>
      </c>
      <c r="G834" s="18">
        <f t="shared" ref="G834:G897" si="161">1+SUMPRODUCT(($J$2:$J$1437=$J834)*(AY$2:AY$1437&gt;AY834))</f>
        <v>604</v>
      </c>
      <c r="H834" s="19" t="str">
        <f t="shared" si="159"/>
        <v>604</v>
      </c>
      <c r="I834" s="19">
        <f t="shared" ref="I834:I897" si="162">1+SUMPRODUCT(($J$2:$J$1437=$J834)*(AZ$2:AZ$1437&gt;AZ834))</f>
        <v>604</v>
      </c>
      <c r="J834" s="30"/>
      <c r="K834" s="30"/>
      <c r="L834" s="30"/>
      <c r="M834" s="30"/>
      <c r="N834" s="33"/>
      <c r="O834" s="30"/>
      <c r="P834" s="29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25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W834" s="27">
        <f t="shared" ref="AW834:AW897" si="163">AJ834+ROW(C834)/1000000</f>
        <v>8.34E-4</v>
      </c>
      <c r="AX834" s="27">
        <f t="shared" ref="AX834:AX897" si="164">AD834+ROW(C834)/1000000</f>
        <v>8.34E-4</v>
      </c>
      <c r="AY834" s="27">
        <f t="shared" ref="AY834:AY897" si="165">AB834+ROW(A834)/1000000</f>
        <v>8.34E-4</v>
      </c>
      <c r="AZ834" s="27">
        <f t="shared" ref="AZ834:AZ897" si="166">AP834+ROW(A834)/1000000</f>
        <v>8.34E-4</v>
      </c>
    </row>
    <row r="835" spans="1:52" ht="15" customHeight="1" x14ac:dyDescent="0.25">
      <c r="A835" s="13" t="e">
        <f>VLOOKUP(L835,[1]VALIDAÇÃO!$D$13:$E$350,2,0)</f>
        <v>#N/A</v>
      </c>
      <c r="B835" s="14" t="str">
        <f t="shared" si="156"/>
        <v>603</v>
      </c>
      <c r="C835" s="15">
        <f t="shared" ref="C835:C898" si="167">1+SUMPRODUCT(($J$2:$J$1437=J835)*($AW$2:$AW$1437&gt;AW835))</f>
        <v>603</v>
      </c>
      <c r="D835" s="16" t="str">
        <f t="shared" si="157"/>
        <v>603</v>
      </c>
      <c r="E835" s="17">
        <f t="shared" si="160"/>
        <v>603</v>
      </c>
      <c r="F835" s="18" t="str">
        <f t="shared" si="158"/>
        <v>603</v>
      </c>
      <c r="G835" s="18">
        <f t="shared" si="161"/>
        <v>603</v>
      </c>
      <c r="H835" s="19" t="str">
        <f t="shared" si="159"/>
        <v>603</v>
      </c>
      <c r="I835" s="19">
        <f t="shared" si="162"/>
        <v>603</v>
      </c>
      <c r="J835" s="30"/>
      <c r="K835" s="30"/>
      <c r="L835" s="30"/>
      <c r="M835" s="30"/>
      <c r="N835" s="33"/>
      <c r="O835" s="30"/>
      <c r="P835" s="29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25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W835" s="27">
        <f t="shared" si="163"/>
        <v>8.3500000000000002E-4</v>
      </c>
      <c r="AX835" s="27">
        <f t="shared" si="164"/>
        <v>8.3500000000000002E-4</v>
      </c>
      <c r="AY835" s="27">
        <f t="shared" si="165"/>
        <v>8.3500000000000002E-4</v>
      </c>
      <c r="AZ835" s="27">
        <f t="shared" si="166"/>
        <v>8.3500000000000002E-4</v>
      </c>
    </row>
    <row r="836" spans="1:52" ht="15" customHeight="1" x14ac:dyDescent="0.25">
      <c r="A836" s="13" t="e">
        <f>VLOOKUP(L836,[1]VALIDAÇÃO!$D$13:$E$350,2,0)</f>
        <v>#N/A</v>
      </c>
      <c r="B836" s="14" t="str">
        <f t="shared" si="156"/>
        <v>602</v>
      </c>
      <c r="C836" s="15">
        <f t="shared" si="167"/>
        <v>602</v>
      </c>
      <c r="D836" s="16" t="str">
        <f t="shared" si="157"/>
        <v>602</v>
      </c>
      <c r="E836" s="17">
        <f t="shared" si="160"/>
        <v>602</v>
      </c>
      <c r="F836" s="18" t="str">
        <f t="shared" si="158"/>
        <v>602</v>
      </c>
      <c r="G836" s="18">
        <f t="shared" si="161"/>
        <v>602</v>
      </c>
      <c r="H836" s="19" t="str">
        <f t="shared" si="159"/>
        <v>602</v>
      </c>
      <c r="I836" s="19">
        <f t="shared" si="162"/>
        <v>602</v>
      </c>
      <c r="J836" s="30"/>
      <c r="K836" s="30"/>
      <c r="L836" s="30"/>
      <c r="M836" s="30"/>
      <c r="N836" s="33"/>
      <c r="O836" s="30"/>
      <c r="P836" s="29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25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W836" s="27">
        <f t="shared" si="163"/>
        <v>8.3600000000000005E-4</v>
      </c>
      <c r="AX836" s="27">
        <f t="shared" si="164"/>
        <v>8.3600000000000005E-4</v>
      </c>
      <c r="AY836" s="27">
        <f t="shared" si="165"/>
        <v>8.3600000000000005E-4</v>
      </c>
      <c r="AZ836" s="27">
        <f t="shared" si="166"/>
        <v>8.3600000000000005E-4</v>
      </c>
    </row>
    <row r="837" spans="1:52" ht="15" customHeight="1" x14ac:dyDescent="0.25">
      <c r="A837" s="13" t="e">
        <f>VLOOKUP(L837,[1]VALIDAÇÃO!$D$13:$E$350,2,0)</f>
        <v>#N/A</v>
      </c>
      <c r="B837" s="14" t="str">
        <f t="shared" si="156"/>
        <v>601</v>
      </c>
      <c r="C837" s="15">
        <f t="shared" si="167"/>
        <v>601</v>
      </c>
      <c r="D837" s="16" t="str">
        <f t="shared" si="157"/>
        <v>601</v>
      </c>
      <c r="E837" s="17">
        <f t="shared" si="160"/>
        <v>601</v>
      </c>
      <c r="F837" s="18" t="str">
        <f t="shared" si="158"/>
        <v>601</v>
      </c>
      <c r="G837" s="18">
        <f t="shared" si="161"/>
        <v>601</v>
      </c>
      <c r="H837" s="19" t="str">
        <f t="shared" si="159"/>
        <v>601</v>
      </c>
      <c r="I837" s="19">
        <f t="shared" si="162"/>
        <v>601</v>
      </c>
      <c r="J837" s="30"/>
      <c r="K837" s="30"/>
      <c r="L837" s="30"/>
      <c r="M837" s="30"/>
      <c r="N837" s="33"/>
      <c r="O837" s="30"/>
      <c r="P837" s="29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25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W837" s="27">
        <f t="shared" si="163"/>
        <v>8.3699999999999996E-4</v>
      </c>
      <c r="AX837" s="27">
        <f t="shared" si="164"/>
        <v>8.3699999999999996E-4</v>
      </c>
      <c r="AY837" s="27">
        <f t="shared" si="165"/>
        <v>8.3699999999999996E-4</v>
      </c>
      <c r="AZ837" s="27">
        <f t="shared" si="166"/>
        <v>8.3699999999999996E-4</v>
      </c>
    </row>
    <row r="838" spans="1:52" ht="15" customHeight="1" x14ac:dyDescent="0.25">
      <c r="A838" s="13" t="e">
        <f>VLOOKUP(L838,[1]VALIDAÇÃO!$D$13:$E$350,2,0)</f>
        <v>#N/A</v>
      </c>
      <c r="B838" s="14" t="str">
        <f t="shared" si="156"/>
        <v>600</v>
      </c>
      <c r="C838" s="15">
        <f t="shared" si="167"/>
        <v>600</v>
      </c>
      <c r="D838" s="16" t="str">
        <f t="shared" si="157"/>
        <v>600</v>
      </c>
      <c r="E838" s="17">
        <f t="shared" si="160"/>
        <v>600</v>
      </c>
      <c r="F838" s="18" t="str">
        <f t="shared" si="158"/>
        <v>600</v>
      </c>
      <c r="G838" s="18">
        <f t="shared" si="161"/>
        <v>600</v>
      </c>
      <c r="H838" s="19" t="str">
        <f t="shared" si="159"/>
        <v>600</v>
      </c>
      <c r="I838" s="19">
        <f t="shared" si="162"/>
        <v>600</v>
      </c>
      <c r="J838" s="30"/>
      <c r="K838" s="30"/>
      <c r="L838" s="30"/>
      <c r="M838" s="30"/>
      <c r="N838" s="33"/>
      <c r="O838" s="30"/>
      <c r="P838" s="29"/>
      <c r="Q838" s="29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25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W838" s="27">
        <f t="shared" si="163"/>
        <v>8.3799999999999999E-4</v>
      </c>
      <c r="AX838" s="27">
        <f t="shared" si="164"/>
        <v>8.3799999999999999E-4</v>
      </c>
      <c r="AY838" s="27">
        <f t="shared" si="165"/>
        <v>8.3799999999999999E-4</v>
      </c>
      <c r="AZ838" s="27">
        <f t="shared" si="166"/>
        <v>8.3799999999999999E-4</v>
      </c>
    </row>
    <row r="839" spans="1:52" ht="15" customHeight="1" x14ac:dyDescent="0.25">
      <c r="A839" s="13" t="e">
        <f>VLOOKUP(L839,[1]VALIDAÇÃO!$D$13:$E$350,2,0)</f>
        <v>#N/A</v>
      </c>
      <c r="B839" s="14" t="str">
        <f t="shared" si="156"/>
        <v>599</v>
      </c>
      <c r="C839" s="15">
        <f t="shared" si="167"/>
        <v>599</v>
      </c>
      <c r="D839" s="16" t="str">
        <f t="shared" si="157"/>
        <v>599</v>
      </c>
      <c r="E839" s="17">
        <f t="shared" si="160"/>
        <v>599</v>
      </c>
      <c r="F839" s="18" t="str">
        <f t="shared" si="158"/>
        <v>599</v>
      </c>
      <c r="G839" s="18">
        <f t="shared" si="161"/>
        <v>599</v>
      </c>
      <c r="H839" s="19" t="str">
        <f t="shared" si="159"/>
        <v>599</v>
      </c>
      <c r="I839" s="19">
        <f t="shared" si="162"/>
        <v>599</v>
      </c>
      <c r="J839" s="30"/>
      <c r="K839" s="30"/>
      <c r="L839" s="30"/>
      <c r="M839" s="30"/>
      <c r="N839" s="33"/>
      <c r="O839" s="30"/>
      <c r="P839" s="29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25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W839" s="27">
        <f t="shared" si="163"/>
        <v>8.3900000000000001E-4</v>
      </c>
      <c r="AX839" s="27">
        <f t="shared" si="164"/>
        <v>8.3900000000000001E-4</v>
      </c>
      <c r="AY839" s="27">
        <f t="shared" si="165"/>
        <v>8.3900000000000001E-4</v>
      </c>
      <c r="AZ839" s="27">
        <f t="shared" si="166"/>
        <v>8.3900000000000001E-4</v>
      </c>
    </row>
    <row r="840" spans="1:52" ht="15" customHeight="1" x14ac:dyDescent="0.25">
      <c r="A840" s="13" t="e">
        <f>VLOOKUP(L840,[1]VALIDAÇÃO!$D$13:$E$350,2,0)</f>
        <v>#N/A</v>
      </c>
      <c r="B840" s="14" t="str">
        <f t="shared" si="156"/>
        <v>598</v>
      </c>
      <c r="C840" s="15">
        <f t="shared" si="167"/>
        <v>598</v>
      </c>
      <c r="D840" s="16" t="str">
        <f t="shared" si="157"/>
        <v>598</v>
      </c>
      <c r="E840" s="17">
        <f t="shared" si="160"/>
        <v>598</v>
      </c>
      <c r="F840" s="18" t="str">
        <f t="shared" si="158"/>
        <v>598</v>
      </c>
      <c r="G840" s="18">
        <f t="shared" si="161"/>
        <v>598</v>
      </c>
      <c r="H840" s="19" t="str">
        <f t="shared" si="159"/>
        <v>598</v>
      </c>
      <c r="I840" s="19">
        <f t="shared" si="162"/>
        <v>598</v>
      </c>
      <c r="J840" s="30"/>
      <c r="K840" s="30"/>
      <c r="L840" s="30"/>
      <c r="M840" s="30"/>
      <c r="N840" s="33"/>
      <c r="O840" s="30"/>
      <c r="P840" s="29"/>
      <c r="Q840" s="29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25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W840" s="27">
        <f t="shared" si="163"/>
        <v>8.4000000000000003E-4</v>
      </c>
      <c r="AX840" s="27">
        <f t="shared" si="164"/>
        <v>8.4000000000000003E-4</v>
      </c>
      <c r="AY840" s="27">
        <f t="shared" si="165"/>
        <v>8.4000000000000003E-4</v>
      </c>
      <c r="AZ840" s="27">
        <f t="shared" si="166"/>
        <v>8.4000000000000003E-4</v>
      </c>
    </row>
    <row r="841" spans="1:52" ht="15" customHeight="1" x14ac:dyDescent="0.25">
      <c r="A841" s="13" t="e">
        <f>VLOOKUP(L841,[1]VALIDAÇÃO!$D$13:$E$350,2,0)</f>
        <v>#N/A</v>
      </c>
      <c r="B841" s="14" t="str">
        <f t="shared" si="156"/>
        <v>597</v>
      </c>
      <c r="C841" s="15">
        <f t="shared" si="167"/>
        <v>597</v>
      </c>
      <c r="D841" s="16" t="str">
        <f t="shared" si="157"/>
        <v>597</v>
      </c>
      <c r="E841" s="17">
        <f t="shared" si="160"/>
        <v>597</v>
      </c>
      <c r="F841" s="18" t="str">
        <f t="shared" si="158"/>
        <v>597</v>
      </c>
      <c r="G841" s="18">
        <f t="shared" si="161"/>
        <v>597</v>
      </c>
      <c r="H841" s="19" t="str">
        <f t="shared" si="159"/>
        <v>597</v>
      </c>
      <c r="I841" s="19">
        <f t="shared" si="162"/>
        <v>597</v>
      </c>
      <c r="J841" s="30"/>
      <c r="K841" s="30"/>
      <c r="L841" s="30"/>
      <c r="M841" s="30"/>
      <c r="N841" s="33"/>
      <c r="O841" s="30"/>
      <c r="P841" s="29"/>
      <c r="Q841" s="29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25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W841" s="27">
        <f t="shared" si="163"/>
        <v>8.4099999999999995E-4</v>
      </c>
      <c r="AX841" s="27">
        <f t="shared" si="164"/>
        <v>8.4099999999999995E-4</v>
      </c>
      <c r="AY841" s="27">
        <f t="shared" si="165"/>
        <v>8.4099999999999995E-4</v>
      </c>
      <c r="AZ841" s="27">
        <f t="shared" si="166"/>
        <v>8.4099999999999995E-4</v>
      </c>
    </row>
    <row r="842" spans="1:52" ht="15" customHeight="1" x14ac:dyDescent="0.25">
      <c r="A842" s="13" t="e">
        <f>VLOOKUP(L842,[1]VALIDAÇÃO!$D$13:$E$350,2,0)</f>
        <v>#N/A</v>
      </c>
      <c r="B842" s="14" t="str">
        <f t="shared" si="156"/>
        <v>596</v>
      </c>
      <c r="C842" s="15">
        <f t="shared" si="167"/>
        <v>596</v>
      </c>
      <c r="D842" s="16" t="str">
        <f t="shared" si="157"/>
        <v>596</v>
      </c>
      <c r="E842" s="17">
        <f t="shared" si="160"/>
        <v>596</v>
      </c>
      <c r="F842" s="18" t="str">
        <f t="shared" si="158"/>
        <v>596</v>
      </c>
      <c r="G842" s="18">
        <f t="shared" si="161"/>
        <v>596</v>
      </c>
      <c r="H842" s="19" t="str">
        <f t="shared" si="159"/>
        <v>596</v>
      </c>
      <c r="I842" s="19">
        <f t="shared" si="162"/>
        <v>596</v>
      </c>
      <c r="J842" s="30"/>
      <c r="K842" s="30"/>
      <c r="L842" s="30"/>
      <c r="M842" s="30"/>
      <c r="N842" s="33"/>
      <c r="O842" s="30"/>
      <c r="P842" s="29"/>
      <c r="Q842" s="29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25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W842" s="27">
        <f t="shared" si="163"/>
        <v>8.4199999999999998E-4</v>
      </c>
      <c r="AX842" s="27">
        <f t="shared" si="164"/>
        <v>8.4199999999999998E-4</v>
      </c>
      <c r="AY842" s="27">
        <f t="shared" si="165"/>
        <v>8.4199999999999998E-4</v>
      </c>
      <c r="AZ842" s="27">
        <f t="shared" si="166"/>
        <v>8.4199999999999998E-4</v>
      </c>
    </row>
    <row r="843" spans="1:52" ht="15" customHeight="1" x14ac:dyDescent="0.25">
      <c r="A843" s="13" t="e">
        <f>VLOOKUP(L843,[1]VALIDAÇÃO!$D$13:$E$350,2,0)</f>
        <v>#N/A</v>
      </c>
      <c r="B843" s="14" t="str">
        <f t="shared" si="156"/>
        <v>595</v>
      </c>
      <c r="C843" s="15">
        <f t="shared" si="167"/>
        <v>595</v>
      </c>
      <c r="D843" s="16" t="str">
        <f t="shared" si="157"/>
        <v>595</v>
      </c>
      <c r="E843" s="17">
        <f t="shared" si="160"/>
        <v>595</v>
      </c>
      <c r="F843" s="18" t="str">
        <f t="shared" si="158"/>
        <v>595</v>
      </c>
      <c r="G843" s="18">
        <f t="shared" si="161"/>
        <v>595</v>
      </c>
      <c r="H843" s="19" t="str">
        <f t="shared" si="159"/>
        <v>595</v>
      </c>
      <c r="I843" s="19">
        <f t="shared" si="162"/>
        <v>595</v>
      </c>
      <c r="J843" s="30"/>
      <c r="K843" s="30"/>
      <c r="L843" s="30"/>
      <c r="M843" s="30"/>
      <c r="N843" s="33"/>
      <c r="O843" s="30"/>
      <c r="P843" s="29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25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W843" s="27">
        <f t="shared" si="163"/>
        <v>8.43E-4</v>
      </c>
      <c r="AX843" s="27">
        <f t="shared" si="164"/>
        <v>8.43E-4</v>
      </c>
      <c r="AY843" s="27">
        <f t="shared" si="165"/>
        <v>8.43E-4</v>
      </c>
      <c r="AZ843" s="27">
        <f t="shared" si="166"/>
        <v>8.43E-4</v>
      </c>
    </row>
    <row r="844" spans="1:52" ht="15" customHeight="1" x14ac:dyDescent="0.25">
      <c r="A844" s="13" t="e">
        <f>VLOOKUP(L844,[1]VALIDAÇÃO!$D$13:$E$350,2,0)</f>
        <v>#N/A</v>
      </c>
      <c r="B844" s="14" t="str">
        <f t="shared" si="156"/>
        <v>594</v>
      </c>
      <c r="C844" s="15">
        <f t="shared" si="167"/>
        <v>594</v>
      </c>
      <c r="D844" s="16" t="str">
        <f t="shared" si="157"/>
        <v>594</v>
      </c>
      <c r="E844" s="17">
        <f t="shared" si="160"/>
        <v>594</v>
      </c>
      <c r="F844" s="18" t="str">
        <f t="shared" si="158"/>
        <v>594</v>
      </c>
      <c r="G844" s="18">
        <f t="shared" si="161"/>
        <v>594</v>
      </c>
      <c r="H844" s="19" t="str">
        <f t="shared" si="159"/>
        <v>594</v>
      </c>
      <c r="I844" s="19">
        <f t="shared" si="162"/>
        <v>594</v>
      </c>
      <c r="J844" s="30"/>
      <c r="K844" s="30"/>
      <c r="L844" s="30"/>
      <c r="M844" s="30"/>
      <c r="N844" s="33"/>
      <c r="O844" s="30"/>
      <c r="P844" s="29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25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W844" s="27">
        <f t="shared" si="163"/>
        <v>8.4400000000000002E-4</v>
      </c>
      <c r="AX844" s="27">
        <f t="shared" si="164"/>
        <v>8.4400000000000002E-4</v>
      </c>
      <c r="AY844" s="27">
        <f t="shared" si="165"/>
        <v>8.4400000000000002E-4</v>
      </c>
      <c r="AZ844" s="27">
        <f t="shared" si="166"/>
        <v>8.4400000000000002E-4</v>
      </c>
    </row>
    <row r="845" spans="1:52" ht="15" customHeight="1" x14ac:dyDescent="0.25">
      <c r="A845" s="13" t="e">
        <f>VLOOKUP(L845,[1]VALIDAÇÃO!$D$13:$E$350,2,0)</f>
        <v>#N/A</v>
      </c>
      <c r="B845" s="14" t="str">
        <f t="shared" si="156"/>
        <v>593</v>
      </c>
      <c r="C845" s="15">
        <f t="shared" si="167"/>
        <v>593</v>
      </c>
      <c r="D845" s="16" t="str">
        <f t="shared" si="157"/>
        <v>593</v>
      </c>
      <c r="E845" s="17">
        <f t="shared" si="160"/>
        <v>593</v>
      </c>
      <c r="F845" s="18" t="str">
        <f t="shared" si="158"/>
        <v>593</v>
      </c>
      <c r="G845" s="18">
        <f t="shared" si="161"/>
        <v>593</v>
      </c>
      <c r="H845" s="19" t="str">
        <f t="shared" si="159"/>
        <v>593</v>
      </c>
      <c r="I845" s="19">
        <f t="shared" si="162"/>
        <v>593</v>
      </c>
      <c r="J845" s="30"/>
      <c r="K845" s="30"/>
      <c r="L845" s="30"/>
      <c r="M845" s="30"/>
      <c r="N845" s="33"/>
      <c r="O845" s="30"/>
      <c r="P845" s="29"/>
      <c r="Q845" s="29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25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W845" s="27">
        <f t="shared" si="163"/>
        <v>8.4500000000000005E-4</v>
      </c>
      <c r="AX845" s="27">
        <f t="shared" si="164"/>
        <v>8.4500000000000005E-4</v>
      </c>
      <c r="AY845" s="27">
        <f t="shared" si="165"/>
        <v>8.4500000000000005E-4</v>
      </c>
      <c r="AZ845" s="27">
        <f t="shared" si="166"/>
        <v>8.4500000000000005E-4</v>
      </c>
    </row>
    <row r="846" spans="1:52" ht="15" customHeight="1" x14ac:dyDescent="0.25">
      <c r="A846" s="13" t="e">
        <f>VLOOKUP(L846,[1]VALIDAÇÃO!$D$13:$E$350,2,0)</f>
        <v>#N/A</v>
      </c>
      <c r="B846" s="14" t="str">
        <f t="shared" si="156"/>
        <v>592</v>
      </c>
      <c r="C846" s="15">
        <f t="shared" si="167"/>
        <v>592</v>
      </c>
      <c r="D846" s="16" t="str">
        <f t="shared" si="157"/>
        <v>592</v>
      </c>
      <c r="E846" s="17">
        <f t="shared" si="160"/>
        <v>592</v>
      </c>
      <c r="F846" s="18" t="str">
        <f t="shared" si="158"/>
        <v>592</v>
      </c>
      <c r="G846" s="18">
        <f t="shared" si="161"/>
        <v>592</v>
      </c>
      <c r="H846" s="19" t="str">
        <f t="shared" si="159"/>
        <v>592</v>
      </c>
      <c r="I846" s="19">
        <f t="shared" si="162"/>
        <v>592</v>
      </c>
      <c r="J846" s="30"/>
      <c r="K846" s="30"/>
      <c r="L846" s="30"/>
      <c r="M846" s="30"/>
      <c r="N846" s="33"/>
      <c r="O846" s="30"/>
      <c r="P846" s="29"/>
      <c r="Q846" s="29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25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W846" s="27">
        <f t="shared" si="163"/>
        <v>8.4599999999999996E-4</v>
      </c>
      <c r="AX846" s="27">
        <f t="shared" si="164"/>
        <v>8.4599999999999996E-4</v>
      </c>
      <c r="AY846" s="27">
        <f t="shared" si="165"/>
        <v>8.4599999999999996E-4</v>
      </c>
      <c r="AZ846" s="27">
        <f t="shared" si="166"/>
        <v>8.4599999999999996E-4</v>
      </c>
    </row>
    <row r="847" spans="1:52" ht="15" customHeight="1" x14ac:dyDescent="0.25">
      <c r="A847" s="13" t="e">
        <f>VLOOKUP(L847,[1]VALIDAÇÃO!$D$13:$E$350,2,0)</f>
        <v>#N/A</v>
      </c>
      <c r="B847" s="14" t="str">
        <f t="shared" si="156"/>
        <v>591</v>
      </c>
      <c r="C847" s="15">
        <f t="shared" si="167"/>
        <v>591</v>
      </c>
      <c r="D847" s="16" t="str">
        <f t="shared" si="157"/>
        <v>591</v>
      </c>
      <c r="E847" s="17">
        <f t="shared" si="160"/>
        <v>591</v>
      </c>
      <c r="F847" s="18" t="str">
        <f t="shared" si="158"/>
        <v>591</v>
      </c>
      <c r="G847" s="18">
        <f t="shared" si="161"/>
        <v>591</v>
      </c>
      <c r="H847" s="19" t="str">
        <f t="shared" si="159"/>
        <v>591</v>
      </c>
      <c r="I847" s="19">
        <f t="shared" si="162"/>
        <v>591</v>
      </c>
      <c r="J847" s="30"/>
      <c r="K847" s="30"/>
      <c r="L847" s="30"/>
      <c r="M847" s="30"/>
      <c r="N847" s="33"/>
      <c r="O847" s="30"/>
      <c r="P847" s="29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25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W847" s="27">
        <f t="shared" si="163"/>
        <v>8.4699999999999999E-4</v>
      </c>
      <c r="AX847" s="27">
        <f t="shared" si="164"/>
        <v>8.4699999999999999E-4</v>
      </c>
      <c r="AY847" s="27">
        <f t="shared" si="165"/>
        <v>8.4699999999999999E-4</v>
      </c>
      <c r="AZ847" s="27">
        <f t="shared" si="166"/>
        <v>8.4699999999999999E-4</v>
      </c>
    </row>
    <row r="848" spans="1:52" ht="15" customHeight="1" x14ac:dyDescent="0.25">
      <c r="A848" s="13" t="e">
        <f>VLOOKUP(L848,[1]VALIDAÇÃO!$D$13:$E$350,2,0)</f>
        <v>#N/A</v>
      </c>
      <c r="B848" s="14" t="str">
        <f t="shared" si="156"/>
        <v>590</v>
      </c>
      <c r="C848" s="15">
        <f t="shared" si="167"/>
        <v>590</v>
      </c>
      <c r="D848" s="16" t="str">
        <f t="shared" si="157"/>
        <v>590</v>
      </c>
      <c r="E848" s="17">
        <f t="shared" si="160"/>
        <v>590</v>
      </c>
      <c r="F848" s="18" t="str">
        <f t="shared" si="158"/>
        <v>590</v>
      </c>
      <c r="G848" s="18">
        <f t="shared" si="161"/>
        <v>590</v>
      </c>
      <c r="H848" s="19" t="str">
        <f t="shared" si="159"/>
        <v>590</v>
      </c>
      <c r="I848" s="19">
        <f t="shared" si="162"/>
        <v>590</v>
      </c>
      <c r="J848" s="30"/>
      <c r="K848" s="30"/>
      <c r="L848" s="30"/>
      <c r="M848" s="30"/>
      <c r="N848" s="33"/>
      <c r="O848" s="30"/>
      <c r="P848" s="29"/>
      <c r="Q848" s="29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25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W848" s="27">
        <f t="shared" si="163"/>
        <v>8.4800000000000001E-4</v>
      </c>
      <c r="AX848" s="27">
        <f t="shared" si="164"/>
        <v>8.4800000000000001E-4</v>
      </c>
      <c r="AY848" s="27">
        <f t="shared" si="165"/>
        <v>8.4800000000000001E-4</v>
      </c>
      <c r="AZ848" s="27">
        <f t="shared" si="166"/>
        <v>8.4800000000000001E-4</v>
      </c>
    </row>
    <row r="849" spans="1:52" ht="15" customHeight="1" x14ac:dyDescent="0.25">
      <c r="A849" s="13" t="e">
        <f>VLOOKUP(L849,[1]VALIDAÇÃO!$D$13:$E$350,2,0)</f>
        <v>#N/A</v>
      </c>
      <c r="B849" s="14" t="str">
        <f t="shared" si="156"/>
        <v>589</v>
      </c>
      <c r="C849" s="15">
        <f t="shared" si="167"/>
        <v>589</v>
      </c>
      <c r="D849" s="16" t="str">
        <f t="shared" si="157"/>
        <v>589</v>
      </c>
      <c r="E849" s="17">
        <f t="shared" si="160"/>
        <v>589</v>
      </c>
      <c r="F849" s="18" t="str">
        <f t="shared" si="158"/>
        <v>589</v>
      </c>
      <c r="G849" s="18">
        <f t="shared" si="161"/>
        <v>589</v>
      </c>
      <c r="H849" s="19" t="str">
        <f t="shared" si="159"/>
        <v>589</v>
      </c>
      <c r="I849" s="19">
        <f t="shared" si="162"/>
        <v>589</v>
      </c>
      <c r="J849" s="30"/>
      <c r="K849" s="30"/>
      <c r="L849" s="30"/>
      <c r="M849" s="30"/>
      <c r="N849" s="33"/>
      <c r="O849" s="30"/>
      <c r="P849" s="29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25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W849" s="27">
        <f t="shared" si="163"/>
        <v>8.4900000000000004E-4</v>
      </c>
      <c r="AX849" s="27">
        <f t="shared" si="164"/>
        <v>8.4900000000000004E-4</v>
      </c>
      <c r="AY849" s="27">
        <f t="shared" si="165"/>
        <v>8.4900000000000004E-4</v>
      </c>
      <c r="AZ849" s="27">
        <f t="shared" si="166"/>
        <v>8.4900000000000004E-4</v>
      </c>
    </row>
    <row r="850" spans="1:52" ht="15" customHeight="1" x14ac:dyDescent="0.25">
      <c r="A850" s="13" t="e">
        <f>VLOOKUP(L850,[1]VALIDAÇÃO!$D$13:$E$350,2,0)</f>
        <v>#N/A</v>
      </c>
      <c r="B850" s="14" t="str">
        <f t="shared" si="156"/>
        <v>588</v>
      </c>
      <c r="C850" s="15">
        <f t="shared" si="167"/>
        <v>588</v>
      </c>
      <c r="D850" s="16" t="str">
        <f t="shared" si="157"/>
        <v>588</v>
      </c>
      <c r="E850" s="17">
        <f t="shared" si="160"/>
        <v>588</v>
      </c>
      <c r="F850" s="18" t="str">
        <f t="shared" si="158"/>
        <v>588</v>
      </c>
      <c r="G850" s="18">
        <f t="shared" si="161"/>
        <v>588</v>
      </c>
      <c r="H850" s="19" t="str">
        <f t="shared" si="159"/>
        <v>588</v>
      </c>
      <c r="I850" s="19">
        <f t="shared" si="162"/>
        <v>588</v>
      </c>
      <c r="J850" s="30"/>
      <c r="K850" s="30"/>
      <c r="L850" s="30"/>
      <c r="M850" s="30"/>
      <c r="N850" s="33"/>
      <c r="O850" s="30"/>
      <c r="P850" s="29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25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W850" s="27">
        <f t="shared" si="163"/>
        <v>8.4999999999999995E-4</v>
      </c>
      <c r="AX850" s="27">
        <f t="shared" si="164"/>
        <v>8.4999999999999995E-4</v>
      </c>
      <c r="AY850" s="27">
        <f t="shared" si="165"/>
        <v>8.4999999999999995E-4</v>
      </c>
      <c r="AZ850" s="27">
        <f t="shared" si="166"/>
        <v>8.4999999999999995E-4</v>
      </c>
    </row>
    <row r="851" spans="1:52" ht="15" customHeight="1" x14ac:dyDescent="0.25">
      <c r="A851" s="13" t="e">
        <f>VLOOKUP(L851,[1]VALIDAÇÃO!$D$13:$E$350,2,0)</f>
        <v>#N/A</v>
      </c>
      <c r="B851" s="14" t="str">
        <f t="shared" si="156"/>
        <v>587</v>
      </c>
      <c r="C851" s="15">
        <f t="shared" si="167"/>
        <v>587</v>
      </c>
      <c r="D851" s="16" t="str">
        <f t="shared" si="157"/>
        <v>587</v>
      </c>
      <c r="E851" s="17">
        <f t="shared" si="160"/>
        <v>587</v>
      </c>
      <c r="F851" s="18" t="str">
        <f t="shared" si="158"/>
        <v>587</v>
      </c>
      <c r="G851" s="18">
        <f t="shared" si="161"/>
        <v>587</v>
      </c>
      <c r="H851" s="19" t="str">
        <f t="shared" si="159"/>
        <v>587</v>
      </c>
      <c r="I851" s="19">
        <f t="shared" si="162"/>
        <v>587</v>
      </c>
      <c r="J851" s="30"/>
      <c r="K851" s="30"/>
      <c r="L851" s="30"/>
      <c r="M851" s="30"/>
      <c r="N851" s="33"/>
      <c r="O851" s="30"/>
      <c r="P851" s="29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25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W851" s="27">
        <f t="shared" si="163"/>
        <v>8.5099999999999998E-4</v>
      </c>
      <c r="AX851" s="27">
        <f t="shared" si="164"/>
        <v>8.5099999999999998E-4</v>
      </c>
      <c r="AY851" s="27">
        <f t="shared" si="165"/>
        <v>8.5099999999999998E-4</v>
      </c>
      <c r="AZ851" s="27">
        <f t="shared" si="166"/>
        <v>8.5099999999999998E-4</v>
      </c>
    </row>
    <row r="852" spans="1:52" ht="15" customHeight="1" x14ac:dyDescent="0.25">
      <c r="A852" s="13" t="e">
        <f>VLOOKUP(L852,[1]VALIDAÇÃO!$D$13:$E$350,2,0)</f>
        <v>#N/A</v>
      </c>
      <c r="B852" s="14" t="str">
        <f t="shared" ref="B852:B915" si="168">C852&amp;J852</f>
        <v>586</v>
      </c>
      <c r="C852" s="15">
        <f t="shared" si="167"/>
        <v>586</v>
      </c>
      <c r="D852" s="16" t="str">
        <f t="shared" ref="D852:D915" si="169">E852&amp;J852</f>
        <v>586</v>
      </c>
      <c r="E852" s="17">
        <f t="shared" si="160"/>
        <v>586</v>
      </c>
      <c r="F852" s="18" t="str">
        <f t="shared" ref="F852:F915" si="170">G852&amp;J852</f>
        <v>586</v>
      </c>
      <c r="G852" s="18">
        <f t="shared" si="161"/>
        <v>586</v>
      </c>
      <c r="H852" s="19" t="str">
        <f t="shared" ref="H852:H915" si="171">I852&amp;J852</f>
        <v>586</v>
      </c>
      <c r="I852" s="19">
        <f t="shared" si="162"/>
        <v>586</v>
      </c>
      <c r="J852" s="30"/>
      <c r="K852" s="30"/>
      <c r="L852" s="30"/>
      <c r="M852" s="30"/>
      <c r="N852" s="33"/>
      <c r="O852" s="30"/>
      <c r="P852" s="29"/>
      <c r="Q852" s="29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25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W852" s="27">
        <f t="shared" si="163"/>
        <v>8.52E-4</v>
      </c>
      <c r="AX852" s="27">
        <f t="shared" si="164"/>
        <v>8.52E-4</v>
      </c>
      <c r="AY852" s="27">
        <f t="shared" si="165"/>
        <v>8.52E-4</v>
      </c>
      <c r="AZ852" s="27">
        <f t="shared" si="166"/>
        <v>8.52E-4</v>
      </c>
    </row>
    <row r="853" spans="1:52" ht="15" customHeight="1" x14ac:dyDescent="0.25">
      <c r="A853" s="13" t="e">
        <f>VLOOKUP(L853,[1]VALIDAÇÃO!$D$13:$E$350,2,0)</f>
        <v>#N/A</v>
      </c>
      <c r="B853" s="14" t="str">
        <f t="shared" si="168"/>
        <v>585</v>
      </c>
      <c r="C853" s="15">
        <f t="shared" si="167"/>
        <v>585</v>
      </c>
      <c r="D853" s="16" t="str">
        <f t="shared" si="169"/>
        <v>585</v>
      </c>
      <c r="E853" s="17">
        <f t="shared" si="160"/>
        <v>585</v>
      </c>
      <c r="F853" s="18" t="str">
        <f t="shared" si="170"/>
        <v>585</v>
      </c>
      <c r="G853" s="18">
        <f t="shared" si="161"/>
        <v>585</v>
      </c>
      <c r="H853" s="19" t="str">
        <f t="shared" si="171"/>
        <v>585</v>
      </c>
      <c r="I853" s="19">
        <f t="shared" si="162"/>
        <v>585</v>
      </c>
      <c r="J853" s="30"/>
      <c r="K853" s="30"/>
      <c r="L853" s="30"/>
      <c r="M853" s="30"/>
      <c r="N853" s="33"/>
      <c r="O853" s="30"/>
      <c r="P853" s="29"/>
      <c r="Q853" s="29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25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W853" s="27">
        <f t="shared" si="163"/>
        <v>8.5300000000000003E-4</v>
      </c>
      <c r="AX853" s="27">
        <f t="shared" si="164"/>
        <v>8.5300000000000003E-4</v>
      </c>
      <c r="AY853" s="27">
        <f t="shared" si="165"/>
        <v>8.5300000000000003E-4</v>
      </c>
      <c r="AZ853" s="27">
        <f t="shared" si="166"/>
        <v>8.5300000000000003E-4</v>
      </c>
    </row>
    <row r="854" spans="1:52" ht="15" customHeight="1" x14ac:dyDescent="0.25">
      <c r="A854" s="13" t="e">
        <f>VLOOKUP(L854,[1]VALIDAÇÃO!$D$13:$E$350,2,0)</f>
        <v>#N/A</v>
      </c>
      <c r="B854" s="14" t="str">
        <f t="shared" si="168"/>
        <v>584</v>
      </c>
      <c r="C854" s="15">
        <f t="shared" si="167"/>
        <v>584</v>
      </c>
      <c r="D854" s="16" t="str">
        <f t="shared" si="169"/>
        <v>584</v>
      </c>
      <c r="E854" s="17">
        <f t="shared" si="160"/>
        <v>584</v>
      </c>
      <c r="F854" s="18" t="str">
        <f t="shared" si="170"/>
        <v>584</v>
      </c>
      <c r="G854" s="18">
        <f t="shared" si="161"/>
        <v>584</v>
      </c>
      <c r="H854" s="19" t="str">
        <f t="shared" si="171"/>
        <v>584</v>
      </c>
      <c r="I854" s="19">
        <f t="shared" si="162"/>
        <v>584</v>
      </c>
      <c r="J854" s="30"/>
      <c r="K854" s="30"/>
      <c r="L854" s="30"/>
      <c r="M854" s="30"/>
      <c r="N854" s="33"/>
      <c r="O854" s="30"/>
      <c r="P854" s="29"/>
      <c r="Q854" s="29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25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W854" s="27">
        <f t="shared" si="163"/>
        <v>8.5400000000000005E-4</v>
      </c>
      <c r="AX854" s="27">
        <f t="shared" si="164"/>
        <v>8.5400000000000005E-4</v>
      </c>
      <c r="AY854" s="27">
        <f t="shared" si="165"/>
        <v>8.5400000000000005E-4</v>
      </c>
      <c r="AZ854" s="27">
        <f t="shared" si="166"/>
        <v>8.5400000000000005E-4</v>
      </c>
    </row>
    <row r="855" spans="1:52" ht="15" customHeight="1" x14ac:dyDescent="0.25">
      <c r="A855" s="13" t="e">
        <f>VLOOKUP(L855,[1]VALIDAÇÃO!$D$13:$E$350,2,0)</f>
        <v>#N/A</v>
      </c>
      <c r="B855" s="14" t="str">
        <f t="shared" si="168"/>
        <v>583</v>
      </c>
      <c r="C855" s="15">
        <f t="shared" si="167"/>
        <v>583</v>
      </c>
      <c r="D855" s="16" t="str">
        <f t="shared" si="169"/>
        <v>583</v>
      </c>
      <c r="E855" s="17">
        <f t="shared" si="160"/>
        <v>583</v>
      </c>
      <c r="F855" s="18" t="str">
        <f t="shared" si="170"/>
        <v>583</v>
      </c>
      <c r="G855" s="18">
        <f t="shared" si="161"/>
        <v>583</v>
      </c>
      <c r="H855" s="19" t="str">
        <f t="shared" si="171"/>
        <v>583</v>
      </c>
      <c r="I855" s="19">
        <f t="shared" si="162"/>
        <v>583</v>
      </c>
      <c r="J855" s="30"/>
      <c r="K855" s="30"/>
      <c r="L855" s="30"/>
      <c r="M855" s="30"/>
      <c r="N855" s="33"/>
      <c r="O855" s="30"/>
      <c r="P855" s="29"/>
      <c r="Q855" s="29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25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W855" s="27">
        <f t="shared" si="163"/>
        <v>8.5499999999999997E-4</v>
      </c>
      <c r="AX855" s="27">
        <f t="shared" si="164"/>
        <v>8.5499999999999997E-4</v>
      </c>
      <c r="AY855" s="27">
        <f t="shared" si="165"/>
        <v>8.5499999999999997E-4</v>
      </c>
      <c r="AZ855" s="27">
        <f t="shared" si="166"/>
        <v>8.5499999999999997E-4</v>
      </c>
    </row>
    <row r="856" spans="1:52" ht="15" customHeight="1" x14ac:dyDescent="0.25">
      <c r="A856" s="13" t="e">
        <f>VLOOKUP(L856,[1]VALIDAÇÃO!$D$13:$E$350,2,0)</f>
        <v>#N/A</v>
      </c>
      <c r="B856" s="14" t="str">
        <f t="shared" si="168"/>
        <v>582</v>
      </c>
      <c r="C856" s="15">
        <f t="shared" si="167"/>
        <v>582</v>
      </c>
      <c r="D856" s="16" t="str">
        <f t="shared" si="169"/>
        <v>582</v>
      </c>
      <c r="E856" s="17">
        <f t="shared" si="160"/>
        <v>582</v>
      </c>
      <c r="F856" s="18" t="str">
        <f t="shared" si="170"/>
        <v>582</v>
      </c>
      <c r="G856" s="18">
        <f t="shared" si="161"/>
        <v>582</v>
      </c>
      <c r="H856" s="19" t="str">
        <f t="shared" si="171"/>
        <v>582</v>
      </c>
      <c r="I856" s="19">
        <f t="shared" si="162"/>
        <v>582</v>
      </c>
      <c r="J856" s="30"/>
      <c r="K856" s="30"/>
      <c r="L856" s="30"/>
      <c r="M856" s="30"/>
      <c r="N856" s="33"/>
      <c r="O856" s="30"/>
      <c r="P856" s="29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25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W856" s="27">
        <f t="shared" si="163"/>
        <v>8.5599999999999999E-4</v>
      </c>
      <c r="AX856" s="27">
        <f t="shared" si="164"/>
        <v>8.5599999999999999E-4</v>
      </c>
      <c r="AY856" s="27">
        <f t="shared" si="165"/>
        <v>8.5599999999999999E-4</v>
      </c>
      <c r="AZ856" s="27">
        <f t="shared" si="166"/>
        <v>8.5599999999999999E-4</v>
      </c>
    </row>
    <row r="857" spans="1:52" ht="15" customHeight="1" x14ac:dyDescent="0.25">
      <c r="A857" s="13" t="e">
        <f>VLOOKUP(L857,[1]VALIDAÇÃO!$D$13:$E$350,2,0)</f>
        <v>#N/A</v>
      </c>
      <c r="B857" s="14" t="str">
        <f t="shared" si="168"/>
        <v>581</v>
      </c>
      <c r="C857" s="15">
        <f t="shared" si="167"/>
        <v>581</v>
      </c>
      <c r="D857" s="16" t="str">
        <f t="shared" si="169"/>
        <v>581</v>
      </c>
      <c r="E857" s="17">
        <f t="shared" si="160"/>
        <v>581</v>
      </c>
      <c r="F857" s="18" t="str">
        <f t="shared" si="170"/>
        <v>581</v>
      </c>
      <c r="G857" s="18">
        <f t="shared" si="161"/>
        <v>581</v>
      </c>
      <c r="H857" s="19" t="str">
        <f t="shared" si="171"/>
        <v>581</v>
      </c>
      <c r="I857" s="19">
        <f t="shared" si="162"/>
        <v>581</v>
      </c>
      <c r="J857" s="30"/>
      <c r="K857" s="30"/>
      <c r="L857" s="30"/>
      <c r="M857" s="30"/>
      <c r="N857" s="33"/>
      <c r="O857" s="30"/>
      <c r="P857" s="29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25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W857" s="27">
        <f t="shared" si="163"/>
        <v>8.5700000000000001E-4</v>
      </c>
      <c r="AX857" s="27">
        <f t="shared" si="164"/>
        <v>8.5700000000000001E-4</v>
      </c>
      <c r="AY857" s="27">
        <f t="shared" si="165"/>
        <v>8.5700000000000001E-4</v>
      </c>
      <c r="AZ857" s="27">
        <f t="shared" si="166"/>
        <v>8.5700000000000001E-4</v>
      </c>
    </row>
    <row r="858" spans="1:52" ht="15" customHeight="1" x14ac:dyDescent="0.25">
      <c r="A858" s="13" t="e">
        <f>VLOOKUP(L858,[1]VALIDAÇÃO!$D$13:$E$350,2,0)</f>
        <v>#N/A</v>
      </c>
      <c r="B858" s="14" t="str">
        <f t="shared" si="168"/>
        <v>580</v>
      </c>
      <c r="C858" s="15">
        <f t="shared" si="167"/>
        <v>580</v>
      </c>
      <c r="D858" s="16" t="str">
        <f t="shared" si="169"/>
        <v>580</v>
      </c>
      <c r="E858" s="17">
        <f t="shared" si="160"/>
        <v>580</v>
      </c>
      <c r="F858" s="18" t="str">
        <f t="shared" si="170"/>
        <v>580</v>
      </c>
      <c r="G858" s="18">
        <f t="shared" si="161"/>
        <v>580</v>
      </c>
      <c r="H858" s="19" t="str">
        <f t="shared" si="171"/>
        <v>580</v>
      </c>
      <c r="I858" s="19">
        <f t="shared" si="162"/>
        <v>580</v>
      </c>
      <c r="J858" s="30"/>
      <c r="K858" s="30"/>
      <c r="L858" s="30"/>
      <c r="M858" s="30"/>
      <c r="N858" s="33"/>
      <c r="O858" s="30"/>
      <c r="P858" s="29"/>
      <c r="Q858" s="29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25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W858" s="27">
        <f t="shared" si="163"/>
        <v>8.5800000000000004E-4</v>
      </c>
      <c r="AX858" s="27">
        <f t="shared" si="164"/>
        <v>8.5800000000000004E-4</v>
      </c>
      <c r="AY858" s="27">
        <f t="shared" si="165"/>
        <v>8.5800000000000004E-4</v>
      </c>
      <c r="AZ858" s="27">
        <f t="shared" si="166"/>
        <v>8.5800000000000004E-4</v>
      </c>
    </row>
    <row r="859" spans="1:52" ht="15" customHeight="1" x14ac:dyDescent="0.25">
      <c r="A859" s="13" t="e">
        <f>VLOOKUP(L859,[1]VALIDAÇÃO!$D$13:$E$350,2,0)</f>
        <v>#N/A</v>
      </c>
      <c r="B859" s="14" t="str">
        <f t="shared" si="168"/>
        <v>579</v>
      </c>
      <c r="C859" s="15">
        <f t="shared" si="167"/>
        <v>579</v>
      </c>
      <c r="D859" s="16" t="str">
        <f t="shared" si="169"/>
        <v>579</v>
      </c>
      <c r="E859" s="17">
        <f t="shared" si="160"/>
        <v>579</v>
      </c>
      <c r="F859" s="18" t="str">
        <f t="shared" si="170"/>
        <v>579</v>
      </c>
      <c r="G859" s="18">
        <f t="shared" si="161"/>
        <v>579</v>
      </c>
      <c r="H859" s="19" t="str">
        <f t="shared" si="171"/>
        <v>579</v>
      </c>
      <c r="I859" s="19">
        <f t="shared" si="162"/>
        <v>579</v>
      </c>
      <c r="J859" s="30"/>
      <c r="K859" s="30"/>
      <c r="L859" s="30"/>
      <c r="M859" s="30"/>
      <c r="N859" s="33"/>
      <c r="O859" s="30"/>
      <c r="P859" s="29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25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W859" s="27">
        <f t="shared" si="163"/>
        <v>8.5899999999999995E-4</v>
      </c>
      <c r="AX859" s="27">
        <f t="shared" si="164"/>
        <v>8.5899999999999995E-4</v>
      </c>
      <c r="AY859" s="27">
        <f t="shared" si="165"/>
        <v>8.5899999999999995E-4</v>
      </c>
      <c r="AZ859" s="27">
        <f t="shared" si="166"/>
        <v>8.5899999999999995E-4</v>
      </c>
    </row>
    <row r="860" spans="1:52" ht="15" customHeight="1" x14ac:dyDescent="0.25">
      <c r="A860" s="13" t="e">
        <f>VLOOKUP(L860,[1]VALIDAÇÃO!$D$13:$E$350,2,0)</f>
        <v>#N/A</v>
      </c>
      <c r="B860" s="14" t="str">
        <f t="shared" si="168"/>
        <v>578</v>
      </c>
      <c r="C860" s="15">
        <f t="shared" si="167"/>
        <v>578</v>
      </c>
      <c r="D860" s="16" t="str">
        <f t="shared" si="169"/>
        <v>578</v>
      </c>
      <c r="E860" s="17">
        <f t="shared" si="160"/>
        <v>578</v>
      </c>
      <c r="F860" s="18" t="str">
        <f t="shared" si="170"/>
        <v>578</v>
      </c>
      <c r="G860" s="18">
        <f t="shared" si="161"/>
        <v>578</v>
      </c>
      <c r="H860" s="19" t="str">
        <f t="shared" si="171"/>
        <v>578</v>
      </c>
      <c r="I860" s="19">
        <f t="shared" si="162"/>
        <v>578</v>
      </c>
      <c r="J860" s="30"/>
      <c r="K860" s="30"/>
      <c r="L860" s="30"/>
      <c r="M860" s="30"/>
      <c r="N860" s="33"/>
      <c r="O860" s="30"/>
      <c r="P860" s="29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25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W860" s="27">
        <f t="shared" si="163"/>
        <v>8.5999999999999998E-4</v>
      </c>
      <c r="AX860" s="27">
        <f t="shared" si="164"/>
        <v>8.5999999999999998E-4</v>
      </c>
      <c r="AY860" s="27">
        <f t="shared" si="165"/>
        <v>8.5999999999999998E-4</v>
      </c>
      <c r="AZ860" s="27">
        <f t="shared" si="166"/>
        <v>8.5999999999999998E-4</v>
      </c>
    </row>
    <row r="861" spans="1:52" ht="15" customHeight="1" x14ac:dyDescent="0.25">
      <c r="A861" s="13" t="e">
        <f>VLOOKUP(L861,[1]VALIDAÇÃO!$D$13:$E$350,2,0)</f>
        <v>#N/A</v>
      </c>
      <c r="B861" s="14" t="str">
        <f t="shared" si="168"/>
        <v>577</v>
      </c>
      <c r="C861" s="15">
        <f t="shared" si="167"/>
        <v>577</v>
      </c>
      <c r="D861" s="16" t="str">
        <f t="shared" si="169"/>
        <v>577</v>
      </c>
      <c r="E861" s="17">
        <f t="shared" si="160"/>
        <v>577</v>
      </c>
      <c r="F861" s="18" t="str">
        <f t="shared" si="170"/>
        <v>577</v>
      </c>
      <c r="G861" s="18">
        <f t="shared" si="161"/>
        <v>577</v>
      </c>
      <c r="H861" s="19" t="str">
        <f t="shared" si="171"/>
        <v>577</v>
      </c>
      <c r="I861" s="19">
        <f t="shared" si="162"/>
        <v>577</v>
      </c>
      <c r="J861" s="30"/>
      <c r="K861" s="30"/>
      <c r="L861" s="30"/>
      <c r="M861" s="30"/>
      <c r="N861" s="33"/>
      <c r="O861" s="30"/>
      <c r="P861" s="29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25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W861" s="27">
        <f t="shared" si="163"/>
        <v>8.61E-4</v>
      </c>
      <c r="AX861" s="27">
        <f t="shared" si="164"/>
        <v>8.61E-4</v>
      </c>
      <c r="AY861" s="27">
        <f t="shared" si="165"/>
        <v>8.61E-4</v>
      </c>
      <c r="AZ861" s="27">
        <f t="shared" si="166"/>
        <v>8.61E-4</v>
      </c>
    </row>
    <row r="862" spans="1:52" ht="15" customHeight="1" x14ac:dyDescent="0.25">
      <c r="A862" s="13" t="e">
        <f>VLOOKUP(L862,[1]VALIDAÇÃO!$D$13:$E$350,2,0)</f>
        <v>#N/A</v>
      </c>
      <c r="B862" s="14" t="str">
        <f t="shared" si="168"/>
        <v>576</v>
      </c>
      <c r="C862" s="15">
        <f t="shared" si="167"/>
        <v>576</v>
      </c>
      <c r="D862" s="16" t="str">
        <f t="shared" si="169"/>
        <v>576</v>
      </c>
      <c r="E862" s="17">
        <f t="shared" si="160"/>
        <v>576</v>
      </c>
      <c r="F862" s="18" t="str">
        <f t="shared" si="170"/>
        <v>576</v>
      </c>
      <c r="G862" s="18">
        <f t="shared" si="161"/>
        <v>576</v>
      </c>
      <c r="H862" s="19" t="str">
        <f t="shared" si="171"/>
        <v>576</v>
      </c>
      <c r="I862" s="19">
        <f t="shared" si="162"/>
        <v>576</v>
      </c>
      <c r="J862" s="30"/>
      <c r="K862" s="30"/>
      <c r="L862" s="30"/>
      <c r="M862" s="30"/>
      <c r="N862" s="33"/>
      <c r="O862" s="30"/>
      <c r="P862" s="29"/>
      <c r="Q862" s="29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25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W862" s="27">
        <f t="shared" si="163"/>
        <v>8.6200000000000003E-4</v>
      </c>
      <c r="AX862" s="27">
        <f t="shared" si="164"/>
        <v>8.6200000000000003E-4</v>
      </c>
      <c r="AY862" s="27">
        <f t="shared" si="165"/>
        <v>8.6200000000000003E-4</v>
      </c>
      <c r="AZ862" s="27">
        <f t="shared" si="166"/>
        <v>8.6200000000000003E-4</v>
      </c>
    </row>
    <row r="863" spans="1:52" ht="15" customHeight="1" x14ac:dyDescent="0.25">
      <c r="A863" s="13" t="e">
        <f>VLOOKUP(L863,[1]VALIDAÇÃO!$D$13:$E$350,2,0)</f>
        <v>#N/A</v>
      </c>
      <c r="B863" s="14" t="str">
        <f t="shared" si="168"/>
        <v>575</v>
      </c>
      <c r="C863" s="15">
        <f t="shared" si="167"/>
        <v>575</v>
      </c>
      <c r="D863" s="16" t="str">
        <f t="shared" si="169"/>
        <v>575</v>
      </c>
      <c r="E863" s="17">
        <f t="shared" si="160"/>
        <v>575</v>
      </c>
      <c r="F863" s="18" t="str">
        <f t="shared" si="170"/>
        <v>575</v>
      </c>
      <c r="G863" s="18">
        <f t="shared" si="161"/>
        <v>575</v>
      </c>
      <c r="H863" s="19" t="str">
        <f t="shared" si="171"/>
        <v>575</v>
      </c>
      <c r="I863" s="19">
        <f t="shared" si="162"/>
        <v>575</v>
      </c>
      <c r="J863" s="30"/>
      <c r="K863" s="30"/>
      <c r="L863" s="30"/>
      <c r="M863" s="30"/>
      <c r="N863" s="33"/>
      <c r="O863" s="30"/>
      <c r="P863" s="29"/>
      <c r="Q863" s="29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25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W863" s="27">
        <f t="shared" si="163"/>
        <v>8.6300000000000005E-4</v>
      </c>
      <c r="AX863" s="27">
        <f t="shared" si="164"/>
        <v>8.6300000000000005E-4</v>
      </c>
      <c r="AY863" s="27">
        <f t="shared" si="165"/>
        <v>8.6300000000000005E-4</v>
      </c>
      <c r="AZ863" s="27">
        <f t="shared" si="166"/>
        <v>8.6300000000000005E-4</v>
      </c>
    </row>
    <row r="864" spans="1:52" ht="15" customHeight="1" x14ac:dyDescent="0.25">
      <c r="A864" s="13" t="e">
        <f>VLOOKUP(L864,[1]VALIDAÇÃO!$D$13:$E$350,2,0)</f>
        <v>#N/A</v>
      </c>
      <c r="B864" s="14" t="str">
        <f t="shared" si="168"/>
        <v>574</v>
      </c>
      <c r="C864" s="15">
        <f t="shared" si="167"/>
        <v>574</v>
      </c>
      <c r="D864" s="16" t="str">
        <f t="shared" si="169"/>
        <v>574</v>
      </c>
      <c r="E864" s="17">
        <f t="shared" si="160"/>
        <v>574</v>
      </c>
      <c r="F864" s="18" t="str">
        <f t="shared" si="170"/>
        <v>574</v>
      </c>
      <c r="G864" s="18">
        <f t="shared" si="161"/>
        <v>574</v>
      </c>
      <c r="H864" s="19" t="str">
        <f t="shared" si="171"/>
        <v>574</v>
      </c>
      <c r="I864" s="19">
        <f t="shared" si="162"/>
        <v>574</v>
      </c>
      <c r="J864" s="30"/>
      <c r="K864" s="30"/>
      <c r="L864" s="30"/>
      <c r="M864" s="30"/>
      <c r="N864" s="33"/>
      <c r="O864" s="30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25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W864" s="27">
        <f t="shared" si="163"/>
        <v>8.6399999999999997E-4</v>
      </c>
      <c r="AX864" s="27">
        <f t="shared" si="164"/>
        <v>8.6399999999999997E-4</v>
      </c>
      <c r="AY864" s="27">
        <f t="shared" si="165"/>
        <v>8.6399999999999997E-4</v>
      </c>
      <c r="AZ864" s="27">
        <f t="shared" si="166"/>
        <v>8.6399999999999997E-4</v>
      </c>
    </row>
    <row r="865" spans="1:52" ht="15" customHeight="1" x14ac:dyDescent="0.25">
      <c r="A865" s="13" t="e">
        <f>VLOOKUP(L865,[1]VALIDAÇÃO!$D$13:$E$350,2,0)</f>
        <v>#N/A</v>
      </c>
      <c r="B865" s="14" t="str">
        <f t="shared" si="168"/>
        <v>573</v>
      </c>
      <c r="C865" s="15">
        <f t="shared" si="167"/>
        <v>573</v>
      </c>
      <c r="D865" s="16" t="str">
        <f t="shared" si="169"/>
        <v>573</v>
      </c>
      <c r="E865" s="17">
        <f t="shared" si="160"/>
        <v>573</v>
      </c>
      <c r="F865" s="18" t="str">
        <f t="shared" si="170"/>
        <v>573</v>
      </c>
      <c r="G865" s="18">
        <f t="shared" si="161"/>
        <v>573</v>
      </c>
      <c r="H865" s="19" t="str">
        <f t="shared" si="171"/>
        <v>573</v>
      </c>
      <c r="I865" s="19">
        <f t="shared" si="162"/>
        <v>573</v>
      </c>
      <c r="J865" s="30"/>
      <c r="K865" s="30"/>
      <c r="L865" s="30"/>
      <c r="M865" s="30"/>
      <c r="N865" s="33"/>
      <c r="O865" s="30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25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W865" s="27">
        <f t="shared" si="163"/>
        <v>8.6499999999999999E-4</v>
      </c>
      <c r="AX865" s="27">
        <f t="shared" si="164"/>
        <v>8.6499999999999999E-4</v>
      </c>
      <c r="AY865" s="27">
        <f t="shared" si="165"/>
        <v>8.6499999999999999E-4</v>
      </c>
      <c r="AZ865" s="27">
        <f t="shared" si="166"/>
        <v>8.6499999999999999E-4</v>
      </c>
    </row>
    <row r="866" spans="1:52" ht="15" customHeight="1" x14ac:dyDescent="0.25">
      <c r="A866" s="13" t="e">
        <f>VLOOKUP(L866,[1]VALIDAÇÃO!$D$13:$E$350,2,0)</f>
        <v>#N/A</v>
      </c>
      <c r="B866" s="14" t="str">
        <f t="shared" si="168"/>
        <v>572</v>
      </c>
      <c r="C866" s="15">
        <f t="shared" si="167"/>
        <v>572</v>
      </c>
      <c r="D866" s="16" t="str">
        <f t="shared" si="169"/>
        <v>572</v>
      </c>
      <c r="E866" s="17">
        <f t="shared" si="160"/>
        <v>572</v>
      </c>
      <c r="F866" s="18" t="str">
        <f t="shared" si="170"/>
        <v>572</v>
      </c>
      <c r="G866" s="18">
        <f t="shared" si="161"/>
        <v>572</v>
      </c>
      <c r="H866" s="19" t="str">
        <f t="shared" si="171"/>
        <v>572</v>
      </c>
      <c r="I866" s="19">
        <f t="shared" si="162"/>
        <v>572</v>
      </c>
      <c r="J866" s="30"/>
      <c r="K866" s="30"/>
      <c r="L866" s="30"/>
      <c r="M866" s="30"/>
      <c r="N866" s="33"/>
      <c r="O866" s="30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25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W866" s="27">
        <f t="shared" si="163"/>
        <v>8.6600000000000002E-4</v>
      </c>
      <c r="AX866" s="27">
        <f t="shared" si="164"/>
        <v>8.6600000000000002E-4</v>
      </c>
      <c r="AY866" s="27">
        <f t="shared" si="165"/>
        <v>8.6600000000000002E-4</v>
      </c>
      <c r="AZ866" s="27">
        <f t="shared" si="166"/>
        <v>8.6600000000000002E-4</v>
      </c>
    </row>
    <row r="867" spans="1:52" ht="15" customHeight="1" x14ac:dyDescent="0.25">
      <c r="A867" s="13" t="e">
        <f>VLOOKUP(L867,[1]VALIDAÇÃO!$D$13:$E$350,2,0)</f>
        <v>#N/A</v>
      </c>
      <c r="B867" s="14" t="str">
        <f t="shared" si="168"/>
        <v>571</v>
      </c>
      <c r="C867" s="15">
        <f t="shared" si="167"/>
        <v>571</v>
      </c>
      <c r="D867" s="16" t="str">
        <f t="shared" si="169"/>
        <v>571</v>
      </c>
      <c r="E867" s="17">
        <f t="shared" si="160"/>
        <v>571</v>
      </c>
      <c r="F867" s="18" t="str">
        <f t="shared" si="170"/>
        <v>571</v>
      </c>
      <c r="G867" s="18">
        <f t="shared" si="161"/>
        <v>571</v>
      </c>
      <c r="H867" s="19" t="str">
        <f t="shared" si="171"/>
        <v>571</v>
      </c>
      <c r="I867" s="19">
        <f t="shared" si="162"/>
        <v>571</v>
      </c>
      <c r="J867" s="30"/>
      <c r="K867" s="30"/>
      <c r="L867" s="30"/>
      <c r="M867" s="30"/>
      <c r="N867" s="33"/>
      <c r="O867" s="30"/>
      <c r="P867" s="29"/>
      <c r="Q867" s="29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25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W867" s="27">
        <f t="shared" si="163"/>
        <v>8.6700000000000004E-4</v>
      </c>
      <c r="AX867" s="27">
        <f t="shared" si="164"/>
        <v>8.6700000000000004E-4</v>
      </c>
      <c r="AY867" s="27">
        <f t="shared" si="165"/>
        <v>8.6700000000000004E-4</v>
      </c>
      <c r="AZ867" s="27">
        <f t="shared" si="166"/>
        <v>8.6700000000000004E-4</v>
      </c>
    </row>
    <row r="868" spans="1:52" ht="15" customHeight="1" x14ac:dyDescent="0.25">
      <c r="A868" s="13" t="e">
        <f>VLOOKUP(L868,[1]VALIDAÇÃO!$D$13:$E$350,2,0)</f>
        <v>#N/A</v>
      </c>
      <c r="B868" s="14" t="str">
        <f t="shared" si="168"/>
        <v>570</v>
      </c>
      <c r="C868" s="15">
        <f t="shared" si="167"/>
        <v>570</v>
      </c>
      <c r="D868" s="16" t="str">
        <f t="shared" si="169"/>
        <v>570</v>
      </c>
      <c r="E868" s="17">
        <f t="shared" si="160"/>
        <v>570</v>
      </c>
      <c r="F868" s="18" t="str">
        <f t="shared" si="170"/>
        <v>570</v>
      </c>
      <c r="G868" s="18">
        <f t="shared" si="161"/>
        <v>570</v>
      </c>
      <c r="H868" s="19" t="str">
        <f t="shared" si="171"/>
        <v>570</v>
      </c>
      <c r="I868" s="19">
        <f t="shared" si="162"/>
        <v>570</v>
      </c>
      <c r="J868" s="30"/>
      <c r="K868" s="30"/>
      <c r="L868" s="30"/>
      <c r="M868" s="30"/>
      <c r="N868" s="33"/>
      <c r="O868" s="30"/>
      <c r="P868" s="29"/>
      <c r="Q868" s="29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25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W868" s="27">
        <f t="shared" si="163"/>
        <v>8.6799999999999996E-4</v>
      </c>
      <c r="AX868" s="27">
        <f t="shared" si="164"/>
        <v>8.6799999999999996E-4</v>
      </c>
      <c r="AY868" s="27">
        <f t="shared" si="165"/>
        <v>8.6799999999999996E-4</v>
      </c>
      <c r="AZ868" s="27">
        <f t="shared" si="166"/>
        <v>8.6799999999999996E-4</v>
      </c>
    </row>
    <row r="869" spans="1:52" ht="15" customHeight="1" x14ac:dyDescent="0.25">
      <c r="A869" s="13" t="e">
        <f>VLOOKUP(L869,[1]VALIDAÇÃO!$D$13:$E$350,2,0)</f>
        <v>#N/A</v>
      </c>
      <c r="B869" s="14" t="str">
        <f t="shared" si="168"/>
        <v>569</v>
      </c>
      <c r="C869" s="15">
        <f t="shared" si="167"/>
        <v>569</v>
      </c>
      <c r="D869" s="16" t="str">
        <f t="shared" si="169"/>
        <v>569</v>
      </c>
      <c r="E869" s="17">
        <f t="shared" si="160"/>
        <v>569</v>
      </c>
      <c r="F869" s="18" t="str">
        <f t="shared" si="170"/>
        <v>569</v>
      </c>
      <c r="G869" s="18">
        <f t="shared" si="161"/>
        <v>569</v>
      </c>
      <c r="H869" s="19" t="str">
        <f t="shared" si="171"/>
        <v>569</v>
      </c>
      <c r="I869" s="19">
        <f t="shared" si="162"/>
        <v>569</v>
      </c>
      <c r="J869" s="30"/>
      <c r="K869" s="30"/>
      <c r="L869" s="30"/>
      <c r="M869" s="30"/>
      <c r="N869" s="33"/>
      <c r="O869" s="30"/>
      <c r="P869" s="29"/>
      <c r="Q869" s="29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25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W869" s="27">
        <f t="shared" si="163"/>
        <v>8.6899999999999998E-4</v>
      </c>
      <c r="AX869" s="27">
        <f t="shared" si="164"/>
        <v>8.6899999999999998E-4</v>
      </c>
      <c r="AY869" s="27">
        <f t="shared" si="165"/>
        <v>8.6899999999999998E-4</v>
      </c>
      <c r="AZ869" s="27">
        <f t="shared" si="166"/>
        <v>8.6899999999999998E-4</v>
      </c>
    </row>
    <row r="870" spans="1:52" ht="15" customHeight="1" x14ac:dyDescent="0.25">
      <c r="A870" s="13" t="e">
        <f>VLOOKUP(L870,[1]VALIDAÇÃO!$D$13:$E$350,2,0)</f>
        <v>#N/A</v>
      </c>
      <c r="B870" s="14" t="str">
        <f t="shared" si="168"/>
        <v>568</v>
      </c>
      <c r="C870" s="15">
        <f t="shared" si="167"/>
        <v>568</v>
      </c>
      <c r="D870" s="16" t="str">
        <f t="shared" si="169"/>
        <v>568</v>
      </c>
      <c r="E870" s="17">
        <f t="shared" si="160"/>
        <v>568</v>
      </c>
      <c r="F870" s="18" t="str">
        <f t="shared" si="170"/>
        <v>568</v>
      </c>
      <c r="G870" s="18">
        <f t="shared" si="161"/>
        <v>568</v>
      </c>
      <c r="H870" s="19" t="str">
        <f t="shared" si="171"/>
        <v>568</v>
      </c>
      <c r="I870" s="19">
        <f t="shared" si="162"/>
        <v>568</v>
      </c>
      <c r="J870" s="30"/>
      <c r="K870" s="30"/>
      <c r="L870" s="30"/>
      <c r="M870" s="30"/>
      <c r="N870" s="33"/>
      <c r="O870" s="30"/>
      <c r="P870" s="29"/>
      <c r="Q870" s="29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25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W870" s="27">
        <f t="shared" si="163"/>
        <v>8.7000000000000001E-4</v>
      </c>
      <c r="AX870" s="27">
        <f t="shared" si="164"/>
        <v>8.7000000000000001E-4</v>
      </c>
      <c r="AY870" s="27">
        <f t="shared" si="165"/>
        <v>8.7000000000000001E-4</v>
      </c>
      <c r="AZ870" s="27">
        <f t="shared" si="166"/>
        <v>8.7000000000000001E-4</v>
      </c>
    </row>
    <row r="871" spans="1:52" ht="15" customHeight="1" x14ac:dyDescent="0.25">
      <c r="A871" s="13" t="e">
        <f>VLOOKUP(L871,[1]VALIDAÇÃO!$D$13:$E$350,2,0)</f>
        <v>#N/A</v>
      </c>
      <c r="B871" s="14" t="str">
        <f t="shared" si="168"/>
        <v>567</v>
      </c>
      <c r="C871" s="15">
        <f t="shared" si="167"/>
        <v>567</v>
      </c>
      <c r="D871" s="16" t="str">
        <f t="shared" si="169"/>
        <v>567</v>
      </c>
      <c r="E871" s="17">
        <f t="shared" si="160"/>
        <v>567</v>
      </c>
      <c r="F871" s="18" t="str">
        <f t="shared" si="170"/>
        <v>567</v>
      </c>
      <c r="G871" s="18">
        <f t="shared" si="161"/>
        <v>567</v>
      </c>
      <c r="H871" s="19" t="str">
        <f t="shared" si="171"/>
        <v>567</v>
      </c>
      <c r="I871" s="19">
        <f t="shared" si="162"/>
        <v>567</v>
      </c>
      <c r="J871" s="30"/>
      <c r="K871" s="30"/>
      <c r="L871" s="30"/>
      <c r="M871" s="30"/>
      <c r="N871" s="33"/>
      <c r="O871" s="30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25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W871" s="27">
        <f t="shared" si="163"/>
        <v>8.7100000000000003E-4</v>
      </c>
      <c r="AX871" s="27">
        <f t="shared" si="164"/>
        <v>8.7100000000000003E-4</v>
      </c>
      <c r="AY871" s="27">
        <f t="shared" si="165"/>
        <v>8.7100000000000003E-4</v>
      </c>
      <c r="AZ871" s="27">
        <f t="shared" si="166"/>
        <v>8.7100000000000003E-4</v>
      </c>
    </row>
    <row r="872" spans="1:52" ht="15" customHeight="1" x14ac:dyDescent="0.25">
      <c r="A872" s="13" t="e">
        <f>VLOOKUP(L872,[1]VALIDAÇÃO!$D$13:$E$350,2,0)</f>
        <v>#N/A</v>
      </c>
      <c r="B872" s="14" t="str">
        <f t="shared" si="168"/>
        <v>566</v>
      </c>
      <c r="C872" s="15">
        <f t="shared" si="167"/>
        <v>566</v>
      </c>
      <c r="D872" s="16" t="str">
        <f t="shared" si="169"/>
        <v>566</v>
      </c>
      <c r="E872" s="17">
        <f t="shared" si="160"/>
        <v>566</v>
      </c>
      <c r="F872" s="18" t="str">
        <f t="shared" si="170"/>
        <v>566</v>
      </c>
      <c r="G872" s="18">
        <f t="shared" si="161"/>
        <v>566</v>
      </c>
      <c r="H872" s="19" t="str">
        <f t="shared" si="171"/>
        <v>566</v>
      </c>
      <c r="I872" s="19">
        <f t="shared" si="162"/>
        <v>566</v>
      </c>
      <c r="J872" s="30"/>
      <c r="K872" s="30"/>
      <c r="L872" s="30"/>
      <c r="M872" s="30"/>
      <c r="N872" s="33"/>
      <c r="O872" s="30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25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W872" s="27">
        <f t="shared" si="163"/>
        <v>8.7200000000000005E-4</v>
      </c>
      <c r="AX872" s="27">
        <f t="shared" si="164"/>
        <v>8.7200000000000005E-4</v>
      </c>
      <c r="AY872" s="27">
        <f t="shared" si="165"/>
        <v>8.7200000000000005E-4</v>
      </c>
      <c r="AZ872" s="27">
        <f t="shared" si="166"/>
        <v>8.7200000000000005E-4</v>
      </c>
    </row>
    <row r="873" spans="1:52" ht="15" customHeight="1" x14ac:dyDescent="0.25">
      <c r="A873" s="13" t="e">
        <f>VLOOKUP(L873,[1]VALIDAÇÃO!$D$13:$E$350,2,0)</f>
        <v>#N/A</v>
      </c>
      <c r="B873" s="14" t="str">
        <f t="shared" si="168"/>
        <v>565</v>
      </c>
      <c r="C873" s="15">
        <f t="shared" si="167"/>
        <v>565</v>
      </c>
      <c r="D873" s="16" t="str">
        <f t="shared" si="169"/>
        <v>565</v>
      </c>
      <c r="E873" s="17">
        <f t="shared" si="160"/>
        <v>565</v>
      </c>
      <c r="F873" s="18" t="str">
        <f t="shared" si="170"/>
        <v>565</v>
      </c>
      <c r="G873" s="18">
        <f t="shared" si="161"/>
        <v>565</v>
      </c>
      <c r="H873" s="19" t="str">
        <f t="shared" si="171"/>
        <v>565</v>
      </c>
      <c r="I873" s="19">
        <f t="shared" si="162"/>
        <v>565</v>
      </c>
      <c r="J873" s="30"/>
      <c r="K873" s="30"/>
      <c r="L873" s="30"/>
      <c r="M873" s="30"/>
      <c r="N873" s="33"/>
      <c r="O873" s="30"/>
      <c r="P873" s="29"/>
      <c r="Q873" s="29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25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W873" s="27">
        <f t="shared" si="163"/>
        <v>8.7299999999999997E-4</v>
      </c>
      <c r="AX873" s="27">
        <f t="shared" si="164"/>
        <v>8.7299999999999997E-4</v>
      </c>
      <c r="AY873" s="27">
        <f t="shared" si="165"/>
        <v>8.7299999999999997E-4</v>
      </c>
      <c r="AZ873" s="27">
        <f t="shared" si="166"/>
        <v>8.7299999999999997E-4</v>
      </c>
    </row>
    <row r="874" spans="1:52" ht="15" customHeight="1" x14ac:dyDescent="0.25">
      <c r="A874" s="13" t="e">
        <f>VLOOKUP(L874,[1]VALIDAÇÃO!$D$13:$E$350,2,0)</f>
        <v>#N/A</v>
      </c>
      <c r="B874" s="14" t="str">
        <f t="shared" si="168"/>
        <v>564</v>
      </c>
      <c r="C874" s="15">
        <f t="shared" si="167"/>
        <v>564</v>
      </c>
      <c r="D874" s="16" t="str">
        <f t="shared" si="169"/>
        <v>564</v>
      </c>
      <c r="E874" s="17">
        <f t="shared" si="160"/>
        <v>564</v>
      </c>
      <c r="F874" s="18" t="str">
        <f t="shared" si="170"/>
        <v>564</v>
      </c>
      <c r="G874" s="18">
        <f t="shared" si="161"/>
        <v>564</v>
      </c>
      <c r="H874" s="19" t="str">
        <f t="shared" si="171"/>
        <v>564</v>
      </c>
      <c r="I874" s="19">
        <f t="shared" si="162"/>
        <v>564</v>
      </c>
      <c r="J874" s="30"/>
      <c r="K874" s="30"/>
      <c r="L874" s="30"/>
      <c r="M874" s="30"/>
      <c r="N874" s="33"/>
      <c r="O874" s="30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25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W874" s="27">
        <f t="shared" si="163"/>
        <v>8.7399999999999999E-4</v>
      </c>
      <c r="AX874" s="27">
        <f t="shared" si="164"/>
        <v>8.7399999999999999E-4</v>
      </c>
      <c r="AY874" s="27">
        <f t="shared" si="165"/>
        <v>8.7399999999999999E-4</v>
      </c>
      <c r="AZ874" s="27">
        <f t="shared" si="166"/>
        <v>8.7399999999999999E-4</v>
      </c>
    </row>
    <row r="875" spans="1:52" ht="15" customHeight="1" x14ac:dyDescent="0.25">
      <c r="A875" s="13" t="e">
        <f>VLOOKUP(L875,[1]VALIDAÇÃO!$D$13:$E$350,2,0)</f>
        <v>#N/A</v>
      </c>
      <c r="B875" s="14" t="str">
        <f t="shared" si="168"/>
        <v>563</v>
      </c>
      <c r="C875" s="15">
        <f t="shared" si="167"/>
        <v>563</v>
      </c>
      <c r="D875" s="16" t="str">
        <f t="shared" si="169"/>
        <v>563</v>
      </c>
      <c r="E875" s="17">
        <f t="shared" si="160"/>
        <v>563</v>
      </c>
      <c r="F875" s="18" t="str">
        <f t="shared" si="170"/>
        <v>563</v>
      </c>
      <c r="G875" s="18">
        <f t="shared" si="161"/>
        <v>563</v>
      </c>
      <c r="H875" s="19" t="str">
        <f t="shared" si="171"/>
        <v>563</v>
      </c>
      <c r="I875" s="19">
        <f t="shared" si="162"/>
        <v>563</v>
      </c>
      <c r="J875" s="30"/>
      <c r="K875" s="30"/>
      <c r="L875" s="30"/>
      <c r="M875" s="30"/>
      <c r="N875" s="33"/>
      <c r="O875" s="30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25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W875" s="27">
        <f t="shared" si="163"/>
        <v>8.7500000000000002E-4</v>
      </c>
      <c r="AX875" s="27">
        <f t="shared" si="164"/>
        <v>8.7500000000000002E-4</v>
      </c>
      <c r="AY875" s="27">
        <f t="shared" si="165"/>
        <v>8.7500000000000002E-4</v>
      </c>
      <c r="AZ875" s="27">
        <f t="shared" si="166"/>
        <v>8.7500000000000002E-4</v>
      </c>
    </row>
    <row r="876" spans="1:52" ht="15" customHeight="1" x14ac:dyDescent="0.25">
      <c r="A876" s="13" t="e">
        <f>VLOOKUP(L876,[1]VALIDAÇÃO!$D$13:$E$350,2,0)</f>
        <v>#N/A</v>
      </c>
      <c r="B876" s="14" t="str">
        <f t="shared" si="168"/>
        <v>562</v>
      </c>
      <c r="C876" s="15">
        <f t="shared" si="167"/>
        <v>562</v>
      </c>
      <c r="D876" s="16" t="str">
        <f t="shared" si="169"/>
        <v>562</v>
      </c>
      <c r="E876" s="17">
        <f t="shared" si="160"/>
        <v>562</v>
      </c>
      <c r="F876" s="18" t="str">
        <f t="shared" si="170"/>
        <v>562</v>
      </c>
      <c r="G876" s="18">
        <f t="shared" si="161"/>
        <v>562</v>
      </c>
      <c r="H876" s="19" t="str">
        <f t="shared" si="171"/>
        <v>562</v>
      </c>
      <c r="I876" s="19">
        <f t="shared" si="162"/>
        <v>562</v>
      </c>
      <c r="J876" s="30"/>
      <c r="K876" s="30"/>
      <c r="L876" s="30"/>
      <c r="M876" s="30"/>
      <c r="N876" s="33"/>
      <c r="O876" s="30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25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W876" s="27">
        <f t="shared" si="163"/>
        <v>8.7600000000000004E-4</v>
      </c>
      <c r="AX876" s="27">
        <f t="shared" si="164"/>
        <v>8.7600000000000004E-4</v>
      </c>
      <c r="AY876" s="27">
        <f t="shared" si="165"/>
        <v>8.7600000000000004E-4</v>
      </c>
      <c r="AZ876" s="27">
        <f t="shared" si="166"/>
        <v>8.7600000000000004E-4</v>
      </c>
    </row>
    <row r="877" spans="1:52" ht="15" customHeight="1" x14ac:dyDescent="0.25">
      <c r="A877" s="13" t="e">
        <f>VLOOKUP(L877,[1]VALIDAÇÃO!$D$13:$E$350,2,0)</f>
        <v>#N/A</v>
      </c>
      <c r="B877" s="14" t="str">
        <f t="shared" si="168"/>
        <v>561</v>
      </c>
      <c r="C877" s="15">
        <f t="shared" si="167"/>
        <v>561</v>
      </c>
      <c r="D877" s="16" t="str">
        <f t="shared" si="169"/>
        <v>561</v>
      </c>
      <c r="E877" s="17">
        <f t="shared" si="160"/>
        <v>561</v>
      </c>
      <c r="F877" s="18" t="str">
        <f t="shared" si="170"/>
        <v>561</v>
      </c>
      <c r="G877" s="18">
        <f t="shared" si="161"/>
        <v>561</v>
      </c>
      <c r="H877" s="19" t="str">
        <f t="shared" si="171"/>
        <v>561</v>
      </c>
      <c r="I877" s="19">
        <f t="shared" si="162"/>
        <v>561</v>
      </c>
      <c r="J877" s="30"/>
      <c r="K877" s="30"/>
      <c r="L877" s="30"/>
      <c r="M877" s="30"/>
      <c r="N877" s="33"/>
      <c r="O877" s="30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25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W877" s="27">
        <f t="shared" si="163"/>
        <v>8.7699999999999996E-4</v>
      </c>
      <c r="AX877" s="27">
        <f t="shared" si="164"/>
        <v>8.7699999999999996E-4</v>
      </c>
      <c r="AY877" s="27">
        <f t="shared" si="165"/>
        <v>8.7699999999999996E-4</v>
      </c>
      <c r="AZ877" s="27">
        <f t="shared" si="166"/>
        <v>8.7699999999999996E-4</v>
      </c>
    </row>
    <row r="878" spans="1:52" ht="15" customHeight="1" x14ac:dyDescent="0.25">
      <c r="A878" s="13" t="e">
        <f>VLOOKUP(L878,[1]VALIDAÇÃO!$D$13:$E$350,2,0)</f>
        <v>#N/A</v>
      </c>
      <c r="B878" s="14" t="str">
        <f t="shared" si="168"/>
        <v>560</v>
      </c>
      <c r="C878" s="15">
        <f t="shared" si="167"/>
        <v>560</v>
      </c>
      <c r="D878" s="16" t="str">
        <f t="shared" si="169"/>
        <v>560</v>
      </c>
      <c r="E878" s="17">
        <f t="shared" si="160"/>
        <v>560</v>
      </c>
      <c r="F878" s="18" t="str">
        <f t="shared" si="170"/>
        <v>560</v>
      </c>
      <c r="G878" s="18">
        <f t="shared" si="161"/>
        <v>560</v>
      </c>
      <c r="H878" s="19" t="str">
        <f t="shared" si="171"/>
        <v>560</v>
      </c>
      <c r="I878" s="19">
        <f t="shared" si="162"/>
        <v>560</v>
      </c>
      <c r="J878" s="30"/>
      <c r="K878" s="30"/>
      <c r="L878" s="30"/>
      <c r="M878" s="30"/>
      <c r="N878" s="30"/>
      <c r="O878" s="30"/>
      <c r="P878" s="29"/>
      <c r="Q878" s="29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25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W878" s="27">
        <f t="shared" si="163"/>
        <v>8.7799999999999998E-4</v>
      </c>
      <c r="AX878" s="27">
        <f t="shared" si="164"/>
        <v>8.7799999999999998E-4</v>
      </c>
      <c r="AY878" s="27">
        <f t="shared" si="165"/>
        <v>8.7799999999999998E-4</v>
      </c>
      <c r="AZ878" s="27">
        <f t="shared" si="166"/>
        <v>8.7799999999999998E-4</v>
      </c>
    </row>
    <row r="879" spans="1:52" ht="15" customHeight="1" x14ac:dyDescent="0.25">
      <c r="A879" s="13" t="e">
        <f>VLOOKUP(L879,[1]VALIDAÇÃO!$D$13:$E$350,2,0)</f>
        <v>#N/A</v>
      </c>
      <c r="B879" s="14" t="str">
        <f t="shared" si="168"/>
        <v>559</v>
      </c>
      <c r="C879" s="15">
        <f t="shared" si="167"/>
        <v>559</v>
      </c>
      <c r="D879" s="16" t="str">
        <f t="shared" si="169"/>
        <v>559</v>
      </c>
      <c r="E879" s="17">
        <f t="shared" si="160"/>
        <v>559</v>
      </c>
      <c r="F879" s="18" t="str">
        <f t="shared" si="170"/>
        <v>559</v>
      </c>
      <c r="G879" s="18">
        <f t="shared" si="161"/>
        <v>559</v>
      </c>
      <c r="H879" s="19" t="str">
        <f t="shared" si="171"/>
        <v>559</v>
      </c>
      <c r="I879" s="19">
        <f t="shared" si="162"/>
        <v>559</v>
      </c>
      <c r="J879" s="30"/>
      <c r="K879" s="30"/>
      <c r="L879" s="30"/>
      <c r="M879" s="30"/>
      <c r="N879" s="30"/>
      <c r="O879" s="30"/>
      <c r="P879" s="29"/>
      <c r="Q879" s="29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25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W879" s="27">
        <f t="shared" si="163"/>
        <v>8.7900000000000001E-4</v>
      </c>
      <c r="AX879" s="27">
        <f t="shared" si="164"/>
        <v>8.7900000000000001E-4</v>
      </c>
      <c r="AY879" s="27">
        <f t="shared" si="165"/>
        <v>8.7900000000000001E-4</v>
      </c>
      <c r="AZ879" s="27">
        <f t="shared" si="166"/>
        <v>8.7900000000000001E-4</v>
      </c>
    </row>
    <row r="880" spans="1:52" ht="15" customHeight="1" x14ac:dyDescent="0.25">
      <c r="A880" s="13" t="e">
        <f>VLOOKUP(L880,[1]VALIDAÇÃO!$D$13:$E$350,2,0)</f>
        <v>#N/A</v>
      </c>
      <c r="B880" s="14" t="str">
        <f t="shared" si="168"/>
        <v>558</v>
      </c>
      <c r="C880" s="15">
        <f t="shared" si="167"/>
        <v>558</v>
      </c>
      <c r="D880" s="16" t="str">
        <f t="shared" si="169"/>
        <v>558</v>
      </c>
      <c r="E880" s="17">
        <f t="shared" si="160"/>
        <v>558</v>
      </c>
      <c r="F880" s="18" t="str">
        <f t="shared" si="170"/>
        <v>558</v>
      </c>
      <c r="G880" s="18">
        <f t="shared" si="161"/>
        <v>558</v>
      </c>
      <c r="H880" s="19" t="str">
        <f t="shared" si="171"/>
        <v>558</v>
      </c>
      <c r="I880" s="19">
        <f t="shared" si="162"/>
        <v>558</v>
      </c>
      <c r="J880" s="30"/>
      <c r="K880" s="30"/>
      <c r="L880" s="30"/>
      <c r="M880" s="30"/>
      <c r="N880" s="33"/>
      <c r="O880" s="30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25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W880" s="27">
        <f t="shared" si="163"/>
        <v>8.8000000000000003E-4</v>
      </c>
      <c r="AX880" s="27">
        <f t="shared" si="164"/>
        <v>8.8000000000000003E-4</v>
      </c>
      <c r="AY880" s="27">
        <f t="shared" si="165"/>
        <v>8.8000000000000003E-4</v>
      </c>
      <c r="AZ880" s="27">
        <f t="shared" si="166"/>
        <v>8.8000000000000003E-4</v>
      </c>
    </row>
    <row r="881" spans="1:52" ht="15" customHeight="1" x14ac:dyDescent="0.25">
      <c r="A881" s="13" t="e">
        <f>VLOOKUP(L881,[1]VALIDAÇÃO!$D$13:$E$350,2,0)</f>
        <v>#N/A</v>
      </c>
      <c r="B881" s="14" t="str">
        <f t="shared" si="168"/>
        <v>557</v>
      </c>
      <c r="C881" s="15">
        <f t="shared" si="167"/>
        <v>557</v>
      </c>
      <c r="D881" s="16" t="str">
        <f t="shared" si="169"/>
        <v>557</v>
      </c>
      <c r="E881" s="17">
        <f t="shared" si="160"/>
        <v>557</v>
      </c>
      <c r="F881" s="18" t="str">
        <f t="shared" si="170"/>
        <v>557</v>
      </c>
      <c r="G881" s="18">
        <f t="shared" si="161"/>
        <v>557</v>
      </c>
      <c r="H881" s="19" t="str">
        <f t="shared" si="171"/>
        <v>557</v>
      </c>
      <c r="I881" s="19">
        <f t="shared" si="162"/>
        <v>557</v>
      </c>
      <c r="J881" s="30"/>
      <c r="K881" s="30"/>
      <c r="L881" s="30"/>
      <c r="M881" s="30"/>
      <c r="N881" s="33"/>
      <c r="O881" s="30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25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W881" s="27">
        <f t="shared" si="163"/>
        <v>8.8099999999999995E-4</v>
      </c>
      <c r="AX881" s="27">
        <f t="shared" si="164"/>
        <v>8.8099999999999995E-4</v>
      </c>
      <c r="AY881" s="27">
        <f t="shared" si="165"/>
        <v>8.8099999999999995E-4</v>
      </c>
      <c r="AZ881" s="27">
        <f t="shared" si="166"/>
        <v>8.8099999999999995E-4</v>
      </c>
    </row>
    <row r="882" spans="1:52" ht="15" customHeight="1" x14ac:dyDescent="0.25">
      <c r="A882" s="13" t="e">
        <f>VLOOKUP(L882,[1]VALIDAÇÃO!$D$13:$E$350,2,0)</f>
        <v>#N/A</v>
      </c>
      <c r="B882" s="14" t="str">
        <f t="shared" si="168"/>
        <v>556</v>
      </c>
      <c r="C882" s="15">
        <f t="shared" si="167"/>
        <v>556</v>
      </c>
      <c r="D882" s="16" t="str">
        <f t="shared" si="169"/>
        <v>556</v>
      </c>
      <c r="E882" s="17">
        <f t="shared" si="160"/>
        <v>556</v>
      </c>
      <c r="F882" s="18" t="str">
        <f t="shared" si="170"/>
        <v>556</v>
      </c>
      <c r="G882" s="18">
        <f t="shared" si="161"/>
        <v>556</v>
      </c>
      <c r="H882" s="19" t="str">
        <f t="shared" si="171"/>
        <v>556</v>
      </c>
      <c r="I882" s="19">
        <f t="shared" si="162"/>
        <v>556</v>
      </c>
      <c r="J882" s="30"/>
      <c r="K882" s="30"/>
      <c r="L882" s="30"/>
      <c r="M882" s="30"/>
      <c r="N882" s="33"/>
      <c r="O882" s="30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25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W882" s="27">
        <f t="shared" si="163"/>
        <v>8.8199999999999997E-4</v>
      </c>
      <c r="AX882" s="27">
        <f t="shared" si="164"/>
        <v>8.8199999999999997E-4</v>
      </c>
      <c r="AY882" s="27">
        <f t="shared" si="165"/>
        <v>8.8199999999999997E-4</v>
      </c>
      <c r="AZ882" s="27">
        <f t="shared" si="166"/>
        <v>8.8199999999999997E-4</v>
      </c>
    </row>
    <row r="883" spans="1:52" ht="15" customHeight="1" x14ac:dyDescent="0.25">
      <c r="A883" s="13" t="e">
        <f>VLOOKUP(L883,[1]VALIDAÇÃO!$D$13:$E$350,2,0)</f>
        <v>#N/A</v>
      </c>
      <c r="B883" s="14" t="str">
        <f t="shared" si="168"/>
        <v>555</v>
      </c>
      <c r="C883" s="15">
        <f t="shared" si="167"/>
        <v>555</v>
      </c>
      <c r="D883" s="16" t="str">
        <f t="shared" si="169"/>
        <v>555</v>
      </c>
      <c r="E883" s="17">
        <f t="shared" si="160"/>
        <v>555</v>
      </c>
      <c r="F883" s="18" t="str">
        <f t="shared" si="170"/>
        <v>555</v>
      </c>
      <c r="G883" s="18">
        <f t="shared" si="161"/>
        <v>555</v>
      </c>
      <c r="H883" s="19" t="str">
        <f t="shared" si="171"/>
        <v>555</v>
      </c>
      <c r="I883" s="19">
        <f t="shared" si="162"/>
        <v>555</v>
      </c>
      <c r="J883" s="30"/>
      <c r="K883" s="30"/>
      <c r="L883" s="30"/>
      <c r="M883" s="30"/>
      <c r="N883" s="30"/>
      <c r="O883" s="30"/>
      <c r="P883" s="29"/>
      <c r="Q883" s="29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25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W883" s="27">
        <f t="shared" si="163"/>
        <v>8.83E-4</v>
      </c>
      <c r="AX883" s="27">
        <f t="shared" si="164"/>
        <v>8.83E-4</v>
      </c>
      <c r="AY883" s="27">
        <f t="shared" si="165"/>
        <v>8.83E-4</v>
      </c>
      <c r="AZ883" s="27">
        <f t="shared" si="166"/>
        <v>8.83E-4</v>
      </c>
    </row>
    <row r="884" spans="1:52" ht="15" customHeight="1" x14ac:dyDescent="0.25">
      <c r="A884" s="13" t="e">
        <f>VLOOKUP(L884,[1]VALIDAÇÃO!$D$13:$E$350,2,0)</f>
        <v>#N/A</v>
      </c>
      <c r="B884" s="14" t="str">
        <f t="shared" si="168"/>
        <v>554</v>
      </c>
      <c r="C884" s="15">
        <f t="shared" si="167"/>
        <v>554</v>
      </c>
      <c r="D884" s="16" t="str">
        <f t="shared" si="169"/>
        <v>554</v>
      </c>
      <c r="E884" s="17">
        <f t="shared" si="160"/>
        <v>554</v>
      </c>
      <c r="F884" s="18" t="str">
        <f t="shared" si="170"/>
        <v>554</v>
      </c>
      <c r="G884" s="18">
        <f t="shared" si="161"/>
        <v>554</v>
      </c>
      <c r="H884" s="19" t="str">
        <f t="shared" si="171"/>
        <v>554</v>
      </c>
      <c r="I884" s="19">
        <f t="shared" si="162"/>
        <v>554</v>
      </c>
      <c r="J884" s="30"/>
      <c r="K884" s="30"/>
      <c r="L884" s="30"/>
      <c r="M884" s="30"/>
      <c r="N884" s="30"/>
      <c r="O884" s="30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25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W884" s="27">
        <f t="shared" si="163"/>
        <v>8.8400000000000002E-4</v>
      </c>
      <c r="AX884" s="27">
        <f t="shared" si="164"/>
        <v>8.8400000000000002E-4</v>
      </c>
      <c r="AY884" s="27">
        <f t="shared" si="165"/>
        <v>8.8400000000000002E-4</v>
      </c>
      <c r="AZ884" s="27">
        <f t="shared" si="166"/>
        <v>8.8400000000000002E-4</v>
      </c>
    </row>
    <row r="885" spans="1:52" ht="15" customHeight="1" x14ac:dyDescent="0.25">
      <c r="A885" s="13" t="e">
        <f>VLOOKUP(L885,[1]VALIDAÇÃO!$D$13:$E$350,2,0)</f>
        <v>#N/A</v>
      </c>
      <c r="B885" s="14" t="str">
        <f t="shared" si="168"/>
        <v>553</v>
      </c>
      <c r="C885" s="15">
        <f t="shared" si="167"/>
        <v>553</v>
      </c>
      <c r="D885" s="16" t="str">
        <f t="shared" si="169"/>
        <v>553</v>
      </c>
      <c r="E885" s="17">
        <f t="shared" si="160"/>
        <v>553</v>
      </c>
      <c r="F885" s="18" t="str">
        <f t="shared" si="170"/>
        <v>553</v>
      </c>
      <c r="G885" s="18">
        <f t="shared" si="161"/>
        <v>553</v>
      </c>
      <c r="H885" s="19" t="str">
        <f t="shared" si="171"/>
        <v>553</v>
      </c>
      <c r="I885" s="19">
        <f t="shared" si="162"/>
        <v>553</v>
      </c>
      <c r="J885" s="30"/>
      <c r="K885" s="30"/>
      <c r="L885" s="30"/>
      <c r="M885" s="30"/>
      <c r="N885" s="33"/>
      <c r="O885" s="30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25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W885" s="27">
        <f t="shared" si="163"/>
        <v>8.8500000000000004E-4</v>
      </c>
      <c r="AX885" s="27">
        <f t="shared" si="164"/>
        <v>8.8500000000000004E-4</v>
      </c>
      <c r="AY885" s="27">
        <f t="shared" si="165"/>
        <v>8.8500000000000004E-4</v>
      </c>
      <c r="AZ885" s="27">
        <f t="shared" si="166"/>
        <v>8.8500000000000004E-4</v>
      </c>
    </row>
    <row r="886" spans="1:52" ht="15" customHeight="1" x14ac:dyDescent="0.25">
      <c r="A886" s="13" t="e">
        <f>VLOOKUP(L886,[1]VALIDAÇÃO!$D$13:$E$350,2,0)</f>
        <v>#N/A</v>
      </c>
      <c r="B886" s="14" t="str">
        <f t="shared" si="168"/>
        <v>552</v>
      </c>
      <c r="C886" s="15">
        <f t="shared" si="167"/>
        <v>552</v>
      </c>
      <c r="D886" s="16" t="str">
        <f t="shared" si="169"/>
        <v>552</v>
      </c>
      <c r="E886" s="17">
        <f t="shared" si="160"/>
        <v>552</v>
      </c>
      <c r="F886" s="18" t="str">
        <f t="shared" si="170"/>
        <v>552</v>
      </c>
      <c r="G886" s="18">
        <f t="shared" si="161"/>
        <v>552</v>
      </c>
      <c r="H886" s="19" t="str">
        <f t="shared" si="171"/>
        <v>552</v>
      </c>
      <c r="I886" s="19">
        <f t="shared" si="162"/>
        <v>552</v>
      </c>
      <c r="J886" s="30"/>
      <c r="K886" s="30"/>
      <c r="L886" s="30"/>
      <c r="M886" s="30"/>
      <c r="N886" s="33"/>
      <c r="O886" s="30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25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W886" s="27">
        <f t="shared" si="163"/>
        <v>8.8599999999999996E-4</v>
      </c>
      <c r="AX886" s="27">
        <f t="shared" si="164"/>
        <v>8.8599999999999996E-4</v>
      </c>
      <c r="AY886" s="27">
        <f t="shared" si="165"/>
        <v>8.8599999999999996E-4</v>
      </c>
      <c r="AZ886" s="27">
        <f t="shared" si="166"/>
        <v>8.8599999999999996E-4</v>
      </c>
    </row>
    <row r="887" spans="1:52" ht="15" customHeight="1" x14ac:dyDescent="0.25">
      <c r="A887" s="13" t="e">
        <f>VLOOKUP(L887,[1]VALIDAÇÃO!$D$13:$E$350,2,0)</f>
        <v>#N/A</v>
      </c>
      <c r="B887" s="14" t="str">
        <f t="shared" si="168"/>
        <v>551</v>
      </c>
      <c r="C887" s="15">
        <f t="shared" si="167"/>
        <v>551</v>
      </c>
      <c r="D887" s="16" t="str">
        <f t="shared" si="169"/>
        <v>551</v>
      </c>
      <c r="E887" s="17">
        <f t="shared" si="160"/>
        <v>551</v>
      </c>
      <c r="F887" s="18" t="str">
        <f t="shared" si="170"/>
        <v>551</v>
      </c>
      <c r="G887" s="18">
        <f t="shared" si="161"/>
        <v>551</v>
      </c>
      <c r="H887" s="19" t="str">
        <f t="shared" si="171"/>
        <v>551</v>
      </c>
      <c r="I887" s="19">
        <f t="shared" si="162"/>
        <v>551</v>
      </c>
      <c r="J887" s="30"/>
      <c r="K887" s="30"/>
      <c r="L887" s="30"/>
      <c r="M887" s="30"/>
      <c r="N887" s="33"/>
      <c r="O887" s="30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25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W887" s="27">
        <f t="shared" si="163"/>
        <v>8.8699999999999998E-4</v>
      </c>
      <c r="AX887" s="27">
        <f t="shared" si="164"/>
        <v>8.8699999999999998E-4</v>
      </c>
      <c r="AY887" s="27">
        <f t="shared" si="165"/>
        <v>8.8699999999999998E-4</v>
      </c>
      <c r="AZ887" s="27">
        <f t="shared" si="166"/>
        <v>8.8699999999999998E-4</v>
      </c>
    </row>
    <row r="888" spans="1:52" ht="15" customHeight="1" x14ac:dyDescent="0.25">
      <c r="A888" s="13" t="e">
        <f>VLOOKUP(L888,[1]VALIDAÇÃO!$D$13:$E$350,2,0)</f>
        <v>#N/A</v>
      </c>
      <c r="B888" s="14" t="str">
        <f t="shared" si="168"/>
        <v>550</v>
      </c>
      <c r="C888" s="15">
        <f t="shared" si="167"/>
        <v>550</v>
      </c>
      <c r="D888" s="16" t="str">
        <f t="shared" si="169"/>
        <v>550</v>
      </c>
      <c r="E888" s="17">
        <f t="shared" si="160"/>
        <v>550</v>
      </c>
      <c r="F888" s="18" t="str">
        <f t="shared" si="170"/>
        <v>550</v>
      </c>
      <c r="G888" s="18">
        <f t="shared" si="161"/>
        <v>550</v>
      </c>
      <c r="H888" s="19" t="str">
        <f t="shared" si="171"/>
        <v>550</v>
      </c>
      <c r="I888" s="19">
        <f t="shared" si="162"/>
        <v>550</v>
      </c>
      <c r="J888" s="30"/>
      <c r="K888" s="30"/>
      <c r="L888" s="30"/>
      <c r="M888" s="30"/>
      <c r="N888" s="30"/>
      <c r="O888" s="30"/>
      <c r="P888" s="29"/>
      <c r="Q888" s="29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25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W888" s="27">
        <f t="shared" si="163"/>
        <v>8.8800000000000001E-4</v>
      </c>
      <c r="AX888" s="27">
        <f t="shared" si="164"/>
        <v>8.8800000000000001E-4</v>
      </c>
      <c r="AY888" s="27">
        <f t="shared" si="165"/>
        <v>8.8800000000000001E-4</v>
      </c>
      <c r="AZ888" s="27">
        <f t="shared" si="166"/>
        <v>8.8800000000000001E-4</v>
      </c>
    </row>
    <row r="889" spans="1:52" ht="15" customHeight="1" x14ac:dyDescent="0.25">
      <c r="A889" s="13" t="e">
        <f>VLOOKUP(L889,[1]VALIDAÇÃO!$D$13:$E$350,2,0)</f>
        <v>#N/A</v>
      </c>
      <c r="B889" s="14" t="str">
        <f t="shared" si="168"/>
        <v>549</v>
      </c>
      <c r="C889" s="15">
        <f t="shared" si="167"/>
        <v>549</v>
      </c>
      <c r="D889" s="16" t="str">
        <f t="shared" si="169"/>
        <v>549</v>
      </c>
      <c r="E889" s="17">
        <f t="shared" si="160"/>
        <v>549</v>
      </c>
      <c r="F889" s="18" t="str">
        <f t="shared" si="170"/>
        <v>549</v>
      </c>
      <c r="G889" s="18">
        <f t="shared" si="161"/>
        <v>549</v>
      </c>
      <c r="H889" s="19" t="str">
        <f t="shared" si="171"/>
        <v>549</v>
      </c>
      <c r="I889" s="19">
        <f t="shared" si="162"/>
        <v>549</v>
      </c>
      <c r="J889" s="30"/>
      <c r="K889" s="30"/>
      <c r="L889" s="30"/>
      <c r="M889" s="30"/>
      <c r="N889" s="33"/>
      <c r="O889" s="30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25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W889" s="27">
        <f t="shared" si="163"/>
        <v>8.8900000000000003E-4</v>
      </c>
      <c r="AX889" s="27">
        <f t="shared" si="164"/>
        <v>8.8900000000000003E-4</v>
      </c>
      <c r="AY889" s="27">
        <f t="shared" si="165"/>
        <v>8.8900000000000003E-4</v>
      </c>
      <c r="AZ889" s="27">
        <f t="shared" si="166"/>
        <v>8.8900000000000003E-4</v>
      </c>
    </row>
    <row r="890" spans="1:52" ht="15" customHeight="1" x14ac:dyDescent="0.25">
      <c r="A890" s="13" t="e">
        <f>VLOOKUP(L890,[1]VALIDAÇÃO!$D$13:$E$350,2,0)</f>
        <v>#N/A</v>
      </c>
      <c r="B890" s="14" t="str">
        <f t="shared" si="168"/>
        <v>548</v>
      </c>
      <c r="C890" s="15">
        <f t="shared" si="167"/>
        <v>548</v>
      </c>
      <c r="D890" s="16" t="str">
        <f t="shared" si="169"/>
        <v>548</v>
      </c>
      <c r="E890" s="17">
        <f t="shared" si="160"/>
        <v>548</v>
      </c>
      <c r="F890" s="18" t="str">
        <f t="shared" si="170"/>
        <v>548</v>
      </c>
      <c r="G890" s="18">
        <f t="shared" si="161"/>
        <v>548</v>
      </c>
      <c r="H890" s="19" t="str">
        <f t="shared" si="171"/>
        <v>548</v>
      </c>
      <c r="I890" s="19">
        <f t="shared" si="162"/>
        <v>548</v>
      </c>
      <c r="J890" s="30"/>
      <c r="K890" s="30"/>
      <c r="L890" s="30"/>
      <c r="M890" s="30"/>
      <c r="N890" s="33"/>
      <c r="O890" s="30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25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W890" s="27">
        <f t="shared" si="163"/>
        <v>8.8999999999999995E-4</v>
      </c>
      <c r="AX890" s="27">
        <f t="shared" si="164"/>
        <v>8.8999999999999995E-4</v>
      </c>
      <c r="AY890" s="27">
        <f t="shared" si="165"/>
        <v>8.8999999999999995E-4</v>
      </c>
      <c r="AZ890" s="27">
        <f t="shared" si="166"/>
        <v>8.8999999999999995E-4</v>
      </c>
    </row>
    <row r="891" spans="1:52" ht="15" customHeight="1" x14ac:dyDescent="0.25">
      <c r="A891" s="13" t="e">
        <f>VLOOKUP(L891,[1]VALIDAÇÃO!$D$13:$E$350,2,0)</f>
        <v>#N/A</v>
      </c>
      <c r="B891" s="14" t="str">
        <f t="shared" si="168"/>
        <v>547</v>
      </c>
      <c r="C891" s="15">
        <f t="shared" si="167"/>
        <v>547</v>
      </c>
      <c r="D891" s="16" t="str">
        <f t="shared" si="169"/>
        <v>547</v>
      </c>
      <c r="E891" s="17">
        <f t="shared" si="160"/>
        <v>547</v>
      </c>
      <c r="F891" s="18" t="str">
        <f t="shared" si="170"/>
        <v>547</v>
      </c>
      <c r="G891" s="18">
        <f t="shared" si="161"/>
        <v>547</v>
      </c>
      <c r="H891" s="19" t="str">
        <f t="shared" si="171"/>
        <v>547</v>
      </c>
      <c r="I891" s="19">
        <f t="shared" si="162"/>
        <v>547</v>
      </c>
      <c r="J891" s="30"/>
      <c r="K891" s="30"/>
      <c r="L891" s="30"/>
      <c r="M891" s="30"/>
      <c r="N891" s="33"/>
      <c r="O891" s="30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25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W891" s="27">
        <f t="shared" si="163"/>
        <v>8.9099999999999997E-4</v>
      </c>
      <c r="AX891" s="27">
        <f t="shared" si="164"/>
        <v>8.9099999999999997E-4</v>
      </c>
      <c r="AY891" s="27">
        <f t="shared" si="165"/>
        <v>8.9099999999999997E-4</v>
      </c>
      <c r="AZ891" s="27">
        <f t="shared" si="166"/>
        <v>8.9099999999999997E-4</v>
      </c>
    </row>
    <row r="892" spans="1:52" ht="15" customHeight="1" x14ac:dyDescent="0.25">
      <c r="A892" s="13" t="e">
        <f>VLOOKUP(L892,[1]VALIDAÇÃO!$D$13:$E$350,2,0)</f>
        <v>#N/A</v>
      </c>
      <c r="B892" s="14" t="str">
        <f t="shared" si="168"/>
        <v>546</v>
      </c>
      <c r="C892" s="15">
        <f t="shared" si="167"/>
        <v>546</v>
      </c>
      <c r="D892" s="16" t="str">
        <f t="shared" si="169"/>
        <v>546</v>
      </c>
      <c r="E892" s="17">
        <f t="shared" si="160"/>
        <v>546</v>
      </c>
      <c r="F892" s="18" t="str">
        <f t="shared" si="170"/>
        <v>546</v>
      </c>
      <c r="G892" s="18">
        <f t="shared" si="161"/>
        <v>546</v>
      </c>
      <c r="H892" s="19" t="str">
        <f t="shared" si="171"/>
        <v>546</v>
      </c>
      <c r="I892" s="19">
        <f t="shared" si="162"/>
        <v>546</v>
      </c>
      <c r="J892" s="30"/>
      <c r="K892" s="30"/>
      <c r="L892" s="30"/>
      <c r="M892" s="30"/>
      <c r="N892" s="33"/>
      <c r="O892" s="30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25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W892" s="27">
        <f t="shared" si="163"/>
        <v>8.92E-4</v>
      </c>
      <c r="AX892" s="27">
        <f t="shared" si="164"/>
        <v>8.92E-4</v>
      </c>
      <c r="AY892" s="27">
        <f t="shared" si="165"/>
        <v>8.92E-4</v>
      </c>
      <c r="AZ892" s="27">
        <f t="shared" si="166"/>
        <v>8.92E-4</v>
      </c>
    </row>
    <row r="893" spans="1:52" ht="15" customHeight="1" x14ac:dyDescent="0.25">
      <c r="A893" s="13" t="e">
        <f>VLOOKUP(L893,[1]VALIDAÇÃO!$D$13:$E$350,2,0)</f>
        <v>#N/A</v>
      </c>
      <c r="B893" s="14" t="str">
        <f t="shared" si="168"/>
        <v>545</v>
      </c>
      <c r="C893" s="15">
        <f t="shared" si="167"/>
        <v>545</v>
      </c>
      <c r="D893" s="16" t="str">
        <f t="shared" si="169"/>
        <v>545</v>
      </c>
      <c r="E893" s="17">
        <f t="shared" si="160"/>
        <v>545</v>
      </c>
      <c r="F893" s="18" t="str">
        <f t="shared" si="170"/>
        <v>545</v>
      </c>
      <c r="G893" s="18">
        <f t="shared" si="161"/>
        <v>545</v>
      </c>
      <c r="H893" s="19" t="str">
        <f t="shared" si="171"/>
        <v>545</v>
      </c>
      <c r="I893" s="19">
        <f t="shared" si="162"/>
        <v>545</v>
      </c>
      <c r="J893" s="30"/>
      <c r="K893" s="30"/>
      <c r="L893" s="30"/>
      <c r="M893" s="30"/>
      <c r="N893" s="33"/>
      <c r="O893" s="30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25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W893" s="27">
        <f t="shared" si="163"/>
        <v>8.9300000000000002E-4</v>
      </c>
      <c r="AX893" s="27">
        <f t="shared" si="164"/>
        <v>8.9300000000000002E-4</v>
      </c>
      <c r="AY893" s="27">
        <f t="shared" si="165"/>
        <v>8.9300000000000002E-4</v>
      </c>
      <c r="AZ893" s="27">
        <f t="shared" si="166"/>
        <v>8.9300000000000002E-4</v>
      </c>
    </row>
    <row r="894" spans="1:52" ht="15" customHeight="1" x14ac:dyDescent="0.25">
      <c r="A894" s="13" t="e">
        <f>VLOOKUP(L894,[1]VALIDAÇÃO!$D$13:$E$350,2,0)</f>
        <v>#N/A</v>
      </c>
      <c r="B894" s="14" t="str">
        <f t="shared" si="168"/>
        <v>544</v>
      </c>
      <c r="C894" s="15">
        <f t="shared" si="167"/>
        <v>544</v>
      </c>
      <c r="D894" s="16" t="str">
        <f t="shared" si="169"/>
        <v>544</v>
      </c>
      <c r="E894" s="17">
        <f t="shared" si="160"/>
        <v>544</v>
      </c>
      <c r="F894" s="18" t="str">
        <f t="shared" si="170"/>
        <v>544</v>
      </c>
      <c r="G894" s="18">
        <f t="shared" si="161"/>
        <v>544</v>
      </c>
      <c r="H894" s="19" t="str">
        <f t="shared" si="171"/>
        <v>544</v>
      </c>
      <c r="I894" s="19">
        <f t="shared" si="162"/>
        <v>544</v>
      </c>
      <c r="J894" s="30"/>
      <c r="K894" s="30"/>
      <c r="L894" s="30"/>
      <c r="M894" s="30"/>
      <c r="N894" s="33"/>
      <c r="O894" s="30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25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W894" s="27">
        <f t="shared" si="163"/>
        <v>8.9400000000000005E-4</v>
      </c>
      <c r="AX894" s="27">
        <f t="shared" si="164"/>
        <v>8.9400000000000005E-4</v>
      </c>
      <c r="AY894" s="27">
        <f t="shared" si="165"/>
        <v>8.9400000000000005E-4</v>
      </c>
      <c r="AZ894" s="27">
        <f t="shared" si="166"/>
        <v>8.9400000000000005E-4</v>
      </c>
    </row>
    <row r="895" spans="1:52" ht="15" customHeight="1" x14ac:dyDescent="0.25">
      <c r="A895" s="13" t="e">
        <f>VLOOKUP(L895,[1]VALIDAÇÃO!$D$13:$E$350,2,0)</f>
        <v>#N/A</v>
      </c>
      <c r="B895" s="14" t="str">
        <f t="shared" si="168"/>
        <v>543</v>
      </c>
      <c r="C895" s="15">
        <f t="shared" si="167"/>
        <v>543</v>
      </c>
      <c r="D895" s="16" t="str">
        <f t="shared" si="169"/>
        <v>543</v>
      </c>
      <c r="E895" s="17">
        <f t="shared" si="160"/>
        <v>543</v>
      </c>
      <c r="F895" s="18" t="str">
        <f t="shared" si="170"/>
        <v>543</v>
      </c>
      <c r="G895" s="18">
        <f t="shared" si="161"/>
        <v>543</v>
      </c>
      <c r="H895" s="19" t="str">
        <f t="shared" si="171"/>
        <v>543</v>
      </c>
      <c r="I895" s="19">
        <f t="shared" si="162"/>
        <v>543</v>
      </c>
      <c r="J895" s="30"/>
      <c r="K895" s="30"/>
      <c r="L895" s="30"/>
      <c r="M895" s="30"/>
      <c r="N895" s="33"/>
      <c r="O895" s="30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25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W895" s="27">
        <f t="shared" si="163"/>
        <v>8.9499999999999996E-4</v>
      </c>
      <c r="AX895" s="27">
        <f t="shared" si="164"/>
        <v>8.9499999999999996E-4</v>
      </c>
      <c r="AY895" s="27">
        <f t="shared" si="165"/>
        <v>8.9499999999999996E-4</v>
      </c>
      <c r="AZ895" s="27">
        <f t="shared" si="166"/>
        <v>8.9499999999999996E-4</v>
      </c>
    </row>
    <row r="896" spans="1:52" ht="15" customHeight="1" x14ac:dyDescent="0.25">
      <c r="A896" s="13" t="e">
        <f>VLOOKUP(L896,[1]VALIDAÇÃO!$D$13:$E$350,2,0)</f>
        <v>#N/A</v>
      </c>
      <c r="B896" s="14" t="str">
        <f t="shared" si="168"/>
        <v>542</v>
      </c>
      <c r="C896" s="15">
        <f t="shared" si="167"/>
        <v>542</v>
      </c>
      <c r="D896" s="16" t="str">
        <f t="shared" si="169"/>
        <v>542</v>
      </c>
      <c r="E896" s="17">
        <f t="shared" si="160"/>
        <v>542</v>
      </c>
      <c r="F896" s="18" t="str">
        <f t="shared" si="170"/>
        <v>542</v>
      </c>
      <c r="G896" s="18">
        <f t="shared" si="161"/>
        <v>542</v>
      </c>
      <c r="H896" s="19" t="str">
        <f t="shared" si="171"/>
        <v>542</v>
      </c>
      <c r="I896" s="19">
        <f t="shared" si="162"/>
        <v>542</v>
      </c>
      <c r="J896" s="30"/>
      <c r="K896" s="30"/>
      <c r="L896" s="30"/>
      <c r="M896" s="30"/>
      <c r="N896" s="33"/>
      <c r="O896" s="30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25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W896" s="27">
        <f t="shared" si="163"/>
        <v>8.9599999999999999E-4</v>
      </c>
      <c r="AX896" s="27">
        <f t="shared" si="164"/>
        <v>8.9599999999999999E-4</v>
      </c>
      <c r="AY896" s="27">
        <f t="shared" si="165"/>
        <v>8.9599999999999999E-4</v>
      </c>
      <c r="AZ896" s="27">
        <f t="shared" si="166"/>
        <v>8.9599999999999999E-4</v>
      </c>
    </row>
    <row r="897" spans="1:52" ht="15" customHeight="1" x14ac:dyDescent="0.25">
      <c r="A897" s="13" t="e">
        <f>VLOOKUP(L897,[1]VALIDAÇÃO!$D$13:$E$350,2,0)</f>
        <v>#N/A</v>
      </c>
      <c r="B897" s="14" t="str">
        <f t="shared" si="168"/>
        <v>541</v>
      </c>
      <c r="C897" s="15">
        <f t="shared" si="167"/>
        <v>541</v>
      </c>
      <c r="D897" s="16" t="str">
        <f t="shared" si="169"/>
        <v>541</v>
      </c>
      <c r="E897" s="17">
        <f t="shared" si="160"/>
        <v>541</v>
      </c>
      <c r="F897" s="18" t="str">
        <f t="shared" si="170"/>
        <v>541</v>
      </c>
      <c r="G897" s="18">
        <f t="shared" si="161"/>
        <v>541</v>
      </c>
      <c r="H897" s="19" t="str">
        <f t="shared" si="171"/>
        <v>541</v>
      </c>
      <c r="I897" s="19">
        <f t="shared" si="162"/>
        <v>541</v>
      </c>
      <c r="J897" s="30"/>
      <c r="K897" s="30"/>
      <c r="L897" s="30"/>
      <c r="M897" s="30"/>
      <c r="N897" s="30"/>
      <c r="O897" s="30"/>
      <c r="P897" s="29"/>
      <c r="Q897" s="29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25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W897" s="27">
        <f t="shared" si="163"/>
        <v>8.9700000000000001E-4</v>
      </c>
      <c r="AX897" s="27">
        <f t="shared" si="164"/>
        <v>8.9700000000000001E-4</v>
      </c>
      <c r="AY897" s="27">
        <f t="shared" si="165"/>
        <v>8.9700000000000001E-4</v>
      </c>
      <c r="AZ897" s="27">
        <f t="shared" si="166"/>
        <v>8.9700000000000001E-4</v>
      </c>
    </row>
    <row r="898" spans="1:52" ht="15" customHeight="1" x14ac:dyDescent="0.25">
      <c r="A898" s="13" t="e">
        <f>VLOOKUP(L898,[1]VALIDAÇÃO!$D$13:$E$350,2,0)</f>
        <v>#N/A</v>
      </c>
      <c r="B898" s="14" t="str">
        <f t="shared" si="168"/>
        <v>540</v>
      </c>
      <c r="C898" s="15">
        <f t="shared" si="167"/>
        <v>540</v>
      </c>
      <c r="D898" s="16" t="str">
        <f t="shared" si="169"/>
        <v>540</v>
      </c>
      <c r="E898" s="17">
        <f t="shared" ref="E898:E961" si="172">1+SUMPRODUCT(($J$2:$J$1437=$J898)*(AX$2:AX$1437&gt;AX898))</f>
        <v>540</v>
      </c>
      <c r="F898" s="18" t="str">
        <f t="shared" si="170"/>
        <v>540</v>
      </c>
      <c r="G898" s="18">
        <f t="shared" ref="G898:G961" si="173">1+SUMPRODUCT(($J$2:$J$1437=$J898)*(AY$2:AY$1437&gt;AY898))</f>
        <v>540</v>
      </c>
      <c r="H898" s="19" t="str">
        <f t="shared" si="171"/>
        <v>540</v>
      </c>
      <c r="I898" s="19">
        <f t="shared" ref="I898:I961" si="174">1+SUMPRODUCT(($J$2:$J$1437=$J898)*(AZ$2:AZ$1437&gt;AZ898))</f>
        <v>540</v>
      </c>
      <c r="J898" s="30"/>
      <c r="K898" s="30"/>
      <c r="L898" s="30"/>
      <c r="M898" s="30"/>
      <c r="N898" s="30"/>
      <c r="O898" s="30"/>
      <c r="P898" s="29"/>
      <c r="Q898" s="29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25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W898" s="27">
        <f t="shared" ref="AW898:AW961" si="175">AJ898+ROW(C898)/1000000</f>
        <v>8.9800000000000004E-4</v>
      </c>
      <c r="AX898" s="27">
        <f t="shared" ref="AX898:AX961" si="176">AD898+ROW(C898)/1000000</f>
        <v>8.9800000000000004E-4</v>
      </c>
      <c r="AY898" s="27">
        <f t="shared" ref="AY898:AY961" si="177">AB898+ROW(A898)/1000000</f>
        <v>8.9800000000000004E-4</v>
      </c>
      <c r="AZ898" s="27">
        <f t="shared" ref="AZ898:AZ961" si="178">AP898+ROW(A898)/1000000</f>
        <v>8.9800000000000004E-4</v>
      </c>
    </row>
    <row r="899" spans="1:52" ht="15" customHeight="1" x14ac:dyDescent="0.25">
      <c r="A899" s="13" t="e">
        <f>VLOOKUP(L899,[1]VALIDAÇÃO!$D$13:$E$350,2,0)</f>
        <v>#N/A</v>
      </c>
      <c r="B899" s="14" t="str">
        <f t="shared" si="168"/>
        <v>539</v>
      </c>
      <c r="C899" s="15">
        <f t="shared" ref="C899:C962" si="179">1+SUMPRODUCT(($J$2:$J$1437=J899)*($AW$2:$AW$1437&gt;AW899))</f>
        <v>539</v>
      </c>
      <c r="D899" s="16" t="str">
        <f t="shared" si="169"/>
        <v>539</v>
      </c>
      <c r="E899" s="17">
        <f t="shared" si="172"/>
        <v>539</v>
      </c>
      <c r="F899" s="18" t="str">
        <f t="shared" si="170"/>
        <v>539</v>
      </c>
      <c r="G899" s="18">
        <f t="shared" si="173"/>
        <v>539</v>
      </c>
      <c r="H899" s="19" t="str">
        <f t="shared" si="171"/>
        <v>539</v>
      </c>
      <c r="I899" s="19">
        <f t="shared" si="174"/>
        <v>539</v>
      </c>
      <c r="J899" s="30"/>
      <c r="K899" s="30"/>
      <c r="L899" s="30"/>
      <c r="M899" s="30"/>
      <c r="N899" s="33"/>
      <c r="O899" s="30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25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W899" s="27">
        <f t="shared" si="175"/>
        <v>8.9899999999999995E-4</v>
      </c>
      <c r="AX899" s="27">
        <f t="shared" si="176"/>
        <v>8.9899999999999995E-4</v>
      </c>
      <c r="AY899" s="27">
        <f t="shared" si="177"/>
        <v>8.9899999999999995E-4</v>
      </c>
      <c r="AZ899" s="27">
        <f t="shared" si="178"/>
        <v>8.9899999999999995E-4</v>
      </c>
    </row>
    <row r="900" spans="1:52" ht="15" customHeight="1" x14ac:dyDescent="0.25">
      <c r="A900" s="13" t="e">
        <f>VLOOKUP(L900,[1]VALIDAÇÃO!$D$13:$E$350,2,0)</f>
        <v>#N/A</v>
      </c>
      <c r="B900" s="14" t="str">
        <f t="shared" si="168"/>
        <v>538</v>
      </c>
      <c r="C900" s="15">
        <f t="shared" si="179"/>
        <v>538</v>
      </c>
      <c r="D900" s="16" t="str">
        <f t="shared" si="169"/>
        <v>538</v>
      </c>
      <c r="E900" s="17">
        <f t="shared" si="172"/>
        <v>538</v>
      </c>
      <c r="F900" s="18" t="str">
        <f t="shared" si="170"/>
        <v>538</v>
      </c>
      <c r="G900" s="18">
        <f t="shared" si="173"/>
        <v>538</v>
      </c>
      <c r="H900" s="19" t="str">
        <f t="shared" si="171"/>
        <v>538</v>
      </c>
      <c r="I900" s="19">
        <f t="shared" si="174"/>
        <v>538</v>
      </c>
      <c r="J900" s="30"/>
      <c r="K900" s="30"/>
      <c r="L900" s="30"/>
      <c r="M900" s="30"/>
      <c r="N900" s="30"/>
      <c r="O900" s="30"/>
      <c r="P900" s="29"/>
      <c r="Q900" s="29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25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W900" s="27">
        <f t="shared" si="175"/>
        <v>8.9999999999999998E-4</v>
      </c>
      <c r="AX900" s="27">
        <f t="shared" si="176"/>
        <v>8.9999999999999998E-4</v>
      </c>
      <c r="AY900" s="27">
        <f t="shared" si="177"/>
        <v>8.9999999999999998E-4</v>
      </c>
      <c r="AZ900" s="27">
        <f t="shared" si="178"/>
        <v>8.9999999999999998E-4</v>
      </c>
    </row>
    <row r="901" spans="1:52" ht="15" customHeight="1" x14ac:dyDescent="0.25">
      <c r="A901" s="13" t="e">
        <f>VLOOKUP(L901,[1]VALIDAÇÃO!$D$13:$E$350,2,0)</f>
        <v>#N/A</v>
      </c>
      <c r="B901" s="14" t="str">
        <f t="shared" si="168"/>
        <v>537</v>
      </c>
      <c r="C901" s="15">
        <f t="shared" si="179"/>
        <v>537</v>
      </c>
      <c r="D901" s="16" t="str">
        <f t="shared" si="169"/>
        <v>537</v>
      </c>
      <c r="E901" s="17">
        <f t="shared" si="172"/>
        <v>537</v>
      </c>
      <c r="F901" s="18" t="str">
        <f t="shared" si="170"/>
        <v>537</v>
      </c>
      <c r="G901" s="18">
        <f t="shared" si="173"/>
        <v>537</v>
      </c>
      <c r="H901" s="19" t="str">
        <f t="shared" si="171"/>
        <v>537</v>
      </c>
      <c r="I901" s="19">
        <f t="shared" si="174"/>
        <v>537</v>
      </c>
      <c r="J901" s="30"/>
      <c r="K901" s="30"/>
      <c r="L901" s="30"/>
      <c r="M901" s="30"/>
      <c r="N901" s="33"/>
      <c r="O901" s="30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25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W901" s="27">
        <f t="shared" si="175"/>
        <v>9.01E-4</v>
      </c>
      <c r="AX901" s="27">
        <f t="shared" si="176"/>
        <v>9.01E-4</v>
      </c>
      <c r="AY901" s="27">
        <f t="shared" si="177"/>
        <v>9.01E-4</v>
      </c>
      <c r="AZ901" s="27">
        <f t="shared" si="178"/>
        <v>9.01E-4</v>
      </c>
    </row>
    <row r="902" spans="1:52" ht="15" customHeight="1" x14ac:dyDescent="0.25">
      <c r="A902" s="13" t="e">
        <f>VLOOKUP(L902,[1]VALIDAÇÃO!$D$13:$E$350,2,0)</f>
        <v>#N/A</v>
      </c>
      <c r="B902" s="14" t="str">
        <f t="shared" si="168"/>
        <v>536</v>
      </c>
      <c r="C902" s="15">
        <f t="shared" si="179"/>
        <v>536</v>
      </c>
      <c r="D902" s="16" t="str">
        <f t="shared" si="169"/>
        <v>536</v>
      </c>
      <c r="E902" s="17">
        <f t="shared" si="172"/>
        <v>536</v>
      </c>
      <c r="F902" s="18" t="str">
        <f t="shared" si="170"/>
        <v>536</v>
      </c>
      <c r="G902" s="18">
        <f t="shared" si="173"/>
        <v>536</v>
      </c>
      <c r="H902" s="19" t="str">
        <f t="shared" si="171"/>
        <v>536</v>
      </c>
      <c r="I902" s="19">
        <f t="shared" si="174"/>
        <v>536</v>
      </c>
      <c r="J902" s="30"/>
      <c r="K902" s="30"/>
      <c r="L902" s="30"/>
      <c r="M902" s="30"/>
      <c r="N902" s="30"/>
      <c r="O902" s="30"/>
      <c r="P902" s="29"/>
      <c r="Q902" s="29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25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W902" s="27">
        <f t="shared" si="175"/>
        <v>9.0200000000000002E-4</v>
      </c>
      <c r="AX902" s="27">
        <f t="shared" si="176"/>
        <v>9.0200000000000002E-4</v>
      </c>
      <c r="AY902" s="27">
        <f t="shared" si="177"/>
        <v>9.0200000000000002E-4</v>
      </c>
      <c r="AZ902" s="27">
        <f t="shared" si="178"/>
        <v>9.0200000000000002E-4</v>
      </c>
    </row>
    <row r="903" spans="1:52" ht="15" customHeight="1" x14ac:dyDescent="0.25">
      <c r="A903" s="13" t="e">
        <f>VLOOKUP(L903,[1]VALIDAÇÃO!$D$13:$E$350,2,0)</f>
        <v>#N/A</v>
      </c>
      <c r="B903" s="14" t="str">
        <f t="shared" si="168"/>
        <v>535</v>
      </c>
      <c r="C903" s="15">
        <f t="shared" si="179"/>
        <v>535</v>
      </c>
      <c r="D903" s="16" t="str">
        <f t="shared" si="169"/>
        <v>535</v>
      </c>
      <c r="E903" s="17">
        <f t="shared" si="172"/>
        <v>535</v>
      </c>
      <c r="F903" s="18" t="str">
        <f t="shared" si="170"/>
        <v>535</v>
      </c>
      <c r="G903" s="18">
        <f t="shared" si="173"/>
        <v>535</v>
      </c>
      <c r="H903" s="19" t="str">
        <f t="shared" si="171"/>
        <v>535</v>
      </c>
      <c r="I903" s="19">
        <f t="shared" si="174"/>
        <v>535</v>
      </c>
      <c r="J903" s="30"/>
      <c r="K903" s="30"/>
      <c r="L903" s="30"/>
      <c r="M903" s="30"/>
      <c r="N903" s="33"/>
      <c r="O903" s="30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25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W903" s="27">
        <f t="shared" si="175"/>
        <v>9.0300000000000005E-4</v>
      </c>
      <c r="AX903" s="27">
        <f t="shared" si="176"/>
        <v>9.0300000000000005E-4</v>
      </c>
      <c r="AY903" s="27">
        <f t="shared" si="177"/>
        <v>9.0300000000000005E-4</v>
      </c>
      <c r="AZ903" s="27">
        <f t="shared" si="178"/>
        <v>9.0300000000000005E-4</v>
      </c>
    </row>
    <row r="904" spans="1:52" ht="15" customHeight="1" x14ac:dyDescent="0.25">
      <c r="A904" s="13" t="e">
        <f>VLOOKUP(L904,[1]VALIDAÇÃO!$D$13:$E$350,2,0)</f>
        <v>#N/A</v>
      </c>
      <c r="B904" s="14" t="str">
        <f t="shared" si="168"/>
        <v>534</v>
      </c>
      <c r="C904" s="15">
        <f t="shared" si="179"/>
        <v>534</v>
      </c>
      <c r="D904" s="16" t="str">
        <f t="shared" si="169"/>
        <v>534</v>
      </c>
      <c r="E904" s="17">
        <f t="shared" si="172"/>
        <v>534</v>
      </c>
      <c r="F904" s="18" t="str">
        <f t="shared" si="170"/>
        <v>534</v>
      </c>
      <c r="G904" s="18">
        <f t="shared" si="173"/>
        <v>534</v>
      </c>
      <c r="H904" s="19" t="str">
        <f t="shared" si="171"/>
        <v>534</v>
      </c>
      <c r="I904" s="19">
        <f t="shared" si="174"/>
        <v>534</v>
      </c>
      <c r="J904" s="30"/>
      <c r="K904" s="30"/>
      <c r="L904" s="30"/>
      <c r="M904" s="30"/>
      <c r="N904" s="30"/>
      <c r="O904" s="30"/>
      <c r="P904" s="29"/>
      <c r="Q904" s="29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25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W904" s="27">
        <f t="shared" si="175"/>
        <v>9.0399999999999996E-4</v>
      </c>
      <c r="AX904" s="27">
        <f t="shared" si="176"/>
        <v>9.0399999999999996E-4</v>
      </c>
      <c r="AY904" s="27">
        <f t="shared" si="177"/>
        <v>9.0399999999999996E-4</v>
      </c>
      <c r="AZ904" s="27">
        <f t="shared" si="178"/>
        <v>9.0399999999999996E-4</v>
      </c>
    </row>
    <row r="905" spans="1:52" ht="15" customHeight="1" x14ac:dyDescent="0.25">
      <c r="A905" s="13" t="e">
        <f>VLOOKUP(L905,[1]VALIDAÇÃO!$D$13:$E$350,2,0)</f>
        <v>#N/A</v>
      </c>
      <c r="B905" s="14" t="str">
        <f t="shared" si="168"/>
        <v>533</v>
      </c>
      <c r="C905" s="15">
        <f t="shared" si="179"/>
        <v>533</v>
      </c>
      <c r="D905" s="16" t="str">
        <f t="shared" si="169"/>
        <v>533</v>
      </c>
      <c r="E905" s="17">
        <f t="shared" si="172"/>
        <v>533</v>
      </c>
      <c r="F905" s="18" t="str">
        <f t="shared" si="170"/>
        <v>533</v>
      </c>
      <c r="G905" s="18">
        <f t="shared" si="173"/>
        <v>533</v>
      </c>
      <c r="H905" s="19" t="str">
        <f t="shared" si="171"/>
        <v>533</v>
      </c>
      <c r="I905" s="19">
        <f t="shared" si="174"/>
        <v>533</v>
      </c>
      <c r="J905" s="30"/>
      <c r="K905" s="30"/>
      <c r="L905" s="30"/>
      <c r="M905" s="30"/>
      <c r="N905" s="30"/>
      <c r="O905" s="30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25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W905" s="27">
        <f t="shared" si="175"/>
        <v>9.0499999999999999E-4</v>
      </c>
      <c r="AX905" s="27">
        <f t="shared" si="176"/>
        <v>9.0499999999999999E-4</v>
      </c>
      <c r="AY905" s="27">
        <f t="shared" si="177"/>
        <v>9.0499999999999999E-4</v>
      </c>
      <c r="AZ905" s="27">
        <f t="shared" si="178"/>
        <v>9.0499999999999999E-4</v>
      </c>
    </row>
    <row r="906" spans="1:52" ht="15" customHeight="1" x14ac:dyDescent="0.25">
      <c r="A906" s="13" t="e">
        <f>VLOOKUP(L906,[1]VALIDAÇÃO!$D$13:$E$350,2,0)</f>
        <v>#N/A</v>
      </c>
      <c r="B906" s="14" t="str">
        <f t="shared" si="168"/>
        <v>532</v>
      </c>
      <c r="C906" s="15">
        <f t="shared" si="179"/>
        <v>532</v>
      </c>
      <c r="D906" s="16" t="str">
        <f t="shared" si="169"/>
        <v>532</v>
      </c>
      <c r="E906" s="17">
        <f t="shared" si="172"/>
        <v>532</v>
      </c>
      <c r="F906" s="18" t="str">
        <f t="shared" si="170"/>
        <v>532</v>
      </c>
      <c r="G906" s="18">
        <f t="shared" si="173"/>
        <v>532</v>
      </c>
      <c r="H906" s="19" t="str">
        <f t="shared" si="171"/>
        <v>532</v>
      </c>
      <c r="I906" s="19">
        <f t="shared" si="174"/>
        <v>532</v>
      </c>
      <c r="J906" s="30"/>
      <c r="K906" s="30"/>
      <c r="L906" s="30"/>
      <c r="M906" s="30"/>
      <c r="N906" s="33"/>
      <c r="O906" s="30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25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W906" s="27">
        <f t="shared" si="175"/>
        <v>9.0600000000000001E-4</v>
      </c>
      <c r="AX906" s="27">
        <f t="shared" si="176"/>
        <v>9.0600000000000001E-4</v>
      </c>
      <c r="AY906" s="27">
        <f t="shared" si="177"/>
        <v>9.0600000000000001E-4</v>
      </c>
      <c r="AZ906" s="27">
        <f t="shared" si="178"/>
        <v>9.0600000000000001E-4</v>
      </c>
    </row>
    <row r="907" spans="1:52" ht="15" customHeight="1" x14ac:dyDescent="0.25">
      <c r="A907" s="13" t="e">
        <f>VLOOKUP(L907,[1]VALIDAÇÃO!$D$13:$E$350,2,0)</f>
        <v>#N/A</v>
      </c>
      <c r="B907" s="14" t="str">
        <f t="shared" si="168"/>
        <v>531</v>
      </c>
      <c r="C907" s="15">
        <f t="shared" si="179"/>
        <v>531</v>
      </c>
      <c r="D907" s="16" t="str">
        <f t="shared" si="169"/>
        <v>531</v>
      </c>
      <c r="E907" s="17">
        <f t="shared" si="172"/>
        <v>531</v>
      </c>
      <c r="F907" s="18" t="str">
        <f t="shared" si="170"/>
        <v>531</v>
      </c>
      <c r="G907" s="18">
        <f t="shared" si="173"/>
        <v>531</v>
      </c>
      <c r="H907" s="19" t="str">
        <f t="shared" si="171"/>
        <v>531</v>
      </c>
      <c r="I907" s="19">
        <f t="shared" si="174"/>
        <v>531</v>
      </c>
      <c r="J907" s="30"/>
      <c r="K907" s="30"/>
      <c r="L907" s="30"/>
      <c r="M907" s="30"/>
      <c r="N907" s="33"/>
      <c r="O907" s="30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25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W907" s="27">
        <f t="shared" si="175"/>
        <v>9.0700000000000004E-4</v>
      </c>
      <c r="AX907" s="27">
        <f t="shared" si="176"/>
        <v>9.0700000000000004E-4</v>
      </c>
      <c r="AY907" s="27">
        <f t="shared" si="177"/>
        <v>9.0700000000000004E-4</v>
      </c>
      <c r="AZ907" s="27">
        <f t="shared" si="178"/>
        <v>9.0700000000000004E-4</v>
      </c>
    </row>
    <row r="908" spans="1:52" ht="15" customHeight="1" x14ac:dyDescent="0.25">
      <c r="A908" s="13" t="e">
        <f>VLOOKUP(L908,[1]VALIDAÇÃO!$D$13:$E$350,2,0)</f>
        <v>#N/A</v>
      </c>
      <c r="B908" s="14" t="str">
        <f t="shared" si="168"/>
        <v>530</v>
      </c>
      <c r="C908" s="15">
        <f t="shared" si="179"/>
        <v>530</v>
      </c>
      <c r="D908" s="16" t="str">
        <f t="shared" si="169"/>
        <v>530</v>
      </c>
      <c r="E908" s="17">
        <f t="shared" si="172"/>
        <v>530</v>
      </c>
      <c r="F908" s="18" t="str">
        <f t="shared" si="170"/>
        <v>530</v>
      </c>
      <c r="G908" s="18">
        <f t="shared" si="173"/>
        <v>530</v>
      </c>
      <c r="H908" s="19" t="str">
        <f t="shared" si="171"/>
        <v>530</v>
      </c>
      <c r="I908" s="19">
        <f t="shared" si="174"/>
        <v>530</v>
      </c>
      <c r="J908" s="30"/>
      <c r="K908" s="30"/>
      <c r="L908" s="30"/>
      <c r="M908" s="30"/>
      <c r="N908" s="33"/>
      <c r="O908" s="30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25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W908" s="27">
        <f t="shared" si="175"/>
        <v>9.0799999999999995E-4</v>
      </c>
      <c r="AX908" s="27">
        <f t="shared" si="176"/>
        <v>9.0799999999999995E-4</v>
      </c>
      <c r="AY908" s="27">
        <f t="shared" si="177"/>
        <v>9.0799999999999995E-4</v>
      </c>
      <c r="AZ908" s="27">
        <f t="shared" si="178"/>
        <v>9.0799999999999995E-4</v>
      </c>
    </row>
    <row r="909" spans="1:52" ht="15" customHeight="1" x14ac:dyDescent="0.25">
      <c r="A909" s="13" t="e">
        <f>VLOOKUP(L909,[1]VALIDAÇÃO!$D$13:$E$350,2,0)</f>
        <v>#N/A</v>
      </c>
      <c r="B909" s="14" t="str">
        <f t="shared" si="168"/>
        <v>529</v>
      </c>
      <c r="C909" s="15">
        <f t="shared" si="179"/>
        <v>529</v>
      </c>
      <c r="D909" s="16" t="str">
        <f t="shared" si="169"/>
        <v>529</v>
      </c>
      <c r="E909" s="17">
        <f t="shared" si="172"/>
        <v>529</v>
      </c>
      <c r="F909" s="18" t="str">
        <f t="shared" si="170"/>
        <v>529</v>
      </c>
      <c r="G909" s="18">
        <f t="shared" si="173"/>
        <v>529</v>
      </c>
      <c r="H909" s="19" t="str">
        <f t="shared" si="171"/>
        <v>529</v>
      </c>
      <c r="I909" s="19">
        <f t="shared" si="174"/>
        <v>529</v>
      </c>
      <c r="J909" s="30"/>
      <c r="K909" s="30"/>
      <c r="L909" s="30"/>
      <c r="M909" s="30"/>
      <c r="N909" s="30"/>
      <c r="O909" s="30"/>
      <c r="P909" s="29"/>
      <c r="Q909" s="29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25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W909" s="27">
        <f t="shared" si="175"/>
        <v>9.0899999999999998E-4</v>
      </c>
      <c r="AX909" s="27">
        <f t="shared" si="176"/>
        <v>9.0899999999999998E-4</v>
      </c>
      <c r="AY909" s="27">
        <f t="shared" si="177"/>
        <v>9.0899999999999998E-4</v>
      </c>
      <c r="AZ909" s="27">
        <f t="shared" si="178"/>
        <v>9.0899999999999998E-4</v>
      </c>
    </row>
    <row r="910" spans="1:52" ht="15" customHeight="1" x14ac:dyDescent="0.25">
      <c r="A910" s="13" t="e">
        <f>VLOOKUP(L910,[1]VALIDAÇÃO!$D$13:$E$350,2,0)</f>
        <v>#N/A</v>
      </c>
      <c r="B910" s="14" t="str">
        <f t="shared" si="168"/>
        <v>528</v>
      </c>
      <c r="C910" s="15">
        <f t="shared" si="179"/>
        <v>528</v>
      </c>
      <c r="D910" s="16" t="str">
        <f t="shared" si="169"/>
        <v>528</v>
      </c>
      <c r="E910" s="17">
        <f t="shared" si="172"/>
        <v>528</v>
      </c>
      <c r="F910" s="18" t="str">
        <f t="shared" si="170"/>
        <v>528</v>
      </c>
      <c r="G910" s="18">
        <f t="shared" si="173"/>
        <v>528</v>
      </c>
      <c r="H910" s="19" t="str">
        <f t="shared" si="171"/>
        <v>528</v>
      </c>
      <c r="I910" s="19">
        <f t="shared" si="174"/>
        <v>528</v>
      </c>
      <c r="J910" s="30"/>
      <c r="K910" s="30"/>
      <c r="L910" s="30"/>
      <c r="M910" s="30"/>
      <c r="N910" s="33"/>
      <c r="O910" s="30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25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W910" s="27">
        <f t="shared" si="175"/>
        <v>9.1E-4</v>
      </c>
      <c r="AX910" s="27">
        <f t="shared" si="176"/>
        <v>9.1E-4</v>
      </c>
      <c r="AY910" s="27">
        <f t="shared" si="177"/>
        <v>9.1E-4</v>
      </c>
      <c r="AZ910" s="27">
        <f t="shared" si="178"/>
        <v>9.1E-4</v>
      </c>
    </row>
    <row r="911" spans="1:52" ht="15" customHeight="1" x14ac:dyDescent="0.25">
      <c r="A911" s="13" t="e">
        <f>VLOOKUP(L911,[1]VALIDAÇÃO!$D$13:$E$350,2,0)</f>
        <v>#N/A</v>
      </c>
      <c r="B911" s="14" t="str">
        <f t="shared" si="168"/>
        <v>527</v>
      </c>
      <c r="C911" s="15">
        <f t="shared" si="179"/>
        <v>527</v>
      </c>
      <c r="D911" s="16" t="str">
        <f t="shared" si="169"/>
        <v>527</v>
      </c>
      <c r="E911" s="17">
        <f t="shared" si="172"/>
        <v>527</v>
      </c>
      <c r="F911" s="18" t="str">
        <f t="shared" si="170"/>
        <v>527</v>
      </c>
      <c r="G911" s="18">
        <f t="shared" si="173"/>
        <v>527</v>
      </c>
      <c r="H911" s="19" t="str">
        <f t="shared" si="171"/>
        <v>527</v>
      </c>
      <c r="I911" s="19">
        <f t="shared" si="174"/>
        <v>527</v>
      </c>
      <c r="J911" s="30"/>
      <c r="K911" s="30"/>
      <c r="L911" s="30"/>
      <c r="M911" s="30"/>
      <c r="N911" s="33"/>
      <c r="O911" s="30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25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W911" s="27">
        <f t="shared" si="175"/>
        <v>9.1100000000000003E-4</v>
      </c>
      <c r="AX911" s="27">
        <f t="shared" si="176"/>
        <v>9.1100000000000003E-4</v>
      </c>
      <c r="AY911" s="27">
        <f t="shared" si="177"/>
        <v>9.1100000000000003E-4</v>
      </c>
      <c r="AZ911" s="27">
        <f t="shared" si="178"/>
        <v>9.1100000000000003E-4</v>
      </c>
    </row>
    <row r="912" spans="1:52" ht="15" customHeight="1" x14ac:dyDescent="0.25">
      <c r="A912" s="13" t="e">
        <f>VLOOKUP(L912,[1]VALIDAÇÃO!$D$13:$E$350,2,0)</f>
        <v>#N/A</v>
      </c>
      <c r="B912" s="14" t="str">
        <f t="shared" si="168"/>
        <v>526</v>
      </c>
      <c r="C912" s="15">
        <f t="shared" si="179"/>
        <v>526</v>
      </c>
      <c r="D912" s="16" t="str">
        <f t="shared" si="169"/>
        <v>526</v>
      </c>
      <c r="E912" s="17">
        <f t="shared" si="172"/>
        <v>526</v>
      </c>
      <c r="F912" s="18" t="str">
        <f t="shared" si="170"/>
        <v>526</v>
      </c>
      <c r="G912" s="18">
        <f t="shared" si="173"/>
        <v>526</v>
      </c>
      <c r="H912" s="19" t="str">
        <f t="shared" si="171"/>
        <v>526</v>
      </c>
      <c r="I912" s="19">
        <f t="shared" si="174"/>
        <v>526</v>
      </c>
      <c r="J912" s="30"/>
      <c r="K912" s="30"/>
      <c r="L912" s="30"/>
      <c r="M912" s="30"/>
      <c r="N912" s="33"/>
      <c r="O912" s="30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25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W912" s="27">
        <f t="shared" si="175"/>
        <v>9.1200000000000005E-4</v>
      </c>
      <c r="AX912" s="27">
        <f t="shared" si="176"/>
        <v>9.1200000000000005E-4</v>
      </c>
      <c r="AY912" s="27">
        <f t="shared" si="177"/>
        <v>9.1200000000000005E-4</v>
      </c>
      <c r="AZ912" s="27">
        <f t="shared" si="178"/>
        <v>9.1200000000000005E-4</v>
      </c>
    </row>
    <row r="913" spans="1:52" ht="15" customHeight="1" x14ac:dyDescent="0.25">
      <c r="A913" s="13" t="e">
        <f>VLOOKUP(L913,[1]VALIDAÇÃO!$D$13:$E$350,2,0)</f>
        <v>#N/A</v>
      </c>
      <c r="B913" s="14" t="str">
        <f t="shared" si="168"/>
        <v>525</v>
      </c>
      <c r="C913" s="15">
        <f t="shared" si="179"/>
        <v>525</v>
      </c>
      <c r="D913" s="16" t="str">
        <f t="shared" si="169"/>
        <v>525</v>
      </c>
      <c r="E913" s="17">
        <f t="shared" si="172"/>
        <v>525</v>
      </c>
      <c r="F913" s="18" t="str">
        <f t="shared" si="170"/>
        <v>525</v>
      </c>
      <c r="G913" s="18">
        <f t="shared" si="173"/>
        <v>525</v>
      </c>
      <c r="H913" s="19" t="str">
        <f t="shared" si="171"/>
        <v>525</v>
      </c>
      <c r="I913" s="19">
        <f t="shared" si="174"/>
        <v>525</v>
      </c>
      <c r="J913" s="30"/>
      <c r="K913" s="30"/>
      <c r="L913" s="30"/>
      <c r="M913" s="30"/>
      <c r="N913" s="30"/>
      <c r="O913" s="30"/>
      <c r="P913" s="29"/>
      <c r="Q913" s="29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25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W913" s="27">
        <f t="shared" si="175"/>
        <v>9.1299999999999997E-4</v>
      </c>
      <c r="AX913" s="27">
        <f t="shared" si="176"/>
        <v>9.1299999999999997E-4</v>
      </c>
      <c r="AY913" s="27">
        <f t="shared" si="177"/>
        <v>9.1299999999999997E-4</v>
      </c>
      <c r="AZ913" s="27">
        <f t="shared" si="178"/>
        <v>9.1299999999999997E-4</v>
      </c>
    </row>
    <row r="914" spans="1:52" ht="15" customHeight="1" x14ac:dyDescent="0.25">
      <c r="A914" s="13" t="e">
        <f>VLOOKUP(L914,[1]VALIDAÇÃO!$D$13:$E$350,2,0)</f>
        <v>#N/A</v>
      </c>
      <c r="B914" s="14" t="str">
        <f t="shared" si="168"/>
        <v>524</v>
      </c>
      <c r="C914" s="15">
        <f t="shared" si="179"/>
        <v>524</v>
      </c>
      <c r="D914" s="16" t="str">
        <f t="shared" si="169"/>
        <v>524</v>
      </c>
      <c r="E914" s="17">
        <f t="shared" si="172"/>
        <v>524</v>
      </c>
      <c r="F914" s="18" t="str">
        <f t="shared" si="170"/>
        <v>524</v>
      </c>
      <c r="G914" s="18">
        <f t="shared" si="173"/>
        <v>524</v>
      </c>
      <c r="H914" s="19" t="str">
        <f t="shared" si="171"/>
        <v>524</v>
      </c>
      <c r="I914" s="19">
        <f t="shared" si="174"/>
        <v>524</v>
      </c>
      <c r="J914" s="30"/>
      <c r="K914" s="30"/>
      <c r="L914" s="30"/>
      <c r="M914" s="30"/>
      <c r="N914" s="33"/>
      <c r="O914" s="30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25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W914" s="27">
        <f t="shared" si="175"/>
        <v>9.1399999999999999E-4</v>
      </c>
      <c r="AX914" s="27">
        <f t="shared" si="176"/>
        <v>9.1399999999999999E-4</v>
      </c>
      <c r="AY914" s="27">
        <f t="shared" si="177"/>
        <v>9.1399999999999999E-4</v>
      </c>
      <c r="AZ914" s="27">
        <f t="shared" si="178"/>
        <v>9.1399999999999999E-4</v>
      </c>
    </row>
    <row r="915" spans="1:52" ht="15" customHeight="1" x14ac:dyDescent="0.25">
      <c r="A915" s="13" t="e">
        <f>VLOOKUP(L915,[1]VALIDAÇÃO!$D$13:$E$350,2,0)</f>
        <v>#N/A</v>
      </c>
      <c r="B915" s="14" t="str">
        <f t="shared" si="168"/>
        <v>523</v>
      </c>
      <c r="C915" s="15">
        <f t="shared" si="179"/>
        <v>523</v>
      </c>
      <c r="D915" s="16" t="str">
        <f t="shared" si="169"/>
        <v>523</v>
      </c>
      <c r="E915" s="17">
        <f t="shared" si="172"/>
        <v>523</v>
      </c>
      <c r="F915" s="18" t="str">
        <f t="shared" si="170"/>
        <v>523</v>
      </c>
      <c r="G915" s="18">
        <f t="shared" si="173"/>
        <v>523</v>
      </c>
      <c r="H915" s="19" t="str">
        <f t="shared" si="171"/>
        <v>523</v>
      </c>
      <c r="I915" s="19">
        <f t="shared" si="174"/>
        <v>523</v>
      </c>
      <c r="J915" s="30"/>
      <c r="K915" s="30"/>
      <c r="L915" s="30"/>
      <c r="M915" s="30"/>
      <c r="N915" s="33"/>
      <c r="O915" s="30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25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W915" s="27">
        <f t="shared" si="175"/>
        <v>9.1500000000000001E-4</v>
      </c>
      <c r="AX915" s="27">
        <f t="shared" si="176"/>
        <v>9.1500000000000001E-4</v>
      </c>
      <c r="AY915" s="27">
        <f t="shared" si="177"/>
        <v>9.1500000000000001E-4</v>
      </c>
      <c r="AZ915" s="27">
        <f t="shared" si="178"/>
        <v>9.1500000000000001E-4</v>
      </c>
    </row>
    <row r="916" spans="1:52" ht="15" customHeight="1" x14ac:dyDescent="0.25">
      <c r="A916" s="13" t="e">
        <f>VLOOKUP(L916,[1]VALIDAÇÃO!$D$13:$E$350,2,0)</f>
        <v>#N/A</v>
      </c>
      <c r="B916" s="14" t="str">
        <f t="shared" ref="B916:B979" si="180">C916&amp;J916</f>
        <v>522</v>
      </c>
      <c r="C916" s="15">
        <f t="shared" si="179"/>
        <v>522</v>
      </c>
      <c r="D916" s="16" t="str">
        <f t="shared" ref="D916:D979" si="181">E916&amp;J916</f>
        <v>522</v>
      </c>
      <c r="E916" s="17">
        <f t="shared" si="172"/>
        <v>522</v>
      </c>
      <c r="F916" s="18" t="str">
        <f t="shared" ref="F916:F979" si="182">G916&amp;J916</f>
        <v>522</v>
      </c>
      <c r="G916" s="18">
        <f t="shared" si="173"/>
        <v>522</v>
      </c>
      <c r="H916" s="19" t="str">
        <f t="shared" ref="H916:H979" si="183">I916&amp;J916</f>
        <v>522</v>
      </c>
      <c r="I916" s="19">
        <f t="shared" si="174"/>
        <v>522</v>
      </c>
      <c r="J916" s="30"/>
      <c r="K916" s="30"/>
      <c r="L916" s="30"/>
      <c r="M916" s="30"/>
      <c r="N916" s="33"/>
      <c r="O916" s="30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25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W916" s="27">
        <f t="shared" si="175"/>
        <v>9.1600000000000004E-4</v>
      </c>
      <c r="AX916" s="27">
        <f t="shared" si="176"/>
        <v>9.1600000000000004E-4</v>
      </c>
      <c r="AY916" s="27">
        <f t="shared" si="177"/>
        <v>9.1600000000000004E-4</v>
      </c>
      <c r="AZ916" s="27">
        <f t="shared" si="178"/>
        <v>9.1600000000000004E-4</v>
      </c>
    </row>
    <row r="917" spans="1:52" ht="15" customHeight="1" x14ac:dyDescent="0.25">
      <c r="A917" s="13" t="e">
        <f>VLOOKUP(L917,[1]VALIDAÇÃO!$D$13:$E$350,2,0)</f>
        <v>#N/A</v>
      </c>
      <c r="B917" s="14" t="str">
        <f t="shared" si="180"/>
        <v>521</v>
      </c>
      <c r="C917" s="15">
        <f t="shared" si="179"/>
        <v>521</v>
      </c>
      <c r="D917" s="16" t="str">
        <f t="shared" si="181"/>
        <v>521</v>
      </c>
      <c r="E917" s="17">
        <f t="shared" si="172"/>
        <v>521</v>
      </c>
      <c r="F917" s="18" t="str">
        <f t="shared" si="182"/>
        <v>521</v>
      </c>
      <c r="G917" s="18">
        <f t="shared" si="173"/>
        <v>521</v>
      </c>
      <c r="H917" s="19" t="str">
        <f t="shared" si="183"/>
        <v>521</v>
      </c>
      <c r="I917" s="19">
        <f t="shared" si="174"/>
        <v>521</v>
      </c>
      <c r="J917" s="30"/>
      <c r="K917" s="30"/>
      <c r="L917" s="30"/>
      <c r="M917" s="30"/>
      <c r="N917" s="30"/>
      <c r="O917" s="30"/>
      <c r="P917" s="29"/>
      <c r="Q917" s="29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25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W917" s="27">
        <f t="shared" si="175"/>
        <v>9.1699999999999995E-4</v>
      </c>
      <c r="AX917" s="27">
        <f t="shared" si="176"/>
        <v>9.1699999999999995E-4</v>
      </c>
      <c r="AY917" s="27">
        <f t="shared" si="177"/>
        <v>9.1699999999999995E-4</v>
      </c>
      <c r="AZ917" s="27">
        <f t="shared" si="178"/>
        <v>9.1699999999999995E-4</v>
      </c>
    </row>
    <row r="918" spans="1:52" ht="15" customHeight="1" x14ac:dyDescent="0.25">
      <c r="A918" s="13" t="e">
        <f>VLOOKUP(L918,[1]VALIDAÇÃO!$D$13:$E$350,2,0)</f>
        <v>#N/A</v>
      </c>
      <c r="B918" s="14" t="str">
        <f t="shared" si="180"/>
        <v>520</v>
      </c>
      <c r="C918" s="15">
        <f t="shared" si="179"/>
        <v>520</v>
      </c>
      <c r="D918" s="16" t="str">
        <f t="shared" si="181"/>
        <v>520</v>
      </c>
      <c r="E918" s="17">
        <f t="shared" si="172"/>
        <v>520</v>
      </c>
      <c r="F918" s="18" t="str">
        <f t="shared" si="182"/>
        <v>520</v>
      </c>
      <c r="G918" s="18">
        <f t="shared" si="173"/>
        <v>520</v>
      </c>
      <c r="H918" s="19" t="str">
        <f t="shared" si="183"/>
        <v>520</v>
      </c>
      <c r="I918" s="19">
        <f t="shared" si="174"/>
        <v>520</v>
      </c>
      <c r="J918" s="30"/>
      <c r="K918" s="30"/>
      <c r="L918" s="30"/>
      <c r="M918" s="30"/>
      <c r="N918" s="30"/>
      <c r="O918" s="30"/>
      <c r="P918" s="29"/>
      <c r="Q918" s="29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25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W918" s="27">
        <f t="shared" si="175"/>
        <v>9.1799999999999998E-4</v>
      </c>
      <c r="AX918" s="27">
        <f t="shared" si="176"/>
        <v>9.1799999999999998E-4</v>
      </c>
      <c r="AY918" s="27">
        <f t="shared" si="177"/>
        <v>9.1799999999999998E-4</v>
      </c>
      <c r="AZ918" s="27">
        <f t="shared" si="178"/>
        <v>9.1799999999999998E-4</v>
      </c>
    </row>
    <row r="919" spans="1:52" ht="15" customHeight="1" x14ac:dyDescent="0.25">
      <c r="A919" s="13" t="e">
        <f>VLOOKUP(L919,[1]VALIDAÇÃO!$D$13:$E$350,2,0)</f>
        <v>#N/A</v>
      </c>
      <c r="B919" s="14" t="str">
        <f t="shared" si="180"/>
        <v>519</v>
      </c>
      <c r="C919" s="15">
        <f t="shared" si="179"/>
        <v>519</v>
      </c>
      <c r="D919" s="16" t="str">
        <f t="shared" si="181"/>
        <v>519</v>
      </c>
      <c r="E919" s="17">
        <f t="shared" si="172"/>
        <v>519</v>
      </c>
      <c r="F919" s="18" t="str">
        <f t="shared" si="182"/>
        <v>519</v>
      </c>
      <c r="G919" s="18">
        <f t="shared" si="173"/>
        <v>519</v>
      </c>
      <c r="H919" s="19" t="str">
        <f t="shared" si="183"/>
        <v>519</v>
      </c>
      <c r="I919" s="19">
        <f t="shared" si="174"/>
        <v>519</v>
      </c>
      <c r="J919" s="30"/>
      <c r="K919" s="30"/>
      <c r="L919" s="30"/>
      <c r="M919" s="30"/>
      <c r="N919" s="33"/>
      <c r="O919" s="30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25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W919" s="27">
        <f t="shared" si="175"/>
        <v>9.19E-4</v>
      </c>
      <c r="AX919" s="27">
        <f t="shared" si="176"/>
        <v>9.19E-4</v>
      </c>
      <c r="AY919" s="27">
        <f t="shared" si="177"/>
        <v>9.19E-4</v>
      </c>
      <c r="AZ919" s="27">
        <f t="shared" si="178"/>
        <v>9.19E-4</v>
      </c>
    </row>
    <row r="920" spans="1:52" ht="15" customHeight="1" x14ac:dyDescent="0.25">
      <c r="A920" s="13" t="e">
        <f>VLOOKUP(L920,[1]VALIDAÇÃO!$D$13:$E$350,2,0)</f>
        <v>#N/A</v>
      </c>
      <c r="B920" s="14" t="str">
        <f t="shared" si="180"/>
        <v>518</v>
      </c>
      <c r="C920" s="15">
        <f t="shared" si="179"/>
        <v>518</v>
      </c>
      <c r="D920" s="16" t="str">
        <f t="shared" si="181"/>
        <v>518</v>
      </c>
      <c r="E920" s="17">
        <f t="shared" si="172"/>
        <v>518</v>
      </c>
      <c r="F920" s="18" t="str">
        <f t="shared" si="182"/>
        <v>518</v>
      </c>
      <c r="G920" s="18">
        <f t="shared" si="173"/>
        <v>518</v>
      </c>
      <c r="H920" s="19" t="str">
        <f t="shared" si="183"/>
        <v>518</v>
      </c>
      <c r="I920" s="19">
        <f t="shared" si="174"/>
        <v>518</v>
      </c>
      <c r="J920" s="30"/>
      <c r="K920" s="30"/>
      <c r="L920" s="30"/>
      <c r="M920" s="30"/>
      <c r="N920" s="33"/>
      <c r="O920" s="30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25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W920" s="27">
        <f t="shared" si="175"/>
        <v>9.2000000000000003E-4</v>
      </c>
      <c r="AX920" s="27">
        <f t="shared" si="176"/>
        <v>9.2000000000000003E-4</v>
      </c>
      <c r="AY920" s="27">
        <f t="shared" si="177"/>
        <v>9.2000000000000003E-4</v>
      </c>
      <c r="AZ920" s="27">
        <f t="shared" si="178"/>
        <v>9.2000000000000003E-4</v>
      </c>
    </row>
    <row r="921" spans="1:52" ht="15" customHeight="1" x14ac:dyDescent="0.25">
      <c r="A921" s="13" t="e">
        <f>VLOOKUP(L921,[1]VALIDAÇÃO!$D$13:$E$350,2,0)</f>
        <v>#N/A</v>
      </c>
      <c r="B921" s="14" t="str">
        <f t="shared" si="180"/>
        <v>517</v>
      </c>
      <c r="C921" s="15">
        <f t="shared" si="179"/>
        <v>517</v>
      </c>
      <c r="D921" s="16" t="str">
        <f t="shared" si="181"/>
        <v>517</v>
      </c>
      <c r="E921" s="17">
        <f t="shared" si="172"/>
        <v>517</v>
      </c>
      <c r="F921" s="18" t="str">
        <f t="shared" si="182"/>
        <v>517</v>
      </c>
      <c r="G921" s="18">
        <f t="shared" si="173"/>
        <v>517</v>
      </c>
      <c r="H921" s="19" t="str">
        <f t="shared" si="183"/>
        <v>517</v>
      </c>
      <c r="I921" s="19">
        <f t="shared" si="174"/>
        <v>517</v>
      </c>
      <c r="J921" s="30"/>
      <c r="K921" s="30"/>
      <c r="L921" s="30"/>
      <c r="M921" s="30"/>
      <c r="N921" s="30"/>
      <c r="O921" s="30"/>
      <c r="P921" s="29"/>
      <c r="Q921" s="29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25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W921" s="27">
        <f t="shared" si="175"/>
        <v>9.2100000000000005E-4</v>
      </c>
      <c r="AX921" s="27">
        <f t="shared" si="176"/>
        <v>9.2100000000000005E-4</v>
      </c>
      <c r="AY921" s="27">
        <f t="shared" si="177"/>
        <v>9.2100000000000005E-4</v>
      </c>
      <c r="AZ921" s="27">
        <f t="shared" si="178"/>
        <v>9.2100000000000005E-4</v>
      </c>
    </row>
    <row r="922" spans="1:52" ht="15" customHeight="1" x14ac:dyDescent="0.25">
      <c r="A922" s="13" t="e">
        <f>VLOOKUP(L922,[1]VALIDAÇÃO!$D$13:$E$350,2,0)</f>
        <v>#N/A</v>
      </c>
      <c r="B922" s="14" t="str">
        <f t="shared" si="180"/>
        <v>516</v>
      </c>
      <c r="C922" s="15">
        <f t="shared" si="179"/>
        <v>516</v>
      </c>
      <c r="D922" s="16" t="str">
        <f t="shared" si="181"/>
        <v>516</v>
      </c>
      <c r="E922" s="17">
        <f t="shared" si="172"/>
        <v>516</v>
      </c>
      <c r="F922" s="18" t="str">
        <f t="shared" si="182"/>
        <v>516</v>
      </c>
      <c r="G922" s="18">
        <f t="shared" si="173"/>
        <v>516</v>
      </c>
      <c r="H922" s="19" t="str">
        <f t="shared" si="183"/>
        <v>516</v>
      </c>
      <c r="I922" s="19">
        <f t="shared" si="174"/>
        <v>516</v>
      </c>
      <c r="J922" s="30"/>
      <c r="K922" s="30"/>
      <c r="L922" s="30"/>
      <c r="M922" s="30"/>
      <c r="N922" s="33"/>
      <c r="O922" s="30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25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W922" s="27">
        <f t="shared" si="175"/>
        <v>9.2199999999999997E-4</v>
      </c>
      <c r="AX922" s="27">
        <f t="shared" si="176"/>
        <v>9.2199999999999997E-4</v>
      </c>
      <c r="AY922" s="27">
        <f t="shared" si="177"/>
        <v>9.2199999999999997E-4</v>
      </c>
      <c r="AZ922" s="27">
        <f t="shared" si="178"/>
        <v>9.2199999999999997E-4</v>
      </c>
    </row>
    <row r="923" spans="1:52" ht="15" customHeight="1" x14ac:dyDescent="0.25">
      <c r="A923" s="13" t="e">
        <f>VLOOKUP(L923,[1]VALIDAÇÃO!$D$13:$E$350,2,0)</f>
        <v>#N/A</v>
      </c>
      <c r="B923" s="14" t="str">
        <f t="shared" si="180"/>
        <v>515</v>
      </c>
      <c r="C923" s="15">
        <f t="shared" si="179"/>
        <v>515</v>
      </c>
      <c r="D923" s="16" t="str">
        <f t="shared" si="181"/>
        <v>515</v>
      </c>
      <c r="E923" s="17">
        <f t="shared" si="172"/>
        <v>515</v>
      </c>
      <c r="F923" s="18" t="str">
        <f t="shared" si="182"/>
        <v>515</v>
      </c>
      <c r="G923" s="18">
        <f t="shared" si="173"/>
        <v>515</v>
      </c>
      <c r="H923" s="19" t="str">
        <f t="shared" si="183"/>
        <v>515</v>
      </c>
      <c r="I923" s="19">
        <f t="shared" si="174"/>
        <v>515</v>
      </c>
      <c r="J923" s="30"/>
      <c r="K923" s="30"/>
      <c r="L923" s="30"/>
      <c r="M923" s="30"/>
      <c r="N923" s="33"/>
      <c r="O923" s="30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25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W923" s="27">
        <f t="shared" si="175"/>
        <v>9.2299999999999999E-4</v>
      </c>
      <c r="AX923" s="27">
        <f t="shared" si="176"/>
        <v>9.2299999999999999E-4</v>
      </c>
      <c r="AY923" s="27">
        <f t="shared" si="177"/>
        <v>9.2299999999999999E-4</v>
      </c>
      <c r="AZ923" s="27">
        <f t="shared" si="178"/>
        <v>9.2299999999999999E-4</v>
      </c>
    </row>
    <row r="924" spans="1:52" ht="15" customHeight="1" x14ac:dyDescent="0.25">
      <c r="A924" s="13" t="e">
        <f>VLOOKUP(L924,[1]VALIDAÇÃO!$D$13:$E$350,2,0)</f>
        <v>#N/A</v>
      </c>
      <c r="B924" s="14" t="str">
        <f t="shared" si="180"/>
        <v>514</v>
      </c>
      <c r="C924" s="15">
        <f t="shared" si="179"/>
        <v>514</v>
      </c>
      <c r="D924" s="16" t="str">
        <f t="shared" si="181"/>
        <v>514</v>
      </c>
      <c r="E924" s="17">
        <f t="shared" si="172"/>
        <v>514</v>
      </c>
      <c r="F924" s="18" t="str">
        <f t="shared" si="182"/>
        <v>514</v>
      </c>
      <c r="G924" s="18">
        <f t="shared" si="173"/>
        <v>514</v>
      </c>
      <c r="H924" s="19" t="str">
        <f t="shared" si="183"/>
        <v>514</v>
      </c>
      <c r="I924" s="19">
        <f t="shared" si="174"/>
        <v>514</v>
      </c>
      <c r="J924" s="30"/>
      <c r="K924" s="30"/>
      <c r="L924" s="30"/>
      <c r="M924" s="30"/>
      <c r="N924" s="33"/>
      <c r="O924" s="30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25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W924" s="27">
        <f t="shared" si="175"/>
        <v>9.2400000000000002E-4</v>
      </c>
      <c r="AX924" s="27">
        <f t="shared" si="176"/>
        <v>9.2400000000000002E-4</v>
      </c>
      <c r="AY924" s="27">
        <f t="shared" si="177"/>
        <v>9.2400000000000002E-4</v>
      </c>
      <c r="AZ924" s="27">
        <f t="shared" si="178"/>
        <v>9.2400000000000002E-4</v>
      </c>
    </row>
    <row r="925" spans="1:52" ht="15" customHeight="1" x14ac:dyDescent="0.25">
      <c r="A925" s="13" t="e">
        <f>VLOOKUP(L925,[1]VALIDAÇÃO!$D$13:$E$350,2,0)</f>
        <v>#N/A</v>
      </c>
      <c r="B925" s="14" t="str">
        <f t="shared" si="180"/>
        <v>513</v>
      </c>
      <c r="C925" s="15">
        <f t="shared" si="179"/>
        <v>513</v>
      </c>
      <c r="D925" s="16" t="str">
        <f t="shared" si="181"/>
        <v>513</v>
      </c>
      <c r="E925" s="17">
        <f t="shared" si="172"/>
        <v>513</v>
      </c>
      <c r="F925" s="18" t="str">
        <f t="shared" si="182"/>
        <v>513</v>
      </c>
      <c r="G925" s="18">
        <f t="shared" si="173"/>
        <v>513</v>
      </c>
      <c r="H925" s="19" t="str">
        <f t="shared" si="183"/>
        <v>513</v>
      </c>
      <c r="I925" s="19">
        <f t="shared" si="174"/>
        <v>513</v>
      </c>
      <c r="J925" s="30"/>
      <c r="K925" s="30"/>
      <c r="L925" s="30"/>
      <c r="M925" s="30"/>
      <c r="N925" s="33"/>
      <c r="O925" s="30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25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W925" s="27">
        <f t="shared" si="175"/>
        <v>9.2500000000000004E-4</v>
      </c>
      <c r="AX925" s="27">
        <f t="shared" si="176"/>
        <v>9.2500000000000004E-4</v>
      </c>
      <c r="AY925" s="27">
        <f t="shared" si="177"/>
        <v>9.2500000000000004E-4</v>
      </c>
      <c r="AZ925" s="27">
        <f t="shared" si="178"/>
        <v>9.2500000000000004E-4</v>
      </c>
    </row>
    <row r="926" spans="1:52" ht="15" customHeight="1" x14ac:dyDescent="0.25">
      <c r="A926" s="13" t="e">
        <f>VLOOKUP(L926,[1]VALIDAÇÃO!$D$13:$E$350,2,0)</f>
        <v>#N/A</v>
      </c>
      <c r="B926" s="14" t="str">
        <f t="shared" si="180"/>
        <v>512</v>
      </c>
      <c r="C926" s="15">
        <f t="shared" si="179"/>
        <v>512</v>
      </c>
      <c r="D926" s="16" t="str">
        <f t="shared" si="181"/>
        <v>512</v>
      </c>
      <c r="E926" s="17">
        <f t="shared" si="172"/>
        <v>512</v>
      </c>
      <c r="F926" s="18" t="str">
        <f t="shared" si="182"/>
        <v>512</v>
      </c>
      <c r="G926" s="18">
        <f t="shared" si="173"/>
        <v>512</v>
      </c>
      <c r="H926" s="19" t="str">
        <f t="shared" si="183"/>
        <v>512</v>
      </c>
      <c r="I926" s="19">
        <f t="shared" si="174"/>
        <v>512</v>
      </c>
      <c r="J926" s="30"/>
      <c r="K926" s="30"/>
      <c r="L926" s="30"/>
      <c r="M926" s="30"/>
      <c r="N926" s="30"/>
      <c r="O926" s="30"/>
      <c r="P926" s="29"/>
      <c r="Q926" s="29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25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W926" s="27">
        <f t="shared" si="175"/>
        <v>9.2599999999999996E-4</v>
      </c>
      <c r="AX926" s="27">
        <f t="shared" si="176"/>
        <v>9.2599999999999996E-4</v>
      </c>
      <c r="AY926" s="27">
        <f t="shared" si="177"/>
        <v>9.2599999999999996E-4</v>
      </c>
      <c r="AZ926" s="27">
        <f t="shared" si="178"/>
        <v>9.2599999999999996E-4</v>
      </c>
    </row>
    <row r="927" spans="1:52" ht="15" customHeight="1" x14ac:dyDescent="0.25">
      <c r="A927" s="13" t="e">
        <f>VLOOKUP(L927,[1]VALIDAÇÃO!$D$13:$E$350,2,0)</f>
        <v>#N/A</v>
      </c>
      <c r="B927" s="14" t="str">
        <f t="shared" si="180"/>
        <v>511</v>
      </c>
      <c r="C927" s="15">
        <f t="shared" si="179"/>
        <v>511</v>
      </c>
      <c r="D927" s="16" t="str">
        <f t="shared" si="181"/>
        <v>511</v>
      </c>
      <c r="E927" s="17">
        <f t="shared" si="172"/>
        <v>511</v>
      </c>
      <c r="F927" s="18" t="str">
        <f t="shared" si="182"/>
        <v>511</v>
      </c>
      <c r="G927" s="18">
        <f t="shared" si="173"/>
        <v>511</v>
      </c>
      <c r="H927" s="19" t="str">
        <f t="shared" si="183"/>
        <v>511</v>
      </c>
      <c r="I927" s="19">
        <f t="shared" si="174"/>
        <v>511</v>
      </c>
      <c r="J927" s="30"/>
      <c r="K927" s="30"/>
      <c r="L927" s="30"/>
      <c r="M927" s="30"/>
      <c r="N927" s="33"/>
      <c r="O927" s="30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25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W927" s="27">
        <f t="shared" si="175"/>
        <v>9.2699999999999998E-4</v>
      </c>
      <c r="AX927" s="27">
        <f t="shared" si="176"/>
        <v>9.2699999999999998E-4</v>
      </c>
      <c r="AY927" s="27">
        <f t="shared" si="177"/>
        <v>9.2699999999999998E-4</v>
      </c>
      <c r="AZ927" s="27">
        <f t="shared" si="178"/>
        <v>9.2699999999999998E-4</v>
      </c>
    </row>
    <row r="928" spans="1:52" ht="15" customHeight="1" x14ac:dyDescent="0.25">
      <c r="A928" s="13" t="e">
        <f>VLOOKUP(L928,[1]VALIDAÇÃO!$D$13:$E$350,2,0)</f>
        <v>#N/A</v>
      </c>
      <c r="B928" s="14" t="str">
        <f t="shared" si="180"/>
        <v>510</v>
      </c>
      <c r="C928" s="15">
        <f t="shared" si="179"/>
        <v>510</v>
      </c>
      <c r="D928" s="16" t="str">
        <f t="shared" si="181"/>
        <v>510</v>
      </c>
      <c r="E928" s="17">
        <f t="shared" si="172"/>
        <v>510</v>
      </c>
      <c r="F928" s="18" t="str">
        <f t="shared" si="182"/>
        <v>510</v>
      </c>
      <c r="G928" s="18">
        <f t="shared" si="173"/>
        <v>510</v>
      </c>
      <c r="H928" s="19" t="str">
        <f t="shared" si="183"/>
        <v>510</v>
      </c>
      <c r="I928" s="19">
        <f t="shared" si="174"/>
        <v>510</v>
      </c>
      <c r="J928" s="30"/>
      <c r="K928" s="30"/>
      <c r="L928" s="30"/>
      <c r="M928" s="30"/>
      <c r="N928" s="33"/>
      <c r="O928" s="30"/>
      <c r="P928" s="29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25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W928" s="27">
        <f t="shared" si="175"/>
        <v>9.2800000000000001E-4</v>
      </c>
      <c r="AX928" s="27">
        <f t="shared" si="176"/>
        <v>9.2800000000000001E-4</v>
      </c>
      <c r="AY928" s="27">
        <f t="shared" si="177"/>
        <v>9.2800000000000001E-4</v>
      </c>
      <c r="AZ928" s="27">
        <f t="shared" si="178"/>
        <v>9.2800000000000001E-4</v>
      </c>
    </row>
    <row r="929" spans="1:52" ht="15" customHeight="1" x14ac:dyDescent="0.25">
      <c r="A929" s="13" t="e">
        <f>VLOOKUP(L929,[1]VALIDAÇÃO!$D$13:$E$350,2,0)</f>
        <v>#N/A</v>
      </c>
      <c r="B929" s="14" t="str">
        <f t="shared" si="180"/>
        <v>509</v>
      </c>
      <c r="C929" s="15">
        <f t="shared" si="179"/>
        <v>509</v>
      </c>
      <c r="D929" s="16" t="str">
        <f t="shared" si="181"/>
        <v>509</v>
      </c>
      <c r="E929" s="17">
        <f t="shared" si="172"/>
        <v>509</v>
      </c>
      <c r="F929" s="18" t="str">
        <f t="shared" si="182"/>
        <v>509</v>
      </c>
      <c r="G929" s="18">
        <f t="shared" si="173"/>
        <v>509</v>
      </c>
      <c r="H929" s="19" t="str">
        <f t="shared" si="183"/>
        <v>509</v>
      </c>
      <c r="I929" s="19">
        <f t="shared" si="174"/>
        <v>509</v>
      </c>
      <c r="J929" s="30"/>
      <c r="K929" s="30"/>
      <c r="L929" s="30"/>
      <c r="M929" s="30"/>
      <c r="N929" s="30"/>
      <c r="O929" s="30"/>
      <c r="P929" s="29"/>
      <c r="Q929" s="29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25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W929" s="27">
        <f t="shared" si="175"/>
        <v>9.2900000000000003E-4</v>
      </c>
      <c r="AX929" s="27">
        <f t="shared" si="176"/>
        <v>9.2900000000000003E-4</v>
      </c>
      <c r="AY929" s="27">
        <f t="shared" si="177"/>
        <v>9.2900000000000003E-4</v>
      </c>
      <c r="AZ929" s="27">
        <f t="shared" si="178"/>
        <v>9.2900000000000003E-4</v>
      </c>
    </row>
    <row r="930" spans="1:52" ht="15" customHeight="1" x14ac:dyDescent="0.25">
      <c r="A930" s="13" t="e">
        <f>VLOOKUP(L930,[1]VALIDAÇÃO!$D$13:$E$350,2,0)</f>
        <v>#N/A</v>
      </c>
      <c r="B930" s="14" t="str">
        <f t="shared" si="180"/>
        <v>508</v>
      </c>
      <c r="C930" s="15">
        <f t="shared" si="179"/>
        <v>508</v>
      </c>
      <c r="D930" s="16" t="str">
        <f t="shared" si="181"/>
        <v>508</v>
      </c>
      <c r="E930" s="17">
        <f t="shared" si="172"/>
        <v>508</v>
      </c>
      <c r="F930" s="18" t="str">
        <f t="shared" si="182"/>
        <v>508</v>
      </c>
      <c r="G930" s="18">
        <f t="shared" si="173"/>
        <v>508</v>
      </c>
      <c r="H930" s="19" t="str">
        <f t="shared" si="183"/>
        <v>508</v>
      </c>
      <c r="I930" s="19">
        <f t="shared" si="174"/>
        <v>508</v>
      </c>
      <c r="J930" s="30"/>
      <c r="K930" s="30"/>
      <c r="L930" s="30"/>
      <c r="M930" s="30"/>
      <c r="N930" s="30"/>
      <c r="O930" s="30"/>
      <c r="P930" s="29"/>
      <c r="Q930" s="29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25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W930" s="27">
        <f t="shared" si="175"/>
        <v>9.3000000000000005E-4</v>
      </c>
      <c r="AX930" s="27">
        <f t="shared" si="176"/>
        <v>9.3000000000000005E-4</v>
      </c>
      <c r="AY930" s="27">
        <f t="shared" si="177"/>
        <v>9.3000000000000005E-4</v>
      </c>
      <c r="AZ930" s="27">
        <f t="shared" si="178"/>
        <v>9.3000000000000005E-4</v>
      </c>
    </row>
    <row r="931" spans="1:52" ht="15" customHeight="1" x14ac:dyDescent="0.25">
      <c r="A931" s="13" t="e">
        <f>VLOOKUP(L931,[1]VALIDAÇÃO!$D$13:$E$350,2,0)</f>
        <v>#N/A</v>
      </c>
      <c r="B931" s="14" t="str">
        <f t="shared" si="180"/>
        <v>507</v>
      </c>
      <c r="C931" s="15">
        <f t="shared" si="179"/>
        <v>507</v>
      </c>
      <c r="D931" s="16" t="str">
        <f t="shared" si="181"/>
        <v>507</v>
      </c>
      <c r="E931" s="17">
        <f t="shared" si="172"/>
        <v>507</v>
      </c>
      <c r="F931" s="18" t="str">
        <f t="shared" si="182"/>
        <v>507</v>
      </c>
      <c r="G931" s="18">
        <f t="shared" si="173"/>
        <v>507</v>
      </c>
      <c r="H931" s="19" t="str">
        <f t="shared" si="183"/>
        <v>507</v>
      </c>
      <c r="I931" s="19">
        <f t="shared" si="174"/>
        <v>507</v>
      </c>
      <c r="J931" s="30"/>
      <c r="K931" s="30"/>
      <c r="L931" s="30"/>
      <c r="M931" s="30"/>
      <c r="N931" s="33"/>
      <c r="O931" s="30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25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W931" s="27">
        <f t="shared" si="175"/>
        <v>9.3099999999999997E-4</v>
      </c>
      <c r="AX931" s="27">
        <f t="shared" si="176"/>
        <v>9.3099999999999997E-4</v>
      </c>
      <c r="AY931" s="27">
        <f t="shared" si="177"/>
        <v>9.3099999999999997E-4</v>
      </c>
      <c r="AZ931" s="27">
        <f t="shared" si="178"/>
        <v>9.3099999999999997E-4</v>
      </c>
    </row>
    <row r="932" spans="1:52" ht="15" customHeight="1" x14ac:dyDescent="0.25">
      <c r="A932" s="13" t="e">
        <f>VLOOKUP(L932,[1]VALIDAÇÃO!$D$13:$E$350,2,0)</f>
        <v>#N/A</v>
      </c>
      <c r="B932" s="14" t="str">
        <f t="shared" si="180"/>
        <v>506</v>
      </c>
      <c r="C932" s="15">
        <f t="shared" si="179"/>
        <v>506</v>
      </c>
      <c r="D932" s="16" t="str">
        <f t="shared" si="181"/>
        <v>506</v>
      </c>
      <c r="E932" s="17">
        <f t="shared" si="172"/>
        <v>506</v>
      </c>
      <c r="F932" s="18" t="str">
        <f t="shared" si="182"/>
        <v>506</v>
      </c>
      <c r="G932" s="18">
        <f t="shared" si="173"/>
        <v>506</v>
      </c>
      <c r="H932" s="19" t="str">
        <f t="shared" si="183"/>
        <v>506</v>
      </c>
      <c r="I932" s="19">
        <f t="shared" si="174"/>
        <v>506</v>
      </c>
      <c r="J932" s="30"/>
      <c r="K932" s="30"/>
      <c r="L932" s="30"/>
      <c r="M932" s="30"/>
      <c r="N932" s="33"/>
      <c r="O932" s="30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25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W932" s="27">
        <f t="shared" si="175"/>
        <v>9.3199999999999999E-4</v>
      </c>
      <c r="AX932" s="27">
        <f t="shared" si="176"/>
        <v>9.3199999999999999E-4</v>
      </c>
      <c r="AY932" s="27">
        <f t="shared" si="177"/>
        <v>9.3199999999999999E-4</v>
      </c>
      <c r="AZ932" s="27">
        <f t="shared" si="178"/>
        <v>9.3199999999999999E-4</v>
      </c>
    </row>
    <row r="933" spans="1:52" ht="15" customHeight="1" x14ac:dyDescent="0.25">
      <c r="A933" s="13" t="e">
        <f>VLOOKUP(L933,[1]VALIDAÇÃO!$D$13:$E$350,2,0)</f>
        <v>#N/A</v>
      </c>
      <c r="B933" s="14" t="str">
        <f t="shared" si="180"/>
        <v>505</v>
      </c>
      <c r="C933" s="15">
        <f t="shared" si="179"/>
        <v>505</v>
      </c>
      <c r="D933" s="16" t="str">
        <f t="shared" si="181"/>
        <v>505</v>
      </c>
      <c r="E933" s="17">
        <f t="shared" si="172"/>
        <v>505</v>
      </c>
      <c r="F933" s="18" t="str">
        <f t="shared" si="182"/>
        <v>505</v>
      </c>
      <c r="G933" s="18">
        <f t="shared" si="173"/>
        <v>505</v>
      </c>
      <c r="H933" s="19" t="str">
        <f t="shared" si="183"/>
        <v>505</v>
      </c>
      <c r="I933" s="19">
        <f t="shared" si="174"/>
        <v>505</v>
      </c>
      <c r="J933" s="30"/>
      <c r="K933" s="30"/>
      <c r="L933" s="30"/>
      <c r="M933" s="30"/>
      <c r="N933" s="33"/>
      <c r="O933" s="30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25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W933" s="27">
        <f t="shared" si="175"/>
        <v>9.3300000000000002E-4</v>
      </c>
      <c r="AX933" s="27">
        <f t="shared" si="176"/>
        <v>9.3300000000000002E-4</v>
      </c>
      <c r="AY933" s="27">
        <f t="shared" si="177"/>
        <v>9.3300000000000002E-4</v>
      </c>
      <c r="AZ933" s="27">
        <f t="shared" si="178"/>
        <v>9.3300000000000002E-4</v>
      </c>
    </row>
    <row r="934" spans="1:52" ht="15" customHeight="1" x14ac:dyDescent="0.25">
      <c r="A934" s="13" t="e">
        <f>VLOOKUP(L934,[1]VALIDAÇÃO!$D$13:$E$350,2,0)</f>
        <v>#N/A</v>
      </c>
      <c r="B934" s="14" t="str">
        <f t="shared" si="180"/>
        <v>504</v>
      </c>
      <c r="C934" s="15">
        <f t="shared" si="179"/>
        <v>504</v>
      </c>
      <c r="D934" s="16" t="str">
        <f t="shared" si="181"/>
        <v>504</v>
      </c>
      <c r="E934" s="17">
        <f t="shared" si="172"/>
        <v>504</v>
      </c>
      <c r="F934" s="18" t="str">
        <f t="shared" si="182"/>
        <v>504</v>
      </c>
      <c r="G934" s="18">
        <f t="shared" si="173"/>
        <v>504</v>
      </c>
      <c r="H934" s="19" t="str">
        <f t="shared" si="183"/>
        <v>504</v>
      </c>
      <c r="I934" s="19">
        <f t="shared" si="174"/>
        <v>504</v>
      </c>
      <c r="J934" s="30"/>
      <c r="K934" s="30"/>
      <c r="L934" s="30"/>
      <c r="M934" s="30"/>
      <c r="N934" s="30"/>
      <c r="O934" s="30"/>
      <c r="P934" s="29"/>
      <c r="Q934" s="29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25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W934" s="27">
        <f t="shared" si="175"/>
        <v>9.3400000000000004E-4</v>
      </c>
      <c r="AX934" s="27">
        <f t="shared" si="176"/>
        <v>9.3400000000000004E-4</v>
      </c>
      <c r="AY934" s="27">
        <f t="shared" si="177"/>
        <v>9.3400000000000004E-4</v>
      </c>
      <c r="AZ934" s="27">
        <f t="shared" si="178"/>
        <v>9.3400000000000004E-4</v>
      </c>
    </row>
    <row r="935" spans="1:52" ht="15" customHeight="1" x14ac:dyDescent="0.25">
      <c r="A935" s="13" t="e">
        <f>VLOOKUP(L935,[1]VALIDAÇÃO!$D$13:$E$350,2,0)</f>
        <v>#N/A</v>
      </c>
      <c r="B935" s="14" t="str">
        <f t="shared" si="180"/>
        <v>503</v>
      </c>
      <c r="C935" s="15">
        <f t="shared" si="179"/>
        <v>503</v>
      </c>
      <c r="D935" s="16" t="str">
        <f t="shared" si="181"/>
        <v>503</v>
      </c>
      <c r="E935" s="17">
        <f t="shared" si="172"/>
        <v>503</v>
      </c>
      <c r="F935" s="18" t="str">
        <f t="shared" si="182"/>
        <v>503</v>
      </c>
      <c r="G935" s="18">
        <f t="shared" si="173"/>
        <v>503</v>
      </c>
      <c r="H935" s="19" t="str">
        <f t="shared" si="183"/>
        <v>503</v>
      </c>
      <c r="I935" s="19">
        <f t="shared" si="174"/>
        <v>503</v>
      </c>
      <c r="J935" s="30"/>
      <c r="K935" s="30"/>
      <c r="L935" s="30"/>
      <c r="M935" s="30"/>
      <c r="N935" s="30"/>
      <c r="O935" s="30"/>
      <c r="P935" s="29"/>
      <c r="Q935" s="29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25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W935" s="27">
        <f t="shared" si="175"/>
        <v>9.3499999999999996E-4</v>
      </c>
      <c r="AX935" s="27">
        <f t="shared" si="176"/>
        <v>9.3499999999999996E-4</v>
      </c>
      <c r="AY935" s="27">
        <f t="shared" si="177"/>
        <v>9.3499999999999996E-4</v>
      </c>
      <c r="AZ935" s="27">
        <f t="shared" si="178"/>
        <v>9.3499999999999996E-4</v>
      </c>
    </row>
    <row r="936" spans="1:52" ht="15" customHeight="1" x14ac:dyDescent="0.25">
      <c r="A936" s="13" t="e">
        <f>VLOOKUP(L936,[1]VALIDAÇÃO!$D$13:$E$350,2,0)</f>
        <v>#N/A</v>
      </c>
      <c r="B936" s="14" t="str">
        <f t="shared" si="180"/>
        <v>502</v>
      </c>
      <c r="C936" s="15">
        <f t="shared" si="179"/>
        <v>502</v>
      </c>
      <c r="D936" s="16" t="str">
        <f t="shared" si="181"/>
        <v>502</v>
      </c>
      <c r="E936" s="17">
        <f t="shared" si="172"/>
        <v>502</v>
      </c>
      <c r="F936" s="18" t="str">
        <f t="shared" si="182"/>
        <v>502</v>
      </c>
      <c r="G936" s="18">
        <f t="shared" si="173"/>
        <v>502</v>
      </c>
      <c r="H936" s="19" t="str">
        <f t="shared" si="183"/>
        <v>502</v>
      </c>
      <c r="I936" s="19">
        <f t="shared" si="174"/>
        <v>502</v>
      </c>
      <c r="J936" s="30"/>
      <c r="K936" s="30"/>
      <c r="L936" s="30"/>
      <c r="M936" s="30"/>
      <c r="N936" s="30"/>
      <c r="O936" s="30"/>
      <c r="P936" s="29"/>
      <c r="Q936" s="29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25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W936" s="27">
        <f t="shared" si="175"/>
        <v>9.3599999999999998E-4</v>
      </c>
      <c r="AX936" s="27">
        <f t="shared" si="176"/>
        <v>9.3599999999999998E-4</v>
      </c>
      <c r="AY936" s="27">
        <f t="shared" si="177"/>
        <v>9.3599999999999998E-4</v>
      </c>
      <c r="AZ936" s="27">
        <f t="shared" si="178"/>
        <v>9.3599999999999998E-4</v>
      </c>
    </row>
    <row r="937" spans="1:52" ht="15" customHeight="1" x14ac:dyDescent="0.25">
      <c r="A937" s="13" t="e">
        <f>VLOOKUP(L937,[1]VALIDAÇÃO!$D$13:$E$350,2,0)</f>
        <v>#N/A</v>
      </c>
      <c r="B937" s="14" t="str">
        <f t="shared" si="180"/>
        <v>501</v>
      </c>
      <c r="C937" s="15">
        <f t="shared" si="179"/>
        <v>501</v>
      </c>
      <c r="D937" s="16" t="str">
        <f t="shared" si="181"/>
        <v>501</v>
      </c>
      <c r="E937" s="17">
        <f t="shared" si="172"/>
        <v>501</v>
      </c>
      <c r="F937" s="18" t="str">
        <f t="shared" si="182"/>
        <v>501</v>
      </c>
      <c r="G937" s="18">
        <f t="shared" si="173"/>
        <v>501</v>
      </c>
      <c r="H937" s="19" t="str">
        <f t="shared" si="183"/>
        <v>501</v>
      </c>
      <c r="I937" s="19">
        <f t="shared" si="174"/>
        <v>501</v>
      </c>
      <c r="J937" s="30"/>
      <c r="K937" s="30"/>
      <c r="L937" s="30"/>
      <c r="M937" s="30"/>
      <c r="N937" s="33"/>
      <c r="O937" s="30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25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W937" s="27">
        <f t="shared" si="175"/>
        <v>9.3700000000000001E-4</v>
      </c>
      <c r="AX937" s="27">
        <f t="shared" si="176"/>
        <v>9.3700000000000001E-4</v>
      </c>
      <c r="AY937" s="27">
        <f t="shared" si="177"/>
        <v>9.3700000000000001E-4</v>
      </c>
      <c r="AZ937" s="27">
        <f t="shared" si="178"/>
        <v>9.3700000000000001E-4</v>
      </c>
    </row>
    <row r="938" spans="1:52" ht="15" customHeight="1" x14ac:dyDescent="0.25">
      <c r="A938" s="13" t="e">
        <f>VLOOKUP(L938,[1]VALIDAÇÃO!$D$13:$E$350,2,0)</f>
        <v>#N/A</v>
      </c>
      <c r="B938" s="14" t="str">
        <f t="shared" si="180"/>
        <v>500</v>
      </c>
      <c r="C938" s="15">
        <f t="shared" si="179"/>
        <v>500</v>
      </c>
      <c r="D938" s="16" t="str">
        <f t="shared" si="181"/>
        <v>500</v>
      </c>
      <c r="E938" s="17">
        <f t="shared" si="172"/>
        <v>500</v>
      </c>
      <c r="F938" s="18" t="str">
        <f t="shared" si="182"/>
        <v>500</v>
      </c>
      <c r="G938" s="18">
        <f t="shared" si="173"/>
        <v>500</v>
      </c>
      <c r="H938" s="19" t="str">
        <f t="shared" si="183"/>
        <v>500</v>
      </c>
      <c r="I938" s="19">
        <f t="shared" si="174"/>
        <v>500</v>
      </c>
      <c r="J938" s="30"/>
      <c r="K938" s="30"/>
      <c r="L938" s="30"/>
      <c r="M938" s="30"/>
      <c r="N938" s="33"/>
      <c r="O938" s="30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25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W938" s="27">
        <f t="shared" si="175"/>
        <v>9.3800000000000003E-4</v>
      </c>
      <c r="AX938" s="27">
        <f t="shared" si="176"/>
        <v>9.3800000000000003E-4</v>
      </c>
      <c r="AY938" s="27">
        <f t="shared" si="177"/>
        <v>9.3800000000000003E-4</v>
      </c>
      <c r="AZ938" s="27">
        <f t="shared" si="178"/>
        <v>9.3800000000000003E-4</v>
      </c>
    </row>
    <row r="939" spans="1:52" ht="15" customHeight="1" x14ac:dyDescent="0.25">
      <c r="A939" s="13" t="e">
        <f>VLOOKUP(L939,[1]VALIDAÇÃO!$D$13:$E$350,2,0)</f>
        <v>#N/A</v>
      </c>
      <c r="B939" s="14" t="str">
        <f t="shared" si="180"/>
        <v>499</v>
      </c>
      <c r="C939" s="15">
        <f t="shared" si="179"/>
        <v>499</v>
      </c>
      <c r="D939" s="16" t="str">
        <f t="shared" si="181"/>
        <v>499</v>
      </c>
      <c r="E939" s="17">
        <f t="shared" si="172"/>
        <v>499</v>
      </c>
      <c r="F939" s="18" t="str">
        <f t="shared" si="182"/>
        <v>499</v>
      </c>
      <c r="G939" s="18">
        <f t="shared" si="173"/>
        <v>499</v>
      </c>
      <c r="H939" s="19" t="str">
        <f t="shared" si="183"/>
        <v>499</v>
      </c>
      <c r="I939" s="19">
        <f t="shared" si="174"/>
        <v>499</v>
      </c>
      <c r="J939" s="30"/>
      <c r="K939" s="30"/>
      <c r="L939" s="30"/>
      <c r="M939" s="30"/>
      <c r="N939" s="30"/>
      <c r="O939" s="30"/>
      <c r="P939" s="29"/>
      <c r="Q939" s="29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25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W939" s="27">
        <f t="shared" si="175"/>
        <v>9.3899999999999995E-4</v>
      </c>
      <c r="AX939" s="27">
        <f t="shared" si="176"/>
        <v>9.3899999999999995E-4</v>
      </c>
      <c r="AY939" s="27">
        <f t="shared" si="177"/>
        <v>9.3899999999999995E-4</v>
      </c>
      <c r="AZ939" s="27">
        <f t="shared" si="178"/>
        <v>9.3899999999999995E-4</v>
      </c>
    </row>
    <row r="940" spans="1:52" ht="15" customHeight="1" x14ac:dyDescent="0.25">
      <c r="A940" s="13" t="e">
        <f>VLOOKUP(L940,[1]VALIDAÇÃO!$D$13:$E$350,2,0)</f>
        <v>#N/A</v>
      </c>
      <c r="B940" s="14" t="str">
        <f t="shared" si="180"/>
        <v>498</v>
      </c>
      <c r="C940" s="15">
        <f t="shared" si="179"/>
        <v>498</v>
      </c>
      <c r="D940" s="16" t="str">
        <f t="shared" si="181"/>
        <v>498</v>
      </c>
      <c r="E940" s="17">
        <f t="shared" si="172"/>
        <v>498</v>
      </c>
      <c r="F940" s="18" t="str">
        <f t="shared" si="182"/>
        <v>498</v>
      </c>
      <c r="G940" s="18">
        <f t="shared" si="173"/>
        <v>498</v>
      </c>
      <c r="H940" s="19" t="str">
        <f t="shared" si="183"/>
        <v>498</v>
      </c>
      <c r="I940" s="19">
        <f t="shared" si="174"/>
        <v>498</v>
      </c>
      <c r="J940" s="30"/>
      <c r="K940" s="30"/>
      <c r="L940" s="30"/>
      <c r="M940" s="30"/>
      <c r="N940" s="33"/>
      <c r="O940" s="30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25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W940" s="27">
        <f t="shared" si="175"/>
        <v>9.3999999999999997E-4</v>
      </c>
      <c r="AX940" s="27">
        <f t="shared" si="176"/>
        <v>9.3999999999999997E-4</v>
      </c>
      <c r="AY940" s="27">
        <f t="shared" si="177"/>
        <v>9.3999999999999997E-4</v>
      </c>
      <c r="AZ940" s="27">
        <f t="shared" si="178"/>
        <v>9.3999999999999997E-4</v>
      </c>
    </row>
    <row r="941" spans="1:52" ht="15" customHeight="1" x14ac:dyDescent="0.25">
      <c r="A941" s="13" t="e">
        <f>VLOOKUP(L941,[1]VALIDAÇÃO!$D$13:$E$350,2,0)</f>
        <v>#N/A</v>
      </c>
      <c r="B941" s="14" t="str">
        <f t="shared" si="180"/>
        <v>497</v>
      </c>
      <c r="C941" s="15">
        <f t="shared" si="179"/>
        <v>497</v>
      </c>
      <c r="D941" s="16" t="str">
        <f t="shared" si="181"/>
        <v>497</v>
      </c>
      <c r="E941" s="17">
        <f t="shared" si="172"/>
        <v>497</v>
      </c>
      <c r="F941" s="18" t="str">
        <f t="shared" si="182"/>
        <v>497</v>
      </c>
      <c r="G941" s="18">
        <f t="shared" si="173"/>
        <v>497</v>
      </c>
      <c r="H941" s="19" t="str">
        <f t="shared" si="183"/>
        <v>497</v>
      </c>
      <c r="I941" s="19">
        <f t="shared" si="174"/>
        <v>497</v>
      </c>
      <c r="J941" s="30"/>
      <c r="K941" s="30"/>
      <c r="L941" s="30"/>
      <c r="M941" s="30"/>
      <c r="N941" s="33"/>
      <c r="O941" s="30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25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W941" s="27">
        <f t="shared" si="175"/>
        <v>9.41E-4</v>
      </c>
      <c r="AX941" s="27">
        <f t="shared" si="176"/>
        <v>9.41E-4</v>
      </c>
      <c r="AY941" s="27">
        <f t="shared" si="177"/>
        <v>9.41E-4</v>
      </c>
      <c r="AZ941" s="27">
        <f t="shared" si="178"/>
        <v>9.41E-4</v>
      </c>
    </row>
    <row r="942" spans="1:52" ht="15" customHeight="1" x14ac:dyDescent="0.25">
      <c r="A942" s="13" t="e">
        <f>VLOOKUP(L942,[1]VALIDAÇÃO!$D$13:$E$350,2,0)</f>
        <v>#N/A</v>
      </c>
      <c r="B942" s="14" t="str">
        <f t="shared" si="180"/>
        <v>496</v>
      </c>
      <c r="C942" s="15">
        <f t="shared" si="179"/>
        <v>496</v>
      </c>
      <c r="D942" s="16" t="str">
        <f t="shared" si="181"/>
        <v>496</v>
      </c>
      <c r="E942" s="17">
        <f t="shared" si="172"/>
        <v>496</v>
      </c>
      <c r="F942" s="18" t="str">
        <f t="shared" si="182"/>
        <v>496</v>
      </c>
      <c r="G942" s="18">
        <f t="shared" si="173"/>
        <v>496</v>
      </c>
      <c r="H942" s="19" t="str">
        <f t="shared" si="183"/>
        <v>496</v>
      </c>
      <c r="I942" s="19">
        <f t="shared" si="174"/>
        <v>496</v>
      </c>
      <c r="J942" s="30"/>
      <c r="K942" s="30"/>
      <c r="L942" s="30"/>
      <c r="M942" s="30"/>
      <c r="N942" s="30"/>
      <c r="O942" s="30"/>
      <c r="P942" s="29"/>
      <c r="Q942" s="29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25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W942" s="27">
        <f t="shared" si="175"/>
        <v>9.4200000000000002E-4</v>
      </c>
      <c r="AX942" s="27">
        <f t="shared" si="176"/>
        <v>9.4200000000000002E-4</v>
      </c>
      <c r="AY942" s="27">
        <f t="shared" si="177"/>
        <v>9.4200000000000002E-4</v>
      </c>
      <c r="AZ942" s="27">
        <f t="shared" si="178"/>
        <v>9.4200000000000002E-4</v>
      </c>
    </row>
    <row r="943" spans="1:52" ht="15" customHeight="1" x14ac:dyDescent="0.25">
      <c r="A943" s="13" t="e">
        <f>VLOOKUP(L943,[1]VALIDAÇÃO!$D$13:$E$350,2,0)</f>
        <v>#N/A</v>
      </c>
      <c r="B943" s="14" t="str">
        <f t="shared" si="180"/>
        <v>495</v>
      </c>
      <c r="C943" s="15">
        <f t="shared" si="179"/>
        <v>495</v>
      </c>
      <c r="D943" s="16" t="str">
        <f t="shared" si="181"/>
        <v>495</v>
      </c>
      <c r="E943" s="17">
        <f t="shared" si="172"/>
        <v>495</v>
      </c>
      <c r="F943" s="18" t="str">
        <f t="shared" si="182"/>
        <v>495</v>
      </c>
      <c r="G943" s="18">
        <f t="shared" si="173"/>
        <v>495</v>
      </c>
      <c r="H943" s="19" t="str">
        <f t="shared" si="183"/>
        <v>495</v>
      </c>
      <c r="I943" s="19">
        <f t="shared" si="174"/>
        <v>495</v>
      </c>
      <c r="J943" s="30"/>
      <c r="K943" s="30"/>
      <c r="L943" s="30"/>
      <c r="M943" s="30"/>
      <c r="N943" s="30"/>
      <c r="O943" s="30"/>
      <c r="P943" s="29"/>
      <c r="Q943" s="29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25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W943" s="27">
        <f t="shared" si="175"/>
        <v>9.4300000000000004E-4</v>
      </c>
      <c r="AX943" s="27">
        <f t="shared" si="176"/>
        <v>9.4300000000000004E-4</v>
      </c>
      <c r="AY943" s="27">
        <f t="shared" si="177"/>
        <v>9.4300000000000004E-4</v>
      </c>
      <c r="AZ943" s="27">
        <f t="shared" si="178"/>
        <v>9.4300000000000004E-4</v>
      </c>
    </row>
    <row r="944" spans="1:52" ht="15" customHeight="1" x14ac:dyDescent="0.25">
      <c r="A944" s="13" t="e">
        <f>VLOOKUP(L944,[1]VALIDAÇÃO!$D$13:$E$350,2,0)</f>
        <v>#N/A</v>
      </c>
      <c r="B944" s="14" t="str">
        <f t="shared" si="180"/>
        <v>494</v>
      </c>
      <c r="C944" s="15">
        <f t="shared" si="179"/>
        <v>494</v>
      </c>
      <c r="D944" s="16" t="str">
        <f t="shared" si="181"/>
        <v>494</v>
      </c>
      <c r="E944" s="17">
        <f t="shared" si="172"/>
        <v>494</v>
      </c>
      <c r="F944" s="18" t="str">
        <f t="shared" si="182"/>
        <v>494</v>
      </c>
      <c r="G944" s="18">
        <f t="shared" si="173"/>
        <v>494</v>
      </c>
      <c r="H944" s="19" t="str">
        <f t="shared" si="183"/>
        <v>494</v>
      </c>
      <c r="I944" s="19">
        <f t="shared" si="174"/>
        <v>494</v>
      </c>
      <c r="J944" s="30"/>
      <c r="K944" s="30"/>
      <c r="L944" s="30"/>
      <c r="M944" s="30"/>
      <c r="N944" s="30"/>
      <c r="O944" s="30"/>
      <c r="P944" s="29"/>
      <c r="Q944" s="29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25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W944" s="27">
        <f t="shared" si="175"/>
        <v>9.4399999999999996E-4</v>
      </c>
      <c r="AX944" s="27">
        <f t="shared" si="176"/>
        <v>9.4399999999999996E-4</v>
      </c>
      <c r="AY944" s="27">
        <f t="shared" si="177"/>
        <v>9.4399999999999996E-4</v>
      </c>
      <c r="AZ944" s="27">
        <f t="shared" si="178"/>
        <v>9.4399999999999996E-4</v>
      </c>
    </row>
    <row r="945" spans="1:52" ht="15" customHeight="1" x14ac:dyDescent="0.25">
      <c r="A945" s="13" t="e">
        <f>VLOOKUP(L945,[1]VALIDAÇÃO!$D$13:$E$350,2,0)</f>
        <v>#N/A</v>
      </c>
      <c r="B945" s="14" t="str">
        <f t="shared" si="180"/>
        <v>493</v>
      </c>
      <c r="C945" s="15">
        <f t="shared" si="179"/>
        <v>493</v>
      </c>
      <c r="D945" s="16" t="str">
        <f t="shared" si="181"/>
        <v>493</v>
      </c>
      <c r="E945" s="17">
        <f t="shared" si="172"/>
        <v>493</v>
      </c>
      <c r="F945" s="18" t="str">
        <f t="shared" si="182"/>
        <v>493</v>
      </c>
      <c r="G945" s="18">
        <f t="shared" si="173"/>
        <v>493</v>
      </c>
      <c r="H945" s="19" t="str">
        <f t="shared" si="183"/>
        <v>493</v>
      </c>
      <c r="I945" s="19">
        <f t="shared" si="174"/>
        <v>493</v>
      </c>
      <c r="J945" s="30"/>
      <c r="K945" s="30"/>
      <c r="L945" s="30"/>
      <c r="M945" s="30"/>
      <c r="N945" s="33"/>
      <c r="O945" s="30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25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W945" s="27">
        <f t="shared" si="175"/>
        <v>9.4499999999999998E-4</v>
      </c>
      <c r="AX945" s="27">
        <f t="shared" si="176"/>
        <v>9.4499999999999998E-4</v>
      </c>
      <c r="AY945" s="27">
        <f t="shared" si="177"/>
        <v>9.4499999999999998E-4</v>
      </c>
      <c r="AZ945" s="27">
        <f t="shared" si="178"/>
        <v>9.4499999999999998E-4</v>
      </c>
    </row>
    <row r="946" spans="1:52" ht="15" customHeight="1" x14ac:dyDescent="0.25">
      <c r="A946" s="13" t="e">
        <f>VLOOKUP(L946,[1]VALIDAÇÃO!$D$13:$E$350,2,0)</f>
        <v>#N/A</v>
      </c>
      <c r="B946" s="14" t="str">
        <f t="shared" si="180"/>
        <v>492</v>
      </c>
      <c r="C946" s="15">
        <f t="shared" si="179"/>
        <v>492</v>
      </c>
      <c r="D946" s="16" t="str">
        <f t="shared" si="181"/>
        <v>492</v>
      </c>
      <c r="E946" s="17">
        <f t="shared" si="172"/>
        <v>492</v>
      </c>
      <c r="F946" s="18" t="str">
        <f t="shared" si="182"/>
        <v>492</v>
      </c>
      <c r="G946" s="18">
        <f t="shared" si="173"/>
        <v>492</v>
      </c>
      <c r="H946" s="19" t="str">
        <f t="shared" si="183"/>
        <v>492</v>
      </c>
      <c r="I946" s="19">
        <f t="shared" si="174"/>
        <v>492</v>
      </c>
      <c r="J946" s="30"/>
      <c r="K946" s="30"/>
      <c r="L946" s="30"/>
      <c r="M946" s="30"/>
      <c r="N946" s="30"/>
      <c r="O946" s="30"/>
      <c r="P946" s="29"/>
      <c r="Q946" s="29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25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W946" s="27">
        <f t="shared" si="175"/>
        <v>9.4600000000000001E-4</v>
      </c>
      <c r="AX946" s="27">
        <f t="shared" si="176"/>
        <v>9.4600000000000001E-4</v>
      </c>
      <c r="AY946" s="27">
        <f t="shared" si="177"/>
        <v>9.4600000000000001E-4</v>
      </c>
      <c r="AZ946" s="27">
        <f t="shared" si="178"/>
        <v>9.4600000000000001E-4</v>
      </c>
    </row>
    <row r="947" spans="1:52" ht="15" customHeight="1" x14ac:dyDescent="0.25">
      <c r="A947" s="13" t="e">
        <f>VLOOKUP(L947,[1]VALIDAÇÃO!$D$13:$E$350,2,0)</f>
        <v>#N/A</v>
      </c>
      <c r="B947" s="14" t="str">
        <f t="shared" si="180"/>
        <v>491</v>
      </c>
      <c r="C947" s="15">
        <f t="shared" si="179"/>
        <v>491</v>
      </c>
      <c r="D947" s="16" t="str">
        <f t="shared" si="181"/>
        <v>491</v>
      </c>
      <c r="E947" s="17">
        <f t="shared" si="172"/>
        <v>491</v>
      </c>
      <c r="F947" s="18" t="str">
        <f t="shared" si="182"/>
        <v>491</v>
      </c>
      <c r="G947" s="18">
        <f t="shared" si="173"/>
        <v>491</v>
      </c>
      <c r="H947" s="19" t="str">
        <f t="shared" si="183"/>
        <v>491</v>
      </c>
      <c r="I947" s="19">
        <f t="shared" si="174"/>
        <v>491</v>
      </c>
      <c r="J947" s="30"/>
      <c r="K947" s="30"/>
      <c r="L947" s="30"/>
      <c r="M947" s="30"/>
      <c r="N947" s="33"/>
      <c r="O947" s="30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25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W947" s="27">
        <f t="shared" si="175"/>
        <v>9.4700000000000003E-4</v>
      </c>
      <c r="AX947" s="27">
        <f t="shared" si="176"/>
        <v>9.4700000000000003E-4</v>
      </c>
      <c r="AY947" s="27">
        <f t="shared" si="177"/>
        <v>9.4700000000000003E-4</v>
      </c>
      <c r="AZ947" s="27">
        <f t="shared" si="178"/>
        <v>9.4700000000000003E-4</v>
      </c>
    </row>
    <row r="948" spans="1:52" ht="15" customHeight="1" x14ac:dyDescent="0.25">
      <c r="A948" s="13" t="e">
        <f>VLOOKUP(L948,[1]VALIDAÇÃO!$D$13:$E$350,2,0)</f>
        <v>#N/A</v>
      </c>
      <c r="B948" s="14" t="str">
        <f t="shared" si="180"/>
        <v>490</v>
      </c>
      <c r="C948" s="15">
        <f t="shared" si="179"/>
        <v>490</v>
      </c>
      <c r="D948" s="16" t="str">
        <f t="shared" si="181"/>
        <v>490</v>
      </c>
      <c r="E948" s="17">
        <f t="shared" si="172"/>
        <v>490</v>
      </c>
      <c r="F948" s="18" t="str">
        <f t="shared" si="182"/>
        <v>490</v>
      </c>
      <c r="G948" s="18">
        <f t="shared" si="173"/>
        <v>490</v>
      </c>
      <c r="H948" s="19" t="str">
        <f t="shared" si="183"/>
        <v>490</v>
      </c>
      <c r="I948" s="19">
        <f t="shared" si="174"/>
        <v>490</v>
      </c>
      <c r="J948" s="30"/>
      <c r="K948" s="30"/>
      <c r="L948" s="30"/>
      <c r="M948" s="30"/>
      <c r="N948" s="33"/>
      <c r="O948" s="30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25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W948" s="27">
        <f t="shared" si="175"/>
        <v>9.4799999999999995E-4</v>
      </c>
      <c r="AX948" s="27">
        <f t="shared" si="176"/>
        <v>9.4799999999999995E-4</v>
      </c>
      <c r="AY948" s="27">
        <f t="shared" si="177"/>
        <v>9.4799999999999995E-4</v>
      </c>
      <c r="AZ948" s="27">
        <f t="shared" si="178"/>
        <v>9.4799999999999995E-4</v>
      </c>
    </row>
    <row r="949" spans="1:52" ht="15" customHeight="1" x14ac:dyDescent="0.25">
      <c r="A949" s="13" t="e">
        <f>VLOOKUP(L949,[1]VALIDAÇÃO!$D$13:$E$350,2,0)</f>
        <v>#N/A</v>
      </c>
      <c r="B949" s="14" t="str">
        <f t="shared" si="180"/>
        <v>489</v>
      </c>
      <c r="C949" s="15">
        <f t="shared" si="179"/>
        <v>489</v>
      </c>
      <c r="D949" s="16" t="str">
        <f t="shared" si="181"/>
        <v>489</v>
      </c>
      <c r="E949" s="17">
        <f t="shared" si="172"/>
        <v>489</v>
      </c>
      <c r="F949" s="18" t="str">
        <f t="shared" si="182"/>
        <v>489</v>
      </c>
      <c r="G949" s="18">
        <f t="shared" si="173"/>
        <v>489</v>
      </c>
      <c r="H949" s="19" t="str">
        <f t="shared" si="183"/>
        <v>489</v>
      </c>
      <c r="I949" s="19">
        <f t="shared" si="174"/>
        <v>489</v>
      </c>
      <c r="J949" s="30"/>
      <c r="K949" s="30"/>
      <c r="L949" s="30"/>
      <c r="M949" s="30"/>
      <c r="N949" s="33"/>
      <c r="O949" s="30"/>
      <c r="P949" s="29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25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W949" s="27">
        <f t="shared" si="175"/>
        <v>9.4899999999999997E-4</v>
      </c>
      <c r="AX949" s="27">
        <f t="shared" si="176"/>
        <v>9.4899999999999997E-4</v>
      </c>
      <c r="AY949" s="27">
        <f t="shared" si="177"/>
        <v>9.4899999999999997E-4</v>
      </c>
      <c r="AZ949" s="27">
        <f t="shared" si="178"/>
        <v>9.4899999999999997E-4</v>
      </c>
    </row>
    <row r="950" spans="1:52" ht="15" customHeight="1" x14ac:dyDescent="0.25">
      <c r="A950" s="13" t="e">
        <f>VLOOKUP(L950,[1]VALIDAÇÃO!$D$13:$E$350,2,0)</f>
        <v>#N/A</v>
      </c>
      <c r="B950" s="14" t="str">
        <f t="shared" si="180"/>
        <v>488</v>
      </c>
      <c r="C950" s="15">
        <f t="shared" si="179"/>
        <v>488</v>
      </c>
      <c r="D950" s="16" t="str">
        <f t="shared" si="181"/>
        <v>488</v>
      </c>
      <c r="E950" s="17">
        <f t="shared" si="172"/>
        <v>488</v>
      </c>
      <c r="F950" s="18" t="str">
        <f t="shared" si="182"/>
        <v>488</v>
      </c>
      <c r="G950" s="18">
        <f t="shared" si="173"/>
        <v>488</v>
      </c>
      <c r="H950" s="19" t="str">
        <f t="shared" si="183"/>
        <v>488</v>
      </c>
      <c r="I950" s="19">
        <f t="shared" si="174"/>
        <v>488</v>
      </c>
      <c r="J950" s="30"/>
      <c r="K950" s="30"/>
      <c r="L950" s="30"/>
      <c r="M950" s="30"/>
      <c r="N950" s="33"/>
      <c r="O950" s="30"/>
      <c r="P950" s="29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25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W950" s="27">
        <f t="shared" si="175"/>
        <v>9.5E-4</v>
      </c>
      <c r="AX950" s="27">
        <f t="shared" si="176"/>
        <v>9.5E-4</v>
      </c>
      <c r="AY950" s="27">
        <f t="shared" si="177"/>
        <v>9.5E-4</v>
      </c>
      <c r="AZ950" s="27">
        <f t="shared" si="178"/>
        <v>9.5E-4</v>
      </c>
    </row>
    <row r="951" spans="1:52" ht="15" customHeight="1" x14ac:dyDescent="0.25">
      <c r="A951" s="13" t="e">
        <f>VLOOKUP(L951,[1]VALIDAÇÃO!$D$13:$E$350,2,0)</f>
        <v>#N/A</v>
      </c>
      <c r="B951" s="14" t="str">
        <f t="shared" si="180"/>
        <v>487</v>
      </c>
      <c r="C951" s="15">
        <f t="shared" si="179"/>
        <v>487</v>
      </c>
      <c r="D951" s="16" t="str">
        <f t="shared" si="181"/>
        <v>487</v>
      </c>
      <c r="E951" s="17">
        <f t="shared" si="172"/>
        <v>487</v>
      </c>
      <c r="F951" s="18" t="str">
        <f t="shared" si="182"/>
        <v>487</v>
      </c>
      <c r="G951" s="18">
        <f t="shared" si="173"/>
        <v>487</v>
      </c>
      <c r="H951" s="19" t="str">
        <f t="shared" si="183"/>
        <v>487</v>
      </c>
      <c r="I951" s="19">
        <f t="shared" si="174"/>
        <v>487</v>
      </c>
      <c r="J951" s="30"/>
      <c r="K951" s="30"/>
      <c r="L951" s="30"/>
      <c r="M951" s="30"/>
      <c r="N951" s="30"/>
      <c r="O951" s="30"/>
      <c r="P951" s="29"/>
      <c r="Q951" s="29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25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W951" s="27">
        <f t="shared" si="175"/>
        <v>9.5100000000000002E-4</v>
      </c>
      <c r="AX951" s="27">
        <f t="shared" si="176"/>
        <v>9.5100000000000002E-4</v>
      </c>
      <c r="AY951" s="27">
        <f t="shared" si="177"/>
        <v>9.5100000000000002E-4</v>
      </c>
      <c r="AZ951" s="27">
        <f t="shared" si="178"/>
        <v>9.5100000000000002E-4</v>
      </c>
    </row>
    <row r="952" spans="1:52" ht="15" customHeight="1" x14ac:dyDescent="0.25">
      <c r="A952" s="13" t="e">
        <f>VLOOKUP(L952,[1]VALIDAÇÃO!$D$13:$E$350,2,0)</f>
        <v>#N/A</v>
      </c>
      <c r="B952" s="14" t="str">
        <f t="shared" si="180"/>
        <v>486</v>
      </c>
      <c r="C952" s="15">
        <f t="shared" si="179"/>
        <v>486</v>
      </c>
      <c r="D952" s="16" t="str">
        <f t="shared" si="181"/>
        <v>486</v>
      </c>
      <c r="E952" s="17">
        <f t="shared" si="172"/>
        <v>486</v>
      </c>
      <c r="F952" s="18" t="str">
        <f t="shared" si="182"/>
        <v>486</v>
      </c>
      <c r="G952" s="18">
        <f t="shared" si="173"/>
        <v>486</v>
      </c>
      <c r="H952" s="19" t="str">
        <f t="shared" si="183"/>
        <v>486</v>
      </c>
      <c r="I952" s="19">
        <f t="shared" si="174"/>
        <v>486</v>
      </c>
      <c r="J952" s="30"/>
      <c r="K952" s="30"/>
      <c r="L952" s="30"/>
      <c r="M952" s="30"/>
      <c r="N952" s="30"/>
      <c r="O952" s="30"/>
      <c r="P952" s="29"/>
      <c r="Q952" s="29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25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W952" s="27">
        <f t="shared" si="175"/>
        <v>9.5200000000000005E-4</v>
      </c>
      <c r="AX952" s="27">
        <f t="shared" si="176"/>
        <v>9.5200000000000005E-4</v>
      </c>
      <c r="AY952" s="27">
        <f t="shared" si="177"/>
        <v>9.5200000000000005E-4</v>
      </c>
      <c r="AZ952" s="27">
        <f t="shared" si="178"/>
        <v>9.5200000000000005E-4</v>
      </c>
    </row>
    <row r="953" spans="1:52" ht="15" customHeight="1" x14ac:dyDescent="0.25">
      <c r="A953" s="13" t="e">
        <f>VLOOKUP(L953,[1]VALIDAÇÃO!$D$13:$E$350,2,0)</f>
        <v>#N/A</v>
      </c>
      <c r="B953" s="14" t="str">
        <f t="shared" si="180"/>
        <v>485</v>
      </c>
      <c r="C953" s="15">
        <f t="shared" si="179"/>
        <v>485</v>
      </c>
      <c r="D953" s="16" t="str">
        <f t="shared" si="181"/>
        <v>485</v>
      </c>
      <c r="E953" s="17">
        <f t="shared" si="172"/>
        <v>485</v>
      </c>
      <c r="F953" s="18" t="str">
        <f t="shared" si="182"/>
        <v>485</v>
      </c>
      <c r="G953" s="18">
        <f t="shared" si="173"/>
        <v>485</v>
      </c>
      <c r="H953" s="19" t="str">
        <f t="shared" si="183"/>
        <v>485</v>
      </c>
      <c r="I953" s="19">
        <f t="shared" si="174"/>
        <v>485</v>
      </c>
      <c r="J953" s="30"/>
      <c r="K953" s="30"/>
      <c r="L953" s="30"/>
      <c r="M953" s="30"/>
      <c r="N953" s="33"/>
      <c r="O953" s="30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25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W953" s="27">
        <f t="shared" si="175"/>
        <v>9.5299999999999996E-4</v>
      </c>
      <c r="AX953" s="27">
        <f t="shared" si="176"/>
        <v>9.5299999999999996E-4</v>
      </c>
      <c r="AY953" s="27">
        <f t="shared" si="177"/>
        <v>9.5299999999999996E-4</v>
      </c>
      <c r="AZ953" s="27">
        <f t="shared" si="178"/>
        <v>9.5299999999999996E-4</v>
      </c>
    </row>
    <row r="954" spans="1:52" ht="15" customHeight="1" x14ac:dyDescent="0.25">
      <c r="A954" s="13" t="e">
        <f>VLOOKUP(L954,[1]VALIDAÇÃO!$D$13:$E$350,2,0)</f>
        <v>#N/A</v>
      </c>
      <c r="B954" s="14" t="str">
        <f t="shared" si="180"/>
        <v>484</v>
      </c>
      <c r="C954" s="15">
        <f t="shared" si="179"/>
        <v>484</v>
      </c>
      <c r="D954" s="16" t="str">
        <f t="shared" si="181"/>
        <v>484</v>
      </c>
      <c r="E954" s="17">
        <f t="shared" si="172"/>
        <v>484</v>
      </c>
      <c r="F954" s="18" t="str">
        <f t="shared" si="182"/>
        <v>484</v>
      </c>
      <c r="G954" s="18">
        <f t="shared" si="173"/>
        <v>484</v>
      </c>
      <c r="H954" s="19" t="str">
        <f t="shared" si="183"/>
        <v>484</v>
      </c>
      <c r="I954" s="19">
        <f t="shared" si="174"/>
        <v>484</v>
      </c>
      <c r="J954" s="30"/>
      <c r="K954" s="30"/>
      <c r="L954" s="30"/>
      <c r="M954" s="30"/>
      <c r="N954" s="30"/>
      <c r="O954" s="30"/>
      <c r="P954" s="29"/>
      <c r="Q954" s="29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25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W954" s="27">
        <f t="shared" si="175"/>
        <v>9.5399999999999999E-4</v>
      </c>
      <c r="AX954" s="27">
        <f t="shared" si="176"/>
        <v>9.5399999999999999E-4</v>
      </c>
      <c r="AY954" s="27">
        <f t="shared" si="177"/>
        <v>9.5399999999999999E-4</v>
      </c>
      <c r="AZ954" s="27">
        <f t="shared" si="178"/>
        <v>9.5399999999999999E-4</v>
      </c>
    </row>
    <row r="955" spans="1:52" ht="15" customHeight="1" x14ac:dyDescent="0.25">
      <c r="A955" s="13" t="e">
        <f>VLOOKUP(L955,[1]VALIDAÇÃO!$D$13:$E$350,2,0)</f>
        <v>#N/A</v>
      </c>
      <c r="B955" s="14" t="str">
        <f t="shared" si="180"/>
        <v>483</v>
      </c>
      <c r="C955" s="15">
        <f t="shared" si="179"/>
        <v>483</v>
      </c>
      <c r="D955" s="16" t="str">
        <f t="shared" si="181"/>
        <v>483</v>
      </c>
      <c r="E955" s="17">
        <f t="shared" si="172"/>
        <v>483</v>
      </c>
      <c r="F955" s="18" t="str">
        <f t="shared" si="182"/>
        <v>483</v>
      </c>
      <c r="G955" s="18">
        <f t="shared" si="173"/>
        <v>483</v>
      </c>
      <c r="H955" s="19" t="str">
        <f t="shared" si="183"/>
        <v>483</v>
      </c>
      <c r="I955" s="19">
        <f t="shared" si="174"/>
        <v>483</v>
      </c>
      <c r="J955" s="30"/>
      <c r="K955" s="30"/>
      <c r="L955" s="30"/>
      <c r="M955" s="30"/>
      <c r="N955" s="33"/>
      <c r="O955" s="30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25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W955" s="27">
        <f t="shared" si="175"/>
        <v>9.5500000000000001E-4</v>
      </c>
      <c r="AX955" s="27">
        <f t="shared" si="176"/>
        <v>9.5500000000000001E-4</v>
      </c>
      <c r="AY955" s="27">
        <f t="shared" si="177"/>
        <v>9.5500000000000001E-4</v>
      </c>
      <c r="AZ955" s="27">
        <f t="shared" si="178"/>
        <v>9.5500000000000001E-4</v>
      </c>
    </row>
    <row r="956" spans="1:52" ht="15" customHeight="1" x14ac:dyDescent="0.25">
      <c r="A956" s="13" t="e">
        <f>VLOOKUP(L956,[1]VALIDAÇÃO!$D$13:$E$350,2,0)</f>
        <v>#N/A</v>
      </c>
      <c r="B956" s="14" t="str">
        <f t="shared" si="180"/>
        <v>482</v>
      </c>
      <c r="C956" s="15">
        <f t="shared" si="179"/>
        <v>482</v>
      </c>
      <c r="D956" s="16" t="str">
        <f t="shared" si="181"/>
        <v>482</v>
      </c>
      <c r="E956" s="17">
        <f t="shared" si="172"/>
        <v>482</v>
      </c>
      <c r="F956" s="18" t="str">
        <f t="shared" si="182"/>
        <v>482</v>
      </c>
      <c r="G956" s="18">
        <f t="shared" si="173"/>
        <v>482</v>
      </c>
      <c r="H956" s="19" t="str">
        <f t="shared" si="183"/>
        <v>482</v>
      </c>
      <c r="I956" s="19">
        <f t="shared" si="174"/>
        <v>482</v>
      </c>
      <c r="J956" s="30"/>
      <c r="K956" s="30"/>
      <c r="L956" s="30"/>
      <c r="M956" s="30"/>
      <c r="N956" s="33"/>
      <c r="O956" s="30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25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W956" s="27">
        <f t="shared" si="175"/>
        <v>9.5600000000000004E-4</v>
      </c>
      <c r="AX956" s="27">
        <f t="shared" si="176"/>
        <v>9.5600000000000004E-4</v>
      </c>
      <c r="AY956" s="27">
        <f t="shared" si="177"/>
        <v>9.5600000000000004E-4</v>
      </c>
      <c r="AZ956" s="27">
        <f t="shared" si="178"/>
        <v>9.5600000000000004E-4</v>
      </c>
    </row>
    <row r="957" spans="1:52" ht="15" customHeight="1" x14ac:dyDescent="0.25">
      <c r="A957" s="13" t="e">
        <f>VLOOKUP(L957,[1]VALIDAÇÃO!$D$13:$E$350,2,0)</f>
        <v>#N/A</v>
      </c>
      <c r="B957" s="14" t="str">
        <f t="shared" si="180"/>
        <v>481</v>
      </c>
      <c r="C957" s="15">
        <f t="shared" si="179"/>
        <v>481</v>
      </c>
      <c r="D957" s="16" t="str">
        <f t="shared" si="181"/>
        <v>481</v>
      </c>
      <c r="E957" s="17">
        <f t="shared" si="172"/>
        <v>481</v>
      </c>
      <c r="F957" s="18" t="str">
        <f t="shared" si="182"/>
        <v>481</v>
      </c>
      <c r="G957" s="18">
        <f t="shared" si="173"/>
        <v>481</v>
      </c>
      <c r="H957" s="19" t="str">
        <f t="shared" si="183"/>
        <v>481</v>
      </c>
      <c r="I957" s="19">
        <f t="shared" si="174"/>
        <v>481</v>
      </c>
      <c r="J957" s="30"/>
      <c r="K957" s="30"/>
      <c r="L957" s="30"/>
      <c r="M957" s="30"/>
      <c r="N957" s="30"/>
      <c r="O957" s="30"/>
      <c r="P957" s="29"/>
      <c r="Q957" s="29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25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W957" s="27">
        <f t="shared" si="175"/>
        <v>9.5699999999999995E-4</v>
      </c>
      <c r="AX957" s="27">
        <f t="shared" si="176"/>
        <v>9.5699999999999995E-4</v>
      </c>
      <c r="AY957" s="27">
        <f t="shared" si="177"/>
        <v>9.5699999999999995E-4</v>
      </c>
      <c r="AZ957" s="27">
        <f t="shared" si="178"/>
        <v>9.5699999999999995E-4</v>
      </c>
    </row>
    <row r="958" spans="1:52" ht="15" customHeight="1" x14ac:dyDescent="0.25">
      <c r="A958" s="13" t="e">
        <f>VLOOKUP(L958,[1]VALIDAÇÃO!$D$13:$E$350,2,0)</f>
        <v>#N/A</v>
      </c>
      <c r="B958" s="14" t="str">
        <f t="shared" si="180"/>
        <v>480</v>
      </c>
      <c r="C958" s="15">
        <f t="shared" si="179"/>
        <v>480</v>
      </c>
      <c r="D958" s="16" t="str">
        <f t="shared" si="181"/>
        <v>480</v>
      </c>
      <c r="E958" s="17">
        <f t="shared" si="172"/>
        <v>480</v>
      </c>
      <c r="F958" s="18" t="str">
        <f t="shared" si="182"/>
        <v>480</v>
      </c>
      <c r="G958" s="18">
        <f t="shared" si="173"/>
        <v>480</v>
      </c>
      <c r="H958" s="19" t="str">
        <f t="shared" si="183"/>
        <v>480</v>
      </c>
      <c r="I958" s="19">
        <f t="shared" si="174"/>
        <v>480</v>
      </c>
      <c r="J958" s="30"/>
      <c r="K958" s="30"/>
      <c r="L958" s="30"/>
      <c r="M958" s="30"/>
      <c r="N958" s="33"/>
      <c r="O958" s="30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25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W958" s="27">
        <f t="shared" si="175"/>
        <v>9.5799999999999998E-4</v>
      </c>
      <c r="AX958" s="27">
        <f t="shared" si="176"/>
        <v>9.5799999999999998E-4</v>
      </c>
      <c r="AY958" s="27">
        <f t="shared" si="177"/>
        <v>9.5799999999999998E-4</v>
      </c>
      <c r="AZ958" s="27">
        <f t="shared" si="178"/>
        <v>9.5799999999999998E-4</v>
      </c>
    </row>
    <row r="959" spans="1:52" ht="15" customHeight="1" x14ac:dyDescent="0.25">
      <c r="A959" s="13" t="e">
        <f>VLOOKUP(L959,[1]VALIDAÇÃO!$D$13:$E$350,2,0)</f>
        <v>#N/A</v>
      </c>
      <c r="B959" s="14" t="str">
        <f t="shared" si="180"/>
        <v>479</v>
      </c>
      <c r="C959" s="15">
        <f t="shared" si="179"/>
        <v>479</v>
      </c>
      <c r="D959" s="16" t="str">
        <f t="shared" si="181"/>
        <v>479</v>
      </c>
      <c r="E959" s="17">
        <f t="shared" si="172"/>
        <v>479</v>
      </c>
      <c r="F959" s="18" t="str">
        <f t="shared" si="182"/>
        <v>479</v>
      </c>
      <c r="G959" s="18">
        <f t="shared" si="173"/>
        <v>479</v>
      </c>
      <c r="H959" s="19" t="str">
        <f t="shared" si="183"/>
        <v>479</v>
      </c>
      <c r="I959" s="19">
        <f t="shared" si="174"/>
        <v>479</v>
      </c>
      <c r="J959" s="30"/>
      <c r="K959" s="30"/>
      <c r="L959" s="30"/>
      <c r="M959" s="30"/>
      <c r="N959" s="33"/>
      <c r="O959" s="30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25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W959" s="27">
        <f t="shared" si="175"/>
        <v>9.59E-4</v>
      </c>
      <c r="AX959" s="27">
        <f t="shared" si="176"/>
        <v>9.59E-4</v>
      </c>
      <c r="AY959" s="27">
        <f t="shared" si="177"/>
        <v>9.59E-4</v>
      </c>
      <c r="AZ959" s="27">
        <f t="shared" si="178"/>
        <v>9.59E-4</v>
      </c>
    </row>
    <row r="960" spans="1:52" ht="15" customHeight="1" x14ac:dyDescent="0.25">
      <c r="A960" s="13" t="e">
        <f>VLOOKUP(L960,[1]VALIDAÇÃO!$D$13:$E$350,2,0)</f>
        <v>#N/A</v>
      </c>
      <c r="B960" s="14" t="str">
        <f t="shared" si="180"/>
        <v>478</v>
      </c>
      <c r="C960" s="15">
        <f t="shared" si="179"/>
        <v>478</v>
      </c>
      <c r="D960" s="16" t="str">
        <f t="shared" si="181"/>
        <v>478</v>
      </c>
      <c r="E960" s="17">
        <f t="shared" si="172"/>
        <v>478</v>
      </c>
      <c r="F960" s="18" t="str">
        <f t="shared" si="182"/>
        <v>478</v>
      </c>
      <c r="G960" s="18">
        <f t="shared" si="173"/>
        <v>478</v>
      </c>
      <c r="H960" s="19" t="str">
        <f t="shared" si="183"/>
        <v>478</v>
      </c>
      <c r="I960" s="19">
        <f t="shared" si="174"/>
        <v>478</v>
      </c>
      <c r="J960" s="30"/>
      <c r="K960" s="30"/>
      <c r="L960" s="30"/>
      <c r="M960" s="30"/>
      <c r="N960" s="30"/>
      <c r="O960" s="30"/>
      <c r="P960" s="29"/>
      <c r="Q960" s="29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25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W960" s="27">
        <f t="shared" si="175"/>
        <v>9.6000000000000002E-4</v>
      </c>
      <c r="AX960" s="27">
        <f t="shared" si="176"/>
        <v>9.6000000000000002E-4</v>
      </c>
      <c r="AY960" s="27">
        <f t="shared" si="177"/>
        <v>9.6000000000000002E-4</v>
      </c>
      <c r="AZ960" s="27">
        <f t="shared" si="178"/>
        <v>9.6000000000000002E-4</v>
      </c>
    </row>
    <row r="961" spans="1:52" ht="15" customHeight="1" x14ac:dyDescent="0.25">
      <c r="A961" s="13" t="e">
        <f>VLOOKUP(L961,[1]VALIDAÇÃO!$D$13:$E$350,2,0)</f>
        <v>#N/A</v>
      </c>
      <c r="B961" s="14" t="str">
        <f t="shared" si="180"/>
        <v>477</v>
      </c>
      <c r="C961" s="15">
        <f t="shared" si="179"/>
        <v>477</v>
      </c>
      <c r="D961" s="16" t="str">
        <f t="shared" si="181"/>
        <v>477</v>
      </c>
      <c r="E961" s="17">
        <f t="shared" si="172"/>
        <v>477</v>
      </c>
      <c r="F961" s="18" t="str">
        <f t="shared" si="182"/>
        <v>477</v>
      </c>
      <c r="G961" s="18">
        <f t="shared" si="173"/>
        <v>477</v>
      </c>
      <c r="H961" s="19" t="str">
        <f t="shared" si="183"/>
        <v>477</v>
      </c>
      <c r="I961" s="19">
        <f t="shared" si="174"/>
        <v>477</v>
      </c>
      <c r="J961" s="30"/>
      <c r="K961" s="30"/>
      <c r="L961" s="30"/>
      <c r="M961" s="30"/>
      <c r="N961" s="33"/>
      <c r="O961" s="30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25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W961" s="27">
        <f t="shared" si="175"/>
        <v>9.6100000000000005E-4</v>
      </c>
      <c r="AX961" s="27">
        <f t="shared" si="176"/>
        <v>9.6100000000000005E-4</v>
      </c>
      <c r="AY961" s="27">
        <f t="shared" si="177"/>
        <v>9.6100000000000005E-4</v>
      </c>
      <c r="AZ961" s="27">
        <f t="shared" si="178"/>
        <v>9.6100000000000005E-4</v>
      </c>
    </row>
    <row r="962" spans="1:52" ht="15" customHeight="1" x14ac:dyDescent="0.25">
      <c r="A962" s="13" t="e">
        <f>VLOOKUP(L962,[1]VALIDAÇÃO!$D$13:$E$350,2,0)</f>
        <v>#N/A</v>
      </c>
      <c r="B962" s="14" t="str">
        <f t="shared" si="180"/>
        <v>476</v>
      </c>
      <c r="C962" s="15">
        <f t="shared" si="179"/>
        <v>476</v>
      </c>
      <c r="D962" s="16" t="str">
        <f t="shared" si="181"/>
        <v>476</v>
      </c>
      <c r="E962" s="17">
        <f t="shared" ref="E962:E1025" si="184">1+SUMPRODUCT(($J$2:$J$1437=$J962)*(AX$2:AX$1437&gt;AX962))</f>
        <v>476</v>
      </c>
      <c r="F962" s="18" t="str">
        <f t="shared" si="182"/>
        <v>476</v>
      </c>
      <c r="G962" s="18">
        <f t="shared" ref="G962:G1025" si="185">1+SUMPRODUCT(($J$2:$J$1437=$J962)*(AY$2:AY$1437&gt;AY962))</f>
        <v>476</v>
      </c>
      <c r="H962" s="19" t="str">
        <f t="shared" si="183"/>
        <v>476</v>
      </c>
      <c r="I962" s="19">
        <f t="shared" ref="I962:I1025" si="186">1+SUMPRODUCT(($J$2:$J$1437=$J962)*(AZ$2:AZ$1437&gt;AZ962))</f>
        <v>476</v>
      </c>
      <c r="J962" s="30"/>
      <c r="K962" s="30"/>
      <c r="L962" s="30"/>
      <c r="M962" s="30"/>
      <c r="N962" s="33"/>
      <c r="O962" s="30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25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W962" s="27">
        <f t="shared" ref="AW962:AW1025" si="187">AJ962+ROW(C962)/1000000</f>
        <v>9.6199999999999996E-4</v>
      </c>
      <c r="AX962" s="27">
        <f t="shared" ref="AX962:AX1025" si="188">AD962+ROW(C962)/1000000</f>
        <v>9.6199999999999996E-4</v>
      </c>
      <c r="AY962" s="27">
        <f t="shared" ref="AY962:AY1025" si="189">AB962+ROW(A962)/1000000</f>
        <v>9.6199999999999996E-4</v>
      </c>
      <c r="AZ962" s="27">
        <f t="shared" ref="AZ962:AZ1025" si="190">AP962+ROW(A962)/1000000</f>
        <v>9.6199999999999996E-4</v>
      </c>
    </row>
    <row r="963" spans="1:52" ht="15" customHeight="1" x14ac:dyDescent="0.25">
      <c r="A963" s="13" t="e">
        <f>VLOOKUP(L963,[1]VALIDAÇÃO!$D$13:$E$350,2,0)</f>
        <v>#N/A</v>
      </c>
      <c r="B963" s="14" t="str">
        <f t="shared" si="180"/>
        <v>475</v>
      </c>
      <c r="C963" s="15">
        <f t="shared" ref="C963:C1026" si="191">1+SUMPRODUCT(($J$2:$J$1437=J963)*($AW$2:$AW$1437&gt;AW963))</f>
        <v>475</v>
      </c>
      <c r="D963" s="16" t="str">
        <f t="shared" si="181"/>
        <v>475</v>
      </c>
      <c r="E963" s="17">
        <f t="shared" si="184"/>
        <v>475</v>
      </c>
      <c r="F963" s="18" t="str">
        <f t="shared" si="182"/>
        <v>475</v>
      </c>
      <c r="G963" s="18">
        <f t="shared" si="185"/>
        <v>475</v>
      </c>
      <c r="H963" s="19" t="str">
        <f t="shared" si="183"/>
        <v>475</v>
      </c>
      <c r="I963" s="19">
        <f t="shared" si="186"/>
        <v>475</v>
      </c>
      <c r="J963" s="30"/>
      <c r="K963" s="30"/>
      <c r="L963" s="30"/>
      <c r="M963" s="30"/>
      <c r="N963" s="30"/>
      <c r="O963" s="30"/>
      <c r="P963" s="29"/>
      <c r="Q963" s="29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25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W963" s="27">
        <f t="shared" si="187"/>
        <v>9.6299999999999999E-4</v>
      </c>
      <c r="AX963" s="27">
        <f t="shared" si="188"/>
        <v>9.6299999999999999E-4</v>
      </c>
      <c r="AY963" s="27">
        <f t="shared" si="189"/>
        <v>9.6299999999999999E-4</v>
      </c>
      <c r="AZ963" s="27">
        <f t="shared" si="190"/>
        <v>9.6299999999999999E-4</v>
      </c>
    </row>
    <row r="964" spans="1:52" ht="15" customHeight="1" x14ac:dyDescent="0.25">
      <c r="A964" s="13" t="e">
        <f>VLOOKUP(L964,[1]VALIDAÇÃO!$D$13:$E$350,2,0)</f>
        <v>#N/A</v>
      </c>
      <c r="B964" s="14" t="str">
        <f t="shared" si="180"/>
        <v>474</v>
      </c>
      <c r="C964" s="15">
        <f t="shared" si="191"/>
        <v>474</v>
      </c>
      <c r="D964" s="16" t="str">
        <f t="shared" si="181"/>
        <v>474</v>
      </c>
      <c r="E964" s="17">
        <f t="shared" si="184"/>
        <v>474</v>
      </c>
      <c r="F964" s="18" t="str">
        <f t="shared" si="182"/>
        <v>474</v>
      </c>
      <c r="G964" s="18">
        <f t="shared" si="185"/>
        <v>474</v>
      </c>
      <c r="H964" s="19" t="str">
        <f t="shared" si="183"/>
        <v>474</v>
      </c>
      <c r="I964" s="19">
        <f t="shared" si="186"/>
        <v>474</v>
      </c>
      <c r="J964" s="30"/>
      <c r="K964" s="30"/>
      <c r="L964" s="30"/>
      <c r="M964" s="30"/>
      <c r="N964" s="33"/>
      <c r="O964" s="30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25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W964" s="27">
        <f t="shared" si="187"/>
        <v>9.6400000000000001E-4</v>
      </c>
      <c r="AX964" s="27">
        <f t="shared" si="188"/>
        <v>9.6400000000000001E-4</v>
      </c>
      <c r="AY964" s="27">
        <f t="shared" si="189"/>
        <v>9.6400000000000001E-4</v>
      </c>
      <c r="AZ964" s="27">
        <f t="shared" si="190"/>
        <v>9.6400000000000001E-4</v>
      </c>
    </row>
    <row r="965" spans="1:52" ht="15" customHeight="1" x14ac:dyDescent="0.25">
      <c r="A965" s="13" t="e">
        <f>VLOOKUP(L965,[1]VALIDAÇÃO!$D$13:$E$350,2,0)</f>
        <v>#N/A</v>
      </c>
      <c r="B965" s="14" t="str">
        <f t="shared" si="180"/>
        <v>473</v>
      </c>
      <c r="C965" s="15">
        <f t="shared" si="191"/>
        <v>473</v>
      </c>
      <c r="D965" s="16" t="str">
        <f t="shared" si="181"/>
        <v>473</v>
      </c>
      <c r="E965" s="17">
        <f t="shared" si="184"/>
        <v>473</v>
      </c>
      <c r="F965" s="18" t="str">
        <f t="shared" si="182"/>
        <v>473</v>
      </c>
      <c r="G965" s="18">
        <f t="shared" si="185"/>
        <v>473</v>
      </c>
      <c r="H965" s="19" t="str">
        <f t="shared" si="183"/>
        <v>473</v>
      </c>
      <c r="I965" s="19">
        <f t="shared" si="186"/>
        <v>473</v>
      </c>
      <c r="J965" s="30"/>
      <c r="K965" s="30"/>
      <c r="L965" s="30"/>
      <c r="M965" s="30"/>
      <c r="N965" s="30"/>
      <c r="O965" s="30"/>
      <c r="P965" s="29"/>
      <c r="Q965" s="29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25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W965" s="27">
        <f t="shared" si="187"/>
        <v>9.6500000000000004E-4</v>
      </c>
      <c r="AX965" s="27">
        <f t="shared" si="188"/>
        <v>9.6500000000000004E-4</v>
      </c>
      <c r="AY965" s="27">
        <f t="shared" si="189"/>
        <v>9.6500000000000004E-4</v>
      </c>
      <c r="AZ965" s="27">
        <f t="shared" si="190"/>
        <v>9.6500000000000004E-4</v>
      </c>
    </row>
    <row r="966" spans="1:52" ht="15" customHeight="1" x14ac:dyDescent="0.25">
      <c r="A966" s="13" t="e">
        <f>VLOOKUP(L966,[1]VALIDAÇÃO!$D$13:$E$350,2,0)</f>
        <v>#N/A</v>
      </c>
      <c r="B966" s="14" t="str">
        <f t="shared" si="180"/>
        <v>472</v>
      </c>
      <c r="C966" s="15">
        <f t="shared" si="191"/>
        <v>472</v>
      </c>
      <c r="D966" s="16" t="str">
        <f t="shared" si="181"/>
        <v>472</v>
      </c>
      <c r="E966" s="17">
        <f t="shared" si="184"/>
        <v>472</v>
      </c>
      <c r="F966" s="18" t="str">
        <f t="shared" si="182"/>
        <v>472</v>
      </c>
      <c r="G966" s="18">
        <f t="shared" si="185"/>
        <v>472</v>
      </c>
      <c r="H966" s="19" t="str">
        <f t="shared" si="183"/>
        <v>472</v>
      </c>
      <c r="I966" s="19">
        <f t="shared" si="186"/>
        <v>472</v>
      </c>
      <c r="J966" s="30"/>
      <c r="K966" s="30"/>
      <c r="L966" s="30"/>
      <c r="M966" s="30"/>
      <c r="N966" s="33"/>
      <c r="O966" s="30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25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W966" s="27">
        <f t="shared" si="187"/>
        <v>9.6599999999999995E-4</v>
      </c>
      <c r="AX966" s="27">
        <f t="shared" si="188"/>
        <v>9.6599999999999995E-4</v>
      </c>
      <c r="AY966" s="27">
        <f t="shared" si="189"/>
        <v>9.6599999999999995E-4</v>
      </c>
      <c r="AZ966" s="27">
        <f t="shared" si="190"/>
        <v>9.6599999999999995E-4</v>
      </c>
    </row>
    <row r="967" spans="1:52" ht="15" customHeight="1" x14ac:dyDescent="0.25">
      <c r="A967" s="13" t="e">
        <f>VLOOKUP(L967,[1]VALIDAÇÃO!$D$13:$E$350,2,0)</f>
        <v>#N/A</v>
      </c>
      <c r="B967" s="14" t="str">
        <f t="shared" si="180"/>
        <v>471</v>
      </c>
      <c r="C967" s="15">
        <f t="shared" si="191"/>
        <v>471</v>
      </c>
      <c r="D967" s="16" t="str">
        <f t="shared" si="181"/>
        <v>471</v>
      </c>
      <c r="E967" s="17">
        <f t="shared" si="184"/>
        <v>471</v>
      </c>
      <c r="F967" s="18" t="str">
        <f t="shared" si="182"/>
        <v>471</v>
      </c>
      <c r="G967" s="18">
        <f t="shared" si="185"/>
        <v>471</v>
      </c>
      <c r="H967" s="19" t="str">
        <f t="shared" si="183"/>
        <v>471</v>
      </c>
      <c r="I967" s="19">
        <f t="shared" si="186"/>
        <v>471</v>
      </c>
      <c r="J967" s="30"/>
      <c r="K967" s="30"/>
      <c r="L967" s="30"/>
      <c r="M967" s="30"/>
      <c r="N967" s="33"/>
      <c r="O967" s="30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25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W967" s="27">
        <f t="shared" si="187"/>
        <v>9.6699999999999998E-4</v>
      </c>
      <c r="AX967" s="27">
        <f t="shared" si="188"/>
        <v>9.6699999999999998E-4</v>
      </c>
      <c r="AY967" s="27">
        <f t="shared" si="189"/>
        <v>9.6699999999999998E-4</v>
      </c>
      <c r="AZ967" s="27">
        <f t="shared" si="190"/>
        <v>9.6699999999999998E-4</v>
      </c>
    </row>
    <row r="968" spans="1:52" ht="15" customHeight="1" x14ac:dyDescent="0.25">
      <c r="A968" s="13" t="e">
        <f>VLOOKUP(L968,[1]VALIDAÇÃO!$D$13:$E$350,2,0)</f>
        <v>#N/A</v>
      </c>
      <c r="B968" s="14" t="str">
        <f t="shared" si="180"/>
        <v>470</v>
      </c>
      <c r="C968" s="15">
        <f t="shared" si="191"/>
        <v>470</v>
      </c>
      <c r="D968" s="16" t="str">
        <f t="shared" si="181"/>
        <v>470</v>
      </c>
      <c r="E968" s="17">
        <f t="shared" si="184"/>
        <v>470</v>
      </c>
      <c r="F968" s="18" t="str">
        <f t="shared" si="182"/>
        <v>470</v>
      </c>
      <c r="G968" s="18">
        <f t="shared" si="185"/>
        <v>470</v>
      </c>
      <c r="H968" s="19" t="str">
        <f t="shared" si="183"/>
        <v>470</v>
      </c>
      <c r="I968" s="19">
        <f t="shared" si="186"/>
        <v>470</v>
      </c>
      <c r="J968" s="30"/>
      <c r="K968" s="30"/>
      <c r="L968" s="30"/>
      <c r="M968" s="30"/>
      <c r="N968" s="33"/>
      <c r="O968" s="30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25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W968" s="27">
        <f t="shared" si="187"/>
        <v>9.68E-4</v>
      </c>
      <c r="AX968" s="27">
        <f t="shared" si="188"/>
        <v>9.68E-4</v>
      </c>
      <c r="AY968" s="27">
        <f t="shared" si="189"/>
        <v>9.68E-4</v>
      </c>
      <c r="AZ968" s="27">
        <f t="shared" si="190"/>
        <v>9.68E-4</v>
      </c>
    </row>
    <row r="969" spans="1:52" ht="15" customHeight="1" x14ac:dyDescent="0.25">
      <c r="A969" s="13" t="e">
        <f>VLOOKUP(L969,[1]VALIDAÇÃO!$D$13:$E$350,2,0)</f>
        <v>#N/A</v>
      </c>
      <c r="B969" s="14" t="str">
        <f t="shared" si="180"/>
        <v>469</v>
      </c>
      <c r="C969" s="15">
        <f t="shared" si="191"/>
        <v>469</v>
      </c>
      <c r="D969" s="16" t="str">
        <f t="shared" si="181"/>
        <v>469</v>
      </c>
      <c r="E969" s="17">
        <f t="shared" si="184"/>
        <v>469</v>
      </c>
      <c r="F969" s="18" t="str">
        <f t="shared" si="182"/>
        <v>469</v>
      </c>
      <c r="G969" s="18">
        <f t="shared" si="185"/>
        <v>469</v>
      </c>
      <c r="H969" s="19" t="str">
        <f t="shared" si="183"/>
        <v>469</v>
      </c>
      <c r="I969" s="19">
        <f t="shared" si="186"/>
        <v>469</v>
      </c>
      <c r="J969" s="30"/>
      <c r="K969" s="30"/>
      <c r="L969" s="30"/>
      <c r="M969" s="30"/>
      <c r="N969" s="30"/>
      <c r="O969" s="30"/>
      <c r="P969" s="29"/>
      <c r="Q969" s="29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25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W969" s="27">
        <f t="shared" si="187"/>
        <v>9.6900000000000003E-4</v>
      </c>
      <c r="AX969" s="27">
        <f t="shared" si="188"/>
        <v>9.6900000000000003E-4</v>
      </c>
      <c r="AY969" s="27">
        <f t="shared" si="189"/>
        <v>9.6900000000000003E-4</v>
      </c>
      <c r="AZ969" s="27">
        <f t="shared" si="190"/>
        <v>9.6900000000000003E-4</v>
      </c>
    </row>
    <row r="970" spans="1:52" ht="15" customHeight="1" x14ac:dyDescent="0.25">
      <c r="A970" s="13" t="e">
        <f>VLOOKUP(L970,[1]VALIDAÇÃO!$D$13:$E$350,2,0)</f>
        <v>#N/A</v>
      </c>
      <c r="B970" s="14" t="str">
        <f t="shared" si="180"/>
        <v>468</v>
      </c>
      <c r="C970" s="15">
        <f t="shared" si="191"/>
        <v>468</v>
      </c>
      <c r="D970" s="16" t="str">
        <f t="shared" si="181"/>
        <v>468</v>
      </c>
      <c r="E970" s="17">
        <f t="shared" si="184"/>
        <v>468</v>
      </c>
      <c r="F970" s="18" t="str">
        <f t="shared" si="182"/>
        <v>468</v>
      </c>
      <c r="G970" s="18">
        <f t="shared" si="185"/>
        <v>468</v>
      </c>
      <c r="H970" s="19" t="str">
        <f t="shared" si="183"/>
        <v>468</v>
      </c>
      <c r="I970" s="19">
        <f t="shared" si="186"/>
        <v>468</v>
      </c>
      <c r="J970" s="30"/>
      <c r="K970" s="30"/>
      <c r="L970" s="30"/>
      <c r="M970" s="30"/>
      <c r="N970" s="30"/>
      <c r="O970" s="30"/>
      <c r="P970" s="29"/>
      <c r="Q970" s="29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25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W970" s="27">
        <f t="shared" si="187"/>
        <v>9.7000000000000005E-4</v>
      </c>
      <c r="AX970" s="27">
        <f t="shared" si="188"/>
        <v>9.7000000000000005E-4</v>
      </c>
      <c r="AY970" s="27">
        <f t="shared" si="189"/>
        <v>9.7000000000000005E-4</v>
      </c>
      <c r="AZ970" s="27">
        <f t="shared" si="190"/>
        <v>9.7000000000000005E-4</v>
      </c>
    </row>
    <row r="971" spans="1:52" ht="15" customHeight="1" x14ac:dyDescent="0.25">
      <c r="A971" s="13" t="e">
        <f>VLOOKUP(L971,[1]VALIDAÇÃO!$D$13:$E$350,2,0)</f>
        <v>#N/A</v>
      </c>
      <c r="B971" s="14" t="str">
        <f t="shared" si="180"/>
        <v>467</v>
      </c>
      <c r="C971" s="15">
        <f t="shared" si="191"/>
        <v>467</v>
      </c>
      <c r="D971" s="16" t="str">
        <f t="shared" si="181"/>
        <v>467</v>
      </c>
      <c r="E971" s="17">
        <f t="shared" si="184"/>
        <v>467</v>
      </c>
      <c r="F971" s="18" t="str">
        <f t="shared" si="182"/>
        <v>467</v>
      </c>
      <c r="G971" s="18">
        <f t="shared" si="185"/>
        <v>467</v>
      </c>
      <c r="H971" s="19" t="str">
        <f t="shared" si="183"/>
        <v>467</v>
      </c>
      <c r="I971" s="19">
        <f t="shared" si="186"/>
        <v>467</v>
      </c>
      <c r="J971" s="30"/>
      <c r="K971" s="30"/>
      <c r="L971" s="30"/>
      <c r="M971" s="30"/>
      <c r="N971" s="33"/>
      <c r="O971" s="30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25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W971" s="27">
        <f t="shared" si="187"/>
        <v>9.7099999999999997E-4</v>
      </c>
      <c r="AX971" s="27">
        <f t="shared" si="188"/>
        <v>9.7099999999999997E-4</v>
      </c>
      <c r="AY971" s="27">
        <f t="shared" si="189"/>
        <v>9.7099999999999997E-4</v>
      </c>
      <c r="AZ971" s="27">
        <f t="shared" si="190"/>
        <v>9.7099999999999997E-4</v>
      </c>
    </row>
    <row r="972" spans="1:52" ht="15" customHeight="1" x14ac:dyDescent="0.25">
      <c r="A972" s="13" t="e">
        <f>VLOOKUP(L972,[1]VALIDAÇÃO!$D$13:$E$350,2,0)</f>
        <v>#N/A</v>
      </c>
      <c r="B972" s="14" t="str">
        <f t="shared" si="180"/>
        <v>466</v>
      </c>
      <c r="C972" s="15">
        <f t="shared" si="191"/>
        <v>466</v>
      </c>
      <c r="D972" s="16" t="str">
        <f t="shared" si="181"/>
        <v>466</v>
      </c>
      <c r="E972" s="17">
        <f t="shared" si="184"/>
        <v>466</v>
      </c>
      <c r="F972" s="18" t="str">
        <f t="shared" si="182"/>
        <v>466</v>
      </c>
      <c r="G972" s="18">
        <f t="shared" si="185"/>
        <v>466</v>
      </c>
      <c r="H972" s="19" t="str">
        <f t="shared" si="183"/>
        <v>466</v>
      </c>
      <c r="I972" s="19">
        <f t="shared" si="186"/>
        <v>466</v>
      </c>
      <c r="J972" s="30"/>
      <c r="K972" s="30"/>
      <c r="L972" s="30"/>
      <c r="M972" s="30"/>
      <c r="N972" s="33"/>
      <c r="O972" s="30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25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W972" s="27">
        <f t="shared" si="187"/>
        <v>9.7199999999999999E-4</v>
      </c>
      <c r="AX972" s="27">
        <f t="shared" si="188"/>
        <v>9.7199999999999999E-4</v>
      </c>
      <c r="AY972" s="27">
        <f t="shared" si="189"/>
        <v>9.7199999999999999E-4</v>
      </c>
      <c r="AZ972" s="27">
        <f t="shared" si="190"/>
        <v>9.7199999999999999E-4</v>
      </c>
    </row>
    <row r="973" spans="1:52" ht="15" customHeight="1" x14ac:dyDescent="0.25">
      <c r="A973" s="13" t="e">
        <f>VLOOKUP(L973,[1]VALIDAÇÃO!$D$13:$E$350,2,0)</f>
        <v>#N/A</v>
      </c>
      <c r="B973" s="14" t="str">
        <f t="shared" si="180"/>
        <v>465</v>
      </c>
      <c r="C973" s="15">
        <f t="shared" si="191"/>
        <v>465</v>
      </c>
      <c r="D973" s="16" t="str">
        <f t="shared" si="181"/>
        <v>465</v>
      </c>
      <c r="E973" s="17">
        <f t="shared" si="184"/>
        <v>465</v>
      </c>
      <c r="F973" s="18" t="str">
        <f t="shared" si="182"/>
        <v>465</v>
      </c>
      <c r="G973" s="18">
        <f t="shared" si="185"/>
        <v>465</v>
      </c>
      <c r="H973" s="19" t="str">
        <f t="shared" si="183"/>
        <v>465</v>
      </c>
      <c r="I973" s="19">
        <f t="shared" si="186"/>
        <v>465</v>
      </c>
      <c r="J973" s="30"/>
      <c r="K973" s="30"/>
      <c r="L973" s="30"/>
      <c r="M973" s="30"/>
      <c r="N973" s="33"/>
      <c r="O973" s="30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25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W973" s="27">
        <f t="shared" si="187"/>
        <v>9.7300000000000002E-4</v>
      </c>
      <c r="AX973" s="27">
        <f t="shared" si="188"/>
        <v>9.7300000000000002E-4</v>
      </c>
      <c r="AY973" s="27">
        <f t="shared" si="189"/>
        <v>9.7300000000000002E-4</v>
      </c>
      <c r="AZ973" s="27">
        <f t="shared" si="190"/>
        <v>9.7300000000000002E-4</v>
      </c>
    </row>
    <row r="974" spans="1:52" ht="15" customHeight="1" x14ac:dyDescent="0.25">
      <c r="A974" s="13" t="e">
        <f>VLOOKUP(L974,[1]VALIDAÇÃO!$D$13:$E$350,2,0)</f>
        <v>#N/A</v>
      </c>
      <c r="B974" s="14" t="str">
        <f t="shared" si="180"/>
        <v>464</v>
      </c>
      <c r="C974" s="15">
        <f t="shared" si="191"/>
        <v>464</v>
      </c>
      <c r="D974" s="16" t="str">
        <f t="shared" si="181"/>
        <v>464</v>
      </c>
      <c r="E974" s="17">
        <f t="shared" si="184"/>
        <v>464</v>
      </c>
      <c r="F974" s="18" t="str">
        <f t="shared" si="182"/>
        <v>464</v>
      </c>
      <c r="G974" s="18">
        <f t="shared" si="185"/>
        <v>464</v>
      </c>
      <c r="H974" s="19" t="str">
        <f t="shared" si="183"/>
        <v>464</v>
      </c>
      <c r="I974" s="19">
        <f t="shared" si="186"/>
        <v>464</v>
      </c>
      <c r="J974" s="30"/>
      <c r="K974" s="30"/>
      <c r="L974" s="30"/>
      <c r="M974" s="30"/>
      <c r="N974" s="30"/>
      <c r="O974" s="30"/>
      <c r="P974" s="29"/>
      <c r="Q974" s="29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25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W974" s="27">
        <f t="shared" si="187"/>
        <v>9.7400000000000004E-4</v>
      </c>
      <c r="AX974" s="27">
        <f t="shared" si="188"/>
        <v>9.7400000000000004E-4</v>
      </c>
      <c r="AY974" s="27">
        <f t="shared" si="189"/>
        <v>9.7400000000000004E-4</v>
      </c>
      <c r="AZ974" s="27">
        <f t="shared" si="190"/>
        <v>9.7400000000000004E-4</v>
      </c>
    </row>
    <row r="975" spans="1:52" ht="15" customHeight="1" x14ac:dyDescent="0.25">
      <c r="A975" s="13" t="e">
        <f>VLOOKUP(L975,[1]VALIDAÇÃO!$D$13:$E$350,2,0)</f>
        <v>#N/A</v>
      </c>
      <c r="B975" s="14" t="str">
        <f t="shared" si="180"/>
        <v>463</v>
      </c>
      <c r="C975" s="15">
        <f t="shared" si="191"/>
        <v>463</v>
      </c>
      <c r="D975" s="16" t="str">
        <f t="shared" si="181"/>
        <v>463</v>
      </c>
      <c r="E975" s="17">
        <f t="shared" si="184"/>
        <v>463</v>
      </c>
      <c r="F975" s="18" t="str">
        <f t="shared" si="182"/>
        <v>463</v>
      </c>
      <c r="G975" s="18">
        <f t="shared" si="185"/>
        <v>463</v>
      </c>
      <c r="H975" s="19" t="str">
        <f t="shared" si="183"/>
        <v>463</v>
      </c>
      <c r="I975" s="19">
        <f t="shared" si="186"/>
        <v>463</v>
      </c>
      <c r="J975" s="30"/>
      <c r="K975" s="30"/>
      <c r="L975" s="30"/>
      <c r="M975" s="30"/>
      <c r="N975" s="30"/>
      <c r="O975" s="30"/>
      <c r="P975" s="29"/>
      <c r="Q975" s="29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25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W975" s="27">
        <f t="shared" si="187"/>
        <v>9.7499999999999996E-4</v>
      </c>
      <c r="AX975" s="27">
        <f t="shared" si="188"/>
        <v>9.7499999999999996E-4</v>
      </c>
      <c r="AY975" s="27">
        <f t="shared" si="189"/>
        <v>9.7499999999999996E-4</v>
      </c>
      <c r="AZ975" s="27">
        <f t="shared" si="190"/>
        <v>9.7499999999999996E-4</v>
      </c>
    </row>
    <row r="976" spans="1:52" ht="15" customHeight="1" x14ac:dyDescent="0.25">
      <c r="A976" s="13" t="e">
        <f>VLOOKUP(L976,[1]VALIDAÇÃO!$D$13:$E$350,2,0)</f>
        <v>#N/A</v>
      </c>
      <c r="B976" s="14" t="str">
        <f t="shared" si="180"/>
        <v>462</v>
      </c>
      <c r="C976" s="15">
        <f t="shared" si="191"/>
        <v>462</v>
      </c>
      <c r="D976" s="16" t="str">
        <f t="shared" si="181"/>
        <v>462</v>
      </c>
      <c r="E976" s="17">
        <f t="shared" si="184"/>
        <v>462</v>
      </c>
      <c r="F976" s="18" t="str">
        <f t="shared" si="182"/>
        <v>462</v>
      </c>
      <c r="G976" s="18">
        <f t="shared" si="185"/>
        <v>462</v>
      </c>
      <c r="H976" s="19" t="str">
        <f t="shared" si="183"/>
        <v>462</v>
      </c>
      <c r="I976" s="19">
        <f t="shared" si="186"/>
        <v>462</v>
      </c>
      <c r="J976" s="30"/>
      <c r="K976" s="30"/>
      <c r="L976" s="30"/>
      <c r="M976" s="30"/>
      <c r="N976" s="33"/>
      <c r="O976" s="30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25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W976" s="27">
        <f t="shared" si="187"/>
        <v>9.7599999999999998E-4</v>
      </c>
      <c r="AX976" s="27">
        <f t="shared" si="188"/>
        <v>9.7599999999999998E-4</v>
      </c>
      <c r="AY976" s="27">
        <f t="shared" si="189"/>
        <v>9.7599999999999998E-4</v>
      </c>
      <c r="AZ976" s="27">
        <f t="shared" si="190"/>
        <v>9.7599999999999998E-4</v>
      </c>
    </row>
    <row r="977" spans="1:52" ht="15" customHeight="1" x14ac:dyDescent="0.25">
      <c r="A977" s="13" t="e">
        <f>VLOOKUP(L977,[1]VALIDAÇÃO!$D$13:$E$350,2,0)</f>
        <v>#N/A</v>
      </c>
      <c r="B977" s="14" t="str">
        <f t="shared" si="180"/>
        <v>461</v>
      </c>
      <c r="C977" s="15">
        <f t="shared" si="191"/>
        <v>461</v>
      </c>
      <c r="D977" s="16" t="str">
        <f t="shared" si="181"/>
        <v>461</v>
      </c>
      <c r="E977" s="17">
        <f t="shared" si="184"/>
        <v>461</v>
      </c>
      <c r="F977" s="18" t="str">
        <f t="shared" si="182"/>
        <v>461</v>
      </c>
      <c r="G977" s="18">
        <f t="shared" si="185"/>
        <v>461</v>
      </c>
      <c r="H977" s="19" t="str">
        <f t="shared" si="183"/>
        <v>461</v>
      </c>
      <c r="I977" s="19">
        <f t="shared" si="186"/>
        <v>461</v>
      </c>
      <c r="J977" s="30"/>
      <c r="K977" s="30"/>
      <c r="L977" s="30"/>
      <c r="M977" s="30"/>
      <c r="N977" s="33"/>
      <c r="O977" s="30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25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W977" s="27">
        <f t="shared" si="187"/>
        <v>9.77E-4</v>
      </c>
      <c r="AX977" s="27">
        <f t="shared" si="188"/>
        <v>9.77E-4</v>
      </c>
      <c r="AY977" s="27">
        <f t="shared" si="189"/>
        <v>9.77E-4</v>
      </c>
      <c r="AZ977" s="27">
        <f t="shared" si="190"/>
        <v>9.77E-4</v>
      </c>
    </row>
    <row r="978" spans="1:52" ht="15" customHeight="1" x14ac:dyDescent="0.25">
      <c r="A978" s="13" t="e">
        <f>VLOOKUP(L978,[1]VALIDAÇÃO!$D$13:$E$350,2,0)</f>
        <v>#N/A</v>
      </c>
      <c r="B978" s="14" t="str">
        <f t="shared" si="180"/>
        <v>460</v>
      </c>
      <c r="C978" s="15">
        <f t="shared" si="191"/>
        <v>460</v>
      </c>
      <c r="D978" s="16" t="str">
        <f t="shared" si="181"/>
        <v>460</v>
      </c>
      <c r="E978" s="17">
        <f t="shared" si="184"/>
        <v>460</v>
      </c>
      <c r="F978" s="18" t="str">
        <f t="shared" si="182"/>
        <v>460</v>
      </c>
      <c r="G978" s="18">
        <f t="shared" si="185"/>
        <v>460</v>
      </c>
      <c r="H978" s="19" t="str">
        <f t="shared" si="183"/>
        <v>460</v>
      </c>
      <c r="I978" s="19">
        <f t="shared" si="186"/>
        <v>460</v>
      </c>
      <c r="J978" s="30"/>
      <c r="K978" s="30"/>
      <c r="L978" s="30"/>
      <c r="M978" s="30"/>
      <c r="N978" s="33"/>
      <c r="O978" s="30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25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W978" s="27">
        <f t="shared" si="187"/>
        <v>9.7799999999999992E-4</v>
      </c>
      <c r="AX978" s="27">
        <f t="shared" si="188"/>
        <v>9.7799999999999992E-4</v>
      </c>
      <c r="AY978" s="27">
        <f t="shared" si="189"/>
        <v>9.7799999999999992E-4</v>
      </c>
      <c r="AZ978" s="27">
        <f t="shared" si="190"/>
        <v>9.7799999999999992E-4</v>
      </c>
    </row>
    <row r="979" spans="1:52" ht="15" customHeight="1" x14ac:dyDescent="0.25">
      <c r="A979" s="13" t="e">
        <f>VLOOKUP(L979,[1]VALIDAÇÃO!$D$13:$E$350,2,0)</f>
        <v>#N/A</v>
      </c>
      <c r="B979" s="14" t="str">
        <f t="shared" si="180"/>
        <v>459</v>
      </c>
      <c r="C979" s="15">
        <f t="shared" si="191"/>
        <v>459</v>
      </c>
      <c r="D979" s="16" t="str">
        <f t="shared" si="181"/>
        <v>459</v>
      </c>
      <c r="E979" s="17">
        <f t="shared" si="184"/>
        <v>459</v>
      </c>
      <c r="F979" s="18" t="str">
        <f t="shared" si="182"/>
        <v>459</v>
      </c>
      <c r="G979" s="18">
        <f t="shared" si="185"/>
        <v>459</v>
      </c>
      <c r="H979" s="19" t="str">
        <f t="shared" si="183"/>
        <v>459</v>
      </c>
      <c r="I979" s="19">
        <f t="shared" si="186"/>
        <v>459</v>
      </c>
      <c r="J979" s="30"/>
      <c r="K979" s="30"/>
      <c r="L979" s="30"/>
      <c r="M979" s="30"/>
      <c r="N979" s="33"/>
      <c r="O979" s="30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25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W979" s="27">
        <f t="shared" si="187"/>
        <v>9.7900000000000005E-4</v>
      </c>
      <c r="AX979" s="27">
        <f t="shared" si="188"/>
        <v>9.7900000000000005E-4</v>
      </c>
      <c r="AY979" s="27">
        <f t="shared" si="189"/>
        <v>9.7900000000000005E-4</v>
      </c>
      <c r="AZ979" s="27">
        <f t="shared" si="190"/>
        <v>9.7900000000000005E-4</v>
      </c>
    </row>
    <row r="980" spans="1:52" ht="15" customHeight="1" x14ac:dyDescent="0.25">
      <c r="A980" s="13" t="e">
        <f>VLOOKUP(L980,[1]VALIDAÇÃO!$D$13:$E$350,2,0)</f>
        <v>#N/A</v>
      </c>
      <c r="B980" s="14" t="str">
        <f t="shared" ref="B980:B1043" si="192">C980&amp;J980</f>
        <v>458</v>
      </c>
      <c r="C980" s="15">
        <f t="shared" si="191"/>
        <v>458</v>
      </c>
      <c r="D980" s="16" t="str">
        <f t="shared" ref="D980:D1043" si="193">E980&amp;J980</f>
        <v>458</v>
      </c>
      <c r="E980" s="17">
        <f t="shared" si="184"/>
        <v>458</v>
      </c>
      <c r="F980" s="18" t="str">
        <f t="shared" ref="F980:F1043" si="194">G980&amp;J980</f>
        <v>458</v>
      </c>
      <c r="G980" s="18">
        <f t="shared" si="185"/>
        <v>458</v>
      </c>
      <c r="H980" s="19" t="str">
        <f t="shared" ref="H980:H1043" si="195">I980&amp;J980</f>
        <v>458</v>
      </c>
      <c r="I980" s="19">
        <f t="shared" si="186"/>
        <v>458</v>
      </c>
      <c r="J980" s="30"/>
      <c r="K980" s="30"/>
      <c r="L980" s="30"/>
      <c r="M980" s="30"/>
      <c r="N980" s="30"/>
      <c r="O980" s="30"/>
      <c r="P980" s="29"/>
      <c r="Q980" s="29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25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W980" s="27">
        <f t="shared" si="187"/>
        <v>9.7999999999999997E-4</v>
      </c>
      <c r="AX980" s="27">
        <f t="shared" si="188"/>
        <v>9.7999999999999997E-4</v>
      </c>
      <c r="AY980" s="27">
        <f t="shared" si="189"/>
        <v>9.7999999999999997E-4</v>
      </c>
      <c r="AZ980" s="27">
        <f t="shared" si="190"/>
        <v>9.7999999999999997E-4</v>
      </c>
    </row>
    <row r="981" spans="1:52" ht="15" customHeight="1" x14ac:dyDescent="0.25">
      <c r="A981" s="13" t="e">
        <f>VLOOKUP(L981,[1]VALIDAÇÃO!$D$13:$E$350,2,0)</f>
        <v>#N/A</v>
      </c>
      <c r="B981" s="14" t="str">
        <f t="shared" si="192"/>
        <v>457</v>
      </c>
      <c r="C981" s="15">
        <f t="shared" si="191"/>
        <v>457</v>
      </c>
      <c r="D981" s="16" t="str">
        <f t="shared" si="193"/>
        <v>457</v>
      </c>
      <c r="E981" s="17">
        <f t="shared" si="184"/>
        <v>457</v>
      </c>
      <c r="F981" s="18" t="str">
        <f t="shared" si="194"/>
        <v>457</v>
      </c>
      <c r="G981" s="18">
        <f t="shared" si="185"/>
        <v>457</v>
      </c>
      <c r="H981" s="19" t="str">
        <f t="shared" si="195"/>
        <v>457</v>
      </c>
      <c r="I981" s="19">
        <f t="shared" si="186"/>
        <v>457</v>
      </c>
      <c r="J981" s="30"/>
      <c r="K981" s="30"/>
      <c r="L981" s="30"/>
      <c r="M981" s="30"/>
      <c r="N981" s="33"/>
      <c r="O981" s="30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25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W981" s="27">
        <f t="shared" si="187"/>
        <v>9.810000000000001E-4</v>
      </c>
      <c r="AX981" s="27">
        <f t="shared" si="188"/>
        <v>9.810000000000001E-4</v>
      </c>
      <c r="AY981" s="27">
        <f t="shared" si="189"/>
        <v>9.810000000000001E-4</v>
      </c>
      <c r="AZ981" s="27">
        <f t="shared" si="190"/>
        <v>9.810000000000001E-4</v>
      </c>
    </row>
    <row r="982" spans="1:52" ht="15" customHeight="1" x14ac:dyDescent="0.25">
      <c r="A982" s="13" t="e">
        <f>VLOOKUP(L982,[1]VALIDAÇÃO!$D$13:$E$350,2,0)</f>
        <v>#N/A</v>
      </c>
      <c r="B982" s="14" t="str">
        <f t="shared" si="192"/>
        <v>456</v>
      </c>
      <c r="C982" s="15">
        <f t="shared" si="191"/>
        <v>456</v>
      </c>
      <c r="D982" s="16" t="str">
        <f t="shared" si="193"/>
        <v>456</v>
      </c>
      <c r="E982" s="17">
        <f t="shared" si="184"/>
        <v>456</v>
      </c>
      <c r="F982" s="18" t="str">
        <f t="shared" si="194"/>
        <v>456</v>
      </c>
      <c r="G982" s="18">
        <f t="shared" si="185"/>
        <v>456</v>
      </c>
      <c r="H982" s="19" t="str">
        <f t="shared" si="195"/>
        <v>456</v>
      </c>
      <c r="I982" s="19">
        <f t="shared" si="186"/>
        <v>456</v>
      </c>
      <c r="J982" s="30"/>
      <c r="K982" s="30"/>
      <c r="L982" s="30"/>
      <c r="M982" s="30"/>
      <c r="N982" s="30"/>
      <c r="O982" s="30"/>
      <c r="P982" s="29"/>
      <c r="Q982" s="29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25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W982" s="27">
        <f t="shared" si="187"/>
        <v>9.8200000000000002E-4</v>
      </c>
      <c r="AX982" s="27">
        <f t="shared" si="188"/>
        <v>9.8200000000000002E-4</v>
      </c>
      <c r="AY982" s="27">
        <f t="shared" si="189"/>
        <v>9.8200000000000002E-4</v>
      </c>
      <c r="AZ982" s="27">
        <f t="shared" si="190"/>
        <v>9.8200000000000002E-4</v>
      </c>
    </row>
    <row r="983" spans="1:52" ht="15" customHeight="1" x14ac:dyDescent="0.25">
      <c r="A983" s="13" t="e">
        <f>VLOOKUP(L983,[1]VALIDAÇÃO!$D$13:$E$350,2,0)</f>
        <v>#N/A</v>
      </c>
      <c r="B983" s="14" t="str">
        <f t="shared" si="192"/>
        <v>455</v>
      </c>
      <c r="C983" s="15">
        <f t="shared" si="191"/>
        <v>455</v>
      </c>
      <c r="D983" s="16" t="str">
        <f t="shared" si="193"/>
        <v>455</v>
      </c>
      <c r="E983" s="17">
        <f t="shared" si="184"/>
        <v>455</v>
      </c>
      <c r="F983" s="18" t="str">
        <f t="shared" si="194"/>
        <v>455</v>
      </c>
      <c r="G983" s="18">
        <f t="shared" si="185"/>
        <v>455</v>
      </c>
      <c r="H983" s="19" t="str">
        <f t="shared" si="195"/>
        <v>455</v>
      </c>
      <c r="I983" s="19">
        <f t="shared" si="186"/>
        <v>455</v>
      </c>
      <c r="J983" s="30"/>
      <c r="K983" s="30"/>
      <c r="L983" s="30"/>
      <c r="M983" s="30"/>
      <c r="N983" s="30"/>
      <c r="O983" s="30"/>
      <c r="P983" s="29"/>
      <c r="Q983" s="29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25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W983" s="27">
        <f t="shared" si="187"/>
        <v>9.8299999999999993E-4</v>
      </c>
      <c r="AX983" s="27">
        <f t="shared" si="188"/>
        <v>9.8299999999999993E-4</v>
      </c>
      <c r="AY983" s="27">
        <f t="shared" si="189"/>
        <v>9.8299999999999993E-4</v>
      </c>
      <c r="AZ983" s="27">
        <f t="shared" si="190"/>
        <v>9.8299999999999993E-4</v>
      </c>
    </row>
    <row r="984" spans="1:52" ht="15" customHeight="1" x14ac:dyDescent="0.25">
      <c r="A984" s="13" t="e">
        <f>VLOOKUP(L984,[1]VALIDAÇÃO!$D$13:$E$350,2,0)</f>
        <v>#N/A</v>
      </c>
      <c r="B984" s="14" t="str">
        <f t="shared" si="192"/>
        <v>454</v>
      </c>
      <c r="C984" s="15">
        <f t="shared" si="191"/>
        <v>454</v>
      </c>
      <c r="D984" s="16" t="str">
        <f t="shared" si="193"/>
        <v>454</v>
      </c>
      <c r="E984" s="17">
        <f t="shared" si="184"/>
        <v>454</v>
      </c>
      <c r="F984" s="18" t="str">
        <f t="shared" si="194"/>
        <v>454</v>
      </c>
      <c r="G984" s="18">
        <f t="shared" si="185"/>
        <v>454</v>
      </c>
      <c r="H984" s="19" t="str">
        <f t="shared" si="195"/>
        <v>454</v>
      </c>
      <c r="I984" s="19">
        <f t="shared" si="186"/>
        <v>454</v>
      </c>
      <c r="J984" s="30"/>
      <c r="K984" s="30"/>
      <c r="L984" s="30"/>
      <c r="M984" s="30"/>
      <c r="N984" s="33"/>
      <c r="O984" s="30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25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W984" s="27">
        <f t="shared" si="187"/>
        <v>9.8400000000000007E-4</v>
      </c>
      <c r="AX984" s="27">
        <f t="shared" si="188"/>
        <v>9.8400000000000007E-4</v>
      </c>
      <c r="AY984" s="27">
        <f t="shared" si="189"/>
        <v>9.8400000000000007E-4</v>
      </c>
      <c r="AZ984" s="27">
        <f t="shared" si="190"/>
        <v>9.8400000000000007E-4</v>
      </c>
    </row>
    <row r="985" spans="1:52" ht="15" customHeight="1" x14ac:dyDescent="0.25">
      <c r="A985" s="13" t="e">
        <f>VLOOKUP(L985,[1]VALIDAÇÃO!$D$13:$E$350,2,0)</f>
        <v>#N/A</v>
      </c>
      <c r="B985" s="14" t="str">
        <f t="shared" si="192"/>
        <v>453</v>
      </c>
      <c r="C985" s="15">
        <f t="shared" si="191"/>
        <v>453</v>
      </c>
      <c r="D985" s="16" t="str">
        <f t="shared" si="193"/>
        <v>453</v>
      </c>
      <c r="E985" s="17">
        <f t="shared" si="184"/>
        <v>453</v>
      </c>
      <c r="F985" s="18" t="str">
        <f t="shared" si="194"/>
        <v>453</v>
      </c>
      <c r="G985" s="18">
        <f t="shared" si="185"/>
        <v>453</v>
      </c>
      <c r="H985" s="19" t="str">
        <f t="shared" si="195"/>
        <v>453</v>
      </c>
      <c r="I985" s="19">
        <f t="shared" si="186"/>
        <v>453</v>
      </c>
      <c r="J985" s="30"/>
      <c r="K985" s="30"/>
      <c r="L985" s="30"/>
      <c r="M985" s="30"/>
      <c r="N985" s="30"/>
      <c r="O985" s="30"/>
      <c r="P985" s="29"/>
      <c r="Q985" s="29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25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W985" s="27">
        <f t="shared" si="187"/>
        <v>9.8499999999999998E-4</v>
      </c>
      <c r="AX985" s="27">
        <f t="shared" si="188"/>
        <v>9.8499999999999998E-4</v>
      </c>
      <c r="AY985" s="27">
        <f t="shared" si="189"/>
        <v>9.8499999999999998E-4</v>
      </c>
      <c r="AZ985" s="27">
        <f t="shared" si="190"/>
        <v>9.8499999999999998E-4</v>
      </c>
    </row>
    <row r="986" spans="1:52" ht="15" customHeight="1" x14ac:dyDescent="0.25">
      <c r="A986" s="13" t="e">
        <f>VLOOKUP(L986,[1]VALIDAÇÃO!$D$13:$E$350,2,0)</f>
        <v>#N/A</v>
      </c>
      <c r="B986" s="14" t="str">
        <f t="shared" si="192"/>
        <v>452</v>
      </c>
      <c r="C986" s="15">
        <f t="shared" si="191"/>
        <v>452</v>
      </c>
      <c r="D986" s="16" t="str">
        <f t="shared" si="193"/>
        <v>452</v>
      </c>
      <c r="E986" s="17">
        <f t="shared" si="184"/>
        <v>452</v>
      </c>
      <c r="F986" s="18" t="str">
        <f t="shared" si="194"/>
        <v>452</v>
      </c>
      <c r="G986" s="18">
        <f t="shared" si="185"/>
        <v>452</v>
      </c>
      <c r="H986" s="19" t="str">
        <f t="shared" si="195"/>
        <v>452</v>
      </c>
      <c r="I986" s="19">
        <f t="shared" si="186"/>
        <v>452</v>
      </c>
      <c r="J986" s="30"/>
      <c r="K986" s="30"/>
      <c r="L986" s="30"/>
      <c r="M986" s="30"/>
      <c r="N986" s="30"/>
      <c r="O986" s="30"/>
      <c r="P986" s="29"/>
      <c r="Q986" s="29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25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W986" s="27">
        <f t="shared" si="187"/>
        <v>9.859999999999999E-4</v>
      </c>
      <c r="AX986" s="27">
        <f t="shared" si="188"/>
        <v>9.859999999999999E-4</v>
      </c>
      <c r="AY986" s="27">
        <f t="shared" si="189"/>
        <v>9.859999999999999E-4</v>
      </c>
      <c r="AZ986" s="27">
        <f t="shared" si="190"/>
        <v>9.859999999999999E-4</v>
      </c>
    </row>
    <row r="987" spans="1:52" ht="15" customHeight="1" x14ac:dyDescent="0.25">
      <c r="A987" s="13" t="e">
        <f>VLOOKUP(L987,[1]VALIDAÇÃO!$D$13:$E$350,2,0)</f>
        <v>#N/A</v>
      </c>
      <c r="B987" s="14" t="str">
        <f t="shared" si="192"/>
        <v>451</v>
      </c>
      <c r="C987" s="15">
        <f t="shared" si="191"/>
        <v>451</v>
      </c>
      <c r="D987" s="16" t="str">
        <f t="shared" si="193"/>
        <v>451</v>
      </c>
      <c r="E987" s="17">
        <f t="shared" si="184"/>
        <v>451</v>
      </c>
      <c r="F987" s="18" t="str">
        <f t="shared" si="194"/>
        <v>451</v>
      </c>
      <c r="G987" s="18">
        <f t="shared" si="185"/>
        <v>451</v>
      </c>
      <c r="H987" s="19" t="str">
        <f t="shared" si="195"/>
        <v>451</v>
      </c>
      <c r="I987" s="19">
        <f t="shared" si="186"/>
        <v>451</v>
      </c>
      <c r="J987" s="30"/>
      <c r="K987" s="30"/>
      <c r="L987" s="30"/>
      <c r="M987" s="30"/>
      <c r="N987" s="33"/>
      <c r="O987" s="30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25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W987" s="27">
        <f t="shared" si="187"/>
        <v>9.8700000000000003E-4</v>
      </c>
      <c r="AX987" s="27">
        <f t="shared" si="188"/>
        <v>9.8700000000000003E-4</v>
      </c>
      <c r="AY987" s="27">
        <f t="shared" si="189"/>
        <v>9.8700000000000003E-4</v>
      </c>
      <c r="AZ987" s="27">
        <f t="shared" si="190"/>
        <v>9.8700000000000003E-4</v>
      </c>
    </row>
    <row r="988" spans="1:52" ht="15" customHeight="1" x14ac:dyDescent="0.25">
      <c r="A988" s="13" t="e">
        <f>VLOOKUP(L988,[1]VALIDAÇÃO!$D$13:$E$350,2,0)</f>
        <v>#N/A</v>
      </c>
      <c r="B988" s="14" t="str">
        <f t="shared" si="192"/>
        <v>450</v>
      </c>
      <c r="C988" s="15">
        <f t="shared" si="191"/>
        <v>450</v>
      </c>
      <c r="D988" s="16" t="str">
        <f t="shared" si="193"/>
        <v>450</v>
      </c>
      <c r="E988" s="17">
        <f t="shared" si="184"/>
        <v>450</v>
      </c>
      <c r="F988" s="18" t="str">
        <f t="shared" si="194"/>
        <v>450</v>
      </c>
      <c r="G988" s="18">
        <f t="shared" si="185"/>
        <v>450</v>
      </c>
      <c r="H988" s="19" t="str">
        <f t="shared" si="195"/>
        <v>450</v>
      </c>
      <c r="I988" s="19">
        <f t="shared" si="186"/>
        <v>450</v>
      </c>
      <c r="J988" s="30"/>
      <c r="K988" s="30"/>
      <c r="L988" s="30"/>
      <c r="M988" s="30"/>
      <c r="N988" s="33"/>
      <c r="O988" s="30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25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W988" s="27">
        <f t="shared" si="187"/>
        <v>9.8799999999999995E-4</v>
      </c>
      <c r="AX988" s="27">
        <f t="shared" si="188"/>
        <v>9.8799999999999995E-4</v>
      </c>
      <c r="AY988" s="27">
        <f t="shared" si="189"/>
        <v>9.8799999999999995E-4</v>
      </c>
      <c r="AZ988" s="27">
        <f t="shared" si="190"/>
        <v>9.8799999999999995E-4</v>
      </c>
    </row>
    <row r="989" spans="1:52" ht="15" customHeight="1" x14ac:dyDescent="0.25">
      <c r="A989" s="13" t="e">
        <f>VLOOKUP(L989,[1]VALIDAÇÃO!$D$13:$E$350,2,0)</f>
        <v>#N/A</v>
      </c>
      <c r="B989" s="14" t="str">
        <f t="shared" si="192"/>
        <v>449</v>
      </c>
      <c r="C989" s="15">
        <f t="shared" si="191"/>
        <v>449</v>
      </c>
      <c r="D989" s="16" t="str">
        <f t="shared" si="193"/>
        <v>449</v>
      </c>
      <c r="E989" s="17">
        <f t="shared" si="184"/>
        <v>449</v>
      </c>
      <c r="F989" s="18" t="str">
        <f t="shared" si="194"/>
        <v>449</v>
      </c>
      <c r="G989" s="18">
        <f t="shared" si="185"/>
        <v>449</v>
      </c>
      <c r="H989" s="19" t="str">
        <f t="shared" si="195"/>
        <v>449</v>
      </c>
      <c r="I989" s="19">
        <f t="shared" si="186"/>
        <v>449</v>
      </c>
      <c r="J989" s="30"/>
      <c r="K989" s="30"/>
      <c r="L989" s="30"/>
      <c r="M989" s="30"/>
      <c r="N989" s="33"/>
      <c r="O989" s="30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25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W989" s="27">
        <f t="shared" si="187"/>
        <v>9.8900000000000008E-4</v>
      </c>
      <c r="AX989" s="27">
        <f t="shared" si="188"/>
        <v>9.8900000000000008E-4</v>
      </c>
      <c r="AY989" s="27">
        <f t="shared" si="189"/>
        <v>9.8900000000000008E-4</v>
      </c>
      <c r="AZ989" s="27">
        <f t="shared" si="190"/>
        <v>9.8900000000000008E-4</v>
      </c>
    </row>
    <row r="990" spans="1:52" ht="15" customHeight="1" x14ac:dyDescent="0.25">
      <c r="A990" s="13" t="e">
        <f>VLOOKUP(L990,[1]VALIDAÇÃO!$D$13:$E$350,2,0)</f>
        <v>#N/A</v>
      </c>
      <c r="B990" s="14" t="str">
        <f t="shared" si="192"/>
        <v>448</v>
      </c>
      <c r="C990" s="15">
        <f t="shared" si="191"/>
        <v>448</v>
      </c>
      <c r="D990" s="16" t="str">
        <f t="shared" si="193"/>
        <v>448</v>
      </c>
      <c r="E990" s="17">
        <f t="shared" si="184"/>
        <v>448</v>
      </c>
      <c r="F990" s="18" t="str">
        <f t="shared" si="194"/>
        <v>448</v>
      </c>
      <c r="G990" s="18">
        <f t="shared" si="185"/>
        <v>448</v>
      </c>
      <c r="H990" s="19" t="str">
        <f t="shared" si="195"/>
        <v>448</v>
      </c>
      <c r="I990" s="19">
        <f t="shared" si="186"/>
        <v>448</v>
      </c>
      <c r="J990" s="30"/>
      <c r="K990" s="30"/>
      <c r="L990" s="30"/>
      <c r="M990" s="30"/>
      <c r="N990" s="33"/>
      <c r="O990" s="30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25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W990" s="27">
        <f t="shared" si="187"/>
        <v>9.8999999999999999E-4</v>
      </c>
      <c r="AX990" s="27">
        <f t="shared" si="188"/>
        <v>9.8999999999999999E-4</v>
      </c>
      <c r="AY990" s="27">
        <f t="shared" si="189"/>
        <v>9.8999999999999999E-4</v>
      </c>
      <c r="AZ990" s="27">
        <f t="shared" si="190"/>
        <v>9.8999999999999999E-4</v>
      </c>
    </row>
    <row r="991" spans="1:52" ht="15" customHeight="1" x14ac:dyDescent="0.25">
      <c r="A991" s="13" t="e">
        <f>VLOOKUP(L991,[1]VALIDAÇÃO!$D$13:$E$350,2,0)</f>
        <v>#N/A</v>
      </c>
      <c r="B991" s="14" t="str">
        <f t="shared" si="192"/>
        <v>447</v>
      </c>
      <c r="C991" s="15">
        <f t="shared" si="191"/>
        <v>447</v>
      </c>
      <c r="D991" s="16" t="str">
        <f t="shared" si="193"/>
        <v>447</v>
      </c>
      <c r="E991" s="17">
        <f t="shared" si="184"/>
        <v>447</v>
      </c>
      <c r="F991" s="18" t="str">
        <f t="shared" si="194"/>
        <v>447</v>
      </c>
      <c r="G991" s="18">
        <f t="shared" si="185"/>
        <v>447</v>
      </c>
      <c r="H991" s="19" t="str">
        <f t="shared" si="195"/>
        <v>447</v>
      </c>
      <c r="I991" s="19">
        <f t="shared" si="186"/>
        <v>447</v>
      </c>
      <c r="J991" s="30"/>
      <c r="K991" s="30"/>
      <c r="L991" s="30"/>
      <c r="M991" s="30"/>
      <c r="N991" s="33"/>
      <c r="O991" s="30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25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W991" s="27">
        <f t="shared" si="187"/>
        <v>9.9099999999999991E-4</v>
      </c>
      <c r="AX991" s="27">
        <f t="shared" si="188"/>
        <v>9.9099999999999991E-4</v>
      </c>
      <c r="AY991" s="27">
        <f t="shared" si="189"/>
        <v>9.9099999999999991E-4</v>
      </c>
      <c r="AZ991" s="27">
        <f t="shared" si="190"/>
        <v>9.9099999999999991E-4</v>
      </c>
    </row>
    <row r="992" spans="1:52" ht="15" customHeight="1" x14ac:dyDescent="0.25">
      <c r="A992" s="13" t="e">
        <f>VLOOKUP(L992,[1]VALIDAÇÃO!$D$13:$E$350,2,0)</f>
        <v>#N/A</v>
      </c>
      <c r="B992" s="14" t="str">
        <f t="shared" si="192"/>
        <v>446</v>
      </c>
      <c r="C992" s="15">
        <f t="shared" si="191"/>
        <v>446</v>
      </c>
      <c r="D992" s="16" t="str">
        <f t="shared" si="193"/>
        <v>446</v>
      </c>
      <c r="E992" s="17">
        <f t="shared" si="184"/>
        <v>446</v>
      </c>
      <c r="F992" s="18" t="str">
        <f t="shared" si="194"/>
        <v>446</v>
      </c>
      <c r="G992" s="18">
        <f t="shared" si="185"/>
        <v>446</v>
      </c>
      <c r="H992" s="19" t="str">
        <f t="shared" si="195"/>
        <v>446</v>
      </c>
      <c r="I992" s="19">
        <f t="shared" si="186"/>
        <v>446</v>
      </c>
      <c r="J992" s="30"/>
      <c r="K992" s="30"/>
      <c r="L992" s="30"/>
      <c r="M992" s="30"/>
      <c r="N992" s="33"/>
      <c r="O992" s="30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25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W992" s="27">
        <f t="shared" si="187"/>
        <v>9.9200000000000004E-4</v>
      </c>
      <c r="AX992" s="27">
        <f t="shared" si="188"/>
        <v>9.9200000000000004E-4</v>
      </c>
      <c r="AY992" s="27">
        <f t="shared" si="189"/>
        <v>9.9200000000000004E-4</v>
      </c>
      <c r="AZ992" s="27">
        <f t="shared" si="190"/>
        <v>9.9200000000000004E-4</v>
      </c>
    </row>
    <row r="993" spans="1:52" ht="15" customHeight="1" x14ac:dyDescent="0.25">
      <c r="A993" s="13" t="e">
        <f>VLOOKUP(L993,[1]VALIDAÇÃO!$D$13:$E$350,2,0)</f>
        <v>#N/A</v>
      </c>
      <c r="B993" s="14" t="str">
        <f t="shared" si="192"/>
        <v>445</v>
      </c>
      <c r="C993" s="15">
        <f t="shared" si="191"/>
        <v>445</v>
      </c>
      <c r="D993" s="16" t="str">
        <f t="shared" si="193"/>
        <v>445</v>
      </c>
      <c r="E993" s="17">
        <f t="shared" si="184"/>
        <v>445</v>
      </c>
      <c r="F993" s="18" t="str">
        <f t="shared" si="194"/>
        <v>445</v>
      </c>
      <c r="G993" s="18">
        <f t="shared" si="185"/>
        <v>445</v>
      </c>
      <c r="H993" s="19" t="str">
        <f t="shared" si="195"/>
        <v>445</v>
      </c>
      <c r="I993" s="19">
        <f t="shared" si="186"/>
        <v>445</v>
      </c>
      <c r="J993" s="30"/>
      <c r="K993" s="30"/>
      <c r="L993" s="30"/>
      <c r="M993" s="30"/>
      <c r="N993" s="30"/>
      <c r="O993" s="30"/>
      <c r="P993" s="29"/>
      <c r="Q993" s="29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25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W993" s="27">
        <f t="shared" si="187"/>
        <v>9.9299999999999996E-4</v>
      </c>
      <c r="AX993" s="27">
        <f t="shared" si="188"/>
        <v>9.9299999999999996E-4</v>
      </c>
      <c r="AY993" s="27">
        <f t="shared" si="189"/>
        <v>9.9299999999999996E-4</v>
      </c>
      <c r="AZ993" s="27">
        <f t="shared" si="190"/>
        <v>9.9299999999999996E-4</v>
      </c>
    </row>
    <row r="994" spans="1:52" ht="15" customHeight="1" x14ac:dyDescent="0.25">
      <c r="A994" s="13" t="e">
        <f>VLOOKUP(L994,[1]VALIDAÇÃO!$D$13:$E$350,2,0)</f>
        <v>#N/A</v>
      </c>
      <c r="B994" s="14" t="str">
        <f t="shared" si="192"/>
        <v>444</v>
      </c>
      <c r="C994" s="15">
        <f t="shared" si="191"/>
        <v>444</v>
      </c>
      <c r="D994" s="16" t="str">
        <f t="shared" si="193"/>
        <v>444</v>
      </c>
      <c r="E994" s="17">
        <f t="shared" si="184"/>
        <v>444</v>
      </c>
      <c r="F994" s="18" t="str">
        <f t="shared" si="194"/>
        <v>444</v>
      </c>
      <c r="G994" s="18">
        <f t="shared" si="185"/>
        <v>444</v>
      </c>
      <c r="H994" s="19" t="str">
        <f t="shared" si="195"/>
        <v>444</v>
      </c>
      <c r="I994" s="19">
        <f t="shared" si="186"/>
        <v>444</v>
      </c>
      <c r="J994" s="30"/>
      <c r="K994" s="30"/>
      <c r="L994" s="30"/>
      <c r="M994" s="30"/>
      <c r="N994" s="30"/>
      <c r="O994" s="30"/>
      <c r="P994" s="29"/>
      <c r="Q994" s="29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25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W994" s="27">
        <f t="shared" si="187"/>
        <v>9.9400000000000009E-4</v>
      </c>
      <c r="AX994" s="27">
        <f t="shared" si="188"/>
        <v>9.9400000000000009E-4</v>
      </c>
      <c r="AY994" s="27">
        <f t="shared" si="189"/>
        <v>9.9400000000000009E-4</v>
      </c>
      <c r="AZ994" s="27">
        <f t="shared" si="190"/>
        <v>9.9400000000000009E-4</v>
      </c>
    </row>
    <row r="995" spans="1:52" ht="15" customHeight="1" x14ac:dyDescent="0.25">
      <c r="A995" s="13" t="e">
        <f>VLOOKUP(L995,[1]VALIDAÇÃO!$D$13:$E$350,2,0)</f>
        <v>#N/A</v>
      </c>
      <c r="B995" s="14" t="str">
        <f t="shared" si="192"/>
        <v>443</v>
      </c>
      <c r="C995" s="15">
        <f t="shared" si="191"/>
        <v>443</v>
      </c>
      <c r="D995" s="16" t="str">
        <f t="shared" si="193"/>
        <v>443</v>
      </c>
      <c r="E995" s="17">
        <f t="shared" si="184"/>
        <v>443</v>
      </c>
      <c r="F995" s="18" t="str">
        <f t="shared" si="194"/>
        <v>443</v>
      </c>
      <c r="G995" s="18">
        <f t="shared" si="185"/>
        <v>443</v>
      </c>
      <c r="H995" s="19" t="str">
        <f t="shared" si="195"/>
        <v>443</v>
      </c>
      <c r="I995" s="19">
        <f t="shared" si="186"/>
        <v>443</v>
      </c>
      <c r="J995" s="30"/>
      <c r="K995" s="30"/>
      <c r="L995" s="30"/>
      <c r="M995" s="30"/>
      <c r="N995" s="30"/>
      <c r="O995" s="30"/>
      <c r="P995" s="29"/>
      <c r="Q995" s="29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25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W995" s="27">
        <f t="shared" si="187"/>
        <v>9.9500000000000001E-4</v>
      </c>
      <c r="AX995" s="27">
        <f t="shared" si="188"/>
        <v>9.9500000000000001E-4</v>
      </c>
      <c r="AY995" s="27">
        <f t="shared" si="189"/>
        <v>9.9500000000000001E-4</v>
      </c>
      <c r="AZ995" s="27">
        <f t="shared" si="190"/>
        <v>9.9500000000000001E-4</v>
      </c>
    </row>
    <row r="996" spans="1:52" ht="15" customHeight="1" x14ac:dyDescent="0.25">
      <c r="A996" s="13" t="e">
        <f>VLOOKUP(L996,[1]VALIDAÇÃO!$D$13:$E$350,2,0)</f>
        <v>#N/A</v>
      </c>
      <c r="B996" s="14" t="str">
        <f t="shared" si="192"/>
        <v>442</v>
      </c>
      <c r="C996" s="15">
        <f t="shared" si="191"/>
        <v>442</v>
      </c>
      <c r="D996" s="16" t="str">
        <f t="shared" si="193"/>
        <v>442</v>
      </c>
      <c r="E996" s="17">
        <f t="shared" si="184"/>
        <v>442</v>
      </c>
      <c r="F996" s="18" t="str">
        <f t="shared" si="194"/>
        <v>442</v>
      </c>
      <c r="G996" s="18">
        <f t="shared" si="185"/>
        <v>442</v>
      </c>
      <c r="H996" s="19" t="str">
        <f t="shared" si="195"/>
        <v>442</v>
      </c>
      <c r="I996" s="19">
        <f t="shared" si="186"/>
        <v>442</v>
      </c>
      <c r="J996" s="30"/>
      <c r="K996" s="30"/>
      <c r="L996" s="30"/>
      <c r="M996" s="30"/>
      <c r="N996" s="33"/>
      <c r="O996" s="30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25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W996" s="27">
        <f t="shared" si="187"/>
        <v>9.9599999999999992E-4</v>
      </c>
      <c r="AX996" s="27">
        <f t="shared" si="188"/>
        <v>9.9599999999999992E-4</v>
      </c>
      <c r="AY996" s="27">
        <f t="shared" si="189"/>
        <v>9.9599999999999992E-4</v>
      </c>
      <c r="AZ996" s="27">
        <f t="shared" si="190"/>
        <v>9.9599999999999992E-4</v>
      </c>
    </row>
    <row r="997" spans="1:52" ht="15" customHeight="1" x14ac:dyDescent="0.25">
      <c r="A997" s="13" t="e">
        <f>VLOOKUP(L997,[1]VALIDAÇÃO!$D$13:$E$350,2,0)</f>
        <v>#N/A</v>
      </c>
      <c r="B997" s="14" t="str">
        <f t="shared" si="192"/>
        <v>441</v>
      </c>
      <c r="C997" s="15">
        <f t="shared" si="191"/>
        <v>441</v>
      </c>
      <c r="D997" s="16" t="str">
        <f t="shared" si="193"/>
        <v>441</v>
      </c>
      <c r="E997" s="17">
        <f t="shared" si="184"/>
        <v>441</v>
      </c>
      <c r="F997" s="18" t="str">
        <f t="shared" si="194"/>
        <v>441</v>
      </c>
      <c r="G997" s="18">
        <f t="shared" si="185"/>
        <v>441</v>
      </c>
      <c r="H997" s="19" t="str">
        <f t="shared" si="195"/>
        <v>441</v>
      </c>
      <c r="I997" s="19">
        <f t="shared" si="186"/>
        <v>441</v>
      </c>
      <c r="J997" s="30"/>
      <c r="K997" s="30"/>
      <c r="L997" s="30"/>
      <c r="M997" s="30"/>
      <c r="N997" s="33"/>
      <c r="O997" s="30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25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W997" s="27">
        <f t="shared" si="187"/>
        <v>9.9700000000000006E-4</v>
      </c>
      <c r="AX997" s="27">
        <f t="shared" si="188"/>
        <v>9.9700000000000006E-4</v>
      </c>
      <c r="AY997" s="27">
        <f t="shared" si="189"/>
        <v>9.9700000000000006E-4</v>
      </c>
      <c r="AZ997" s="27">
        <f t="shared" si="190"/>
        <v>9.9700000000000006E-4</v>
      </c>
    </row>
    <row r="998" spans="1:52" ht="15" customHeight="1" x14ac:dyDescent="0.25">
      <c r="A998" s="13" t="e">
        <f>VLOOKUP(L998,[1]VALIDAÇÃO!$D$13:$E$350,2,0)</f>
        <v>#N/A</v>
      </c>
      <c r="B998" s="14" t="str">
        <f t="shared" si="192"/>
        <v>440</v>
      </c>
      <c r="C998" s="15">
        <f t="shared" si="191"/>
        <v>440</v>
      </c>
      <c r="D998" s="16" t="str">
        <f t="shared" si="193"/>
        <v>440</v>
      </c>
      <c r="E998" s="17">
        <f t="shared" si="184"/>
        <v>440</v>
      </c>
      <c r="F998" s="18" t="str">
        <f t="shared" si="194"/>
        <v>440</v>
      </c>
      <c r="G998" s="18">
        <f t="shared" si="185"/>
        <v>440</v>
      </c>
      <c r="H998" s="19" t="str">
        <f t="shared" si="195"/>
        <v>440</v>
      </c>
      <c r="I998" s="19">
        <f t="shared" si="186"/>
        <v>440</v>
      </c>
      <c r="J998" s="30"/>
      <c r="K998" s="30"/>
      <c r="L998" s="30"/>
      <c r="M998" s="30"/>
      <c r="N998" s="30"/>
      <c r="O998" s="30"/>
      <c r="P998" s="29"/>
      <c r="Q998" s="29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25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W998" s="27">
        <f t="shared" si="187"/>
        <v>9.9799999999999997E-4</v>
      </c>
      <c r="AX998" s="27">
        <f t="shared" si="188"/>
        <v>9.9799999999999997E-4</v>
      </c>
      <c r="AY998" s="27">
        <f t="shared" si="189"/>
        <v>9.9799999999999997E-4</v>
      </c>
      <c r="AZ998" s="27">
        <f t="shared" si="190"/>
        <v>9.9799999999999997E-4</v>
      </c>
    </row>
    <row r="999" spans="1:52" ht="15" customHeight="1" x14ac:dyDescent="0.25">
      <c r="A999" s="13" t="e">
        <f>VLOOKUP(L999,[1]VALIDAÇÃO!$D$13:$E$350,2,0)</f>
        <v>#N/A</v>
      </c>
      <c r="B999" s="14" t="str">
        <f t="shared" si="192"/>
        <v>439</v>
      </c>
      <c r="C999" s="15">
        <f t="shared" si="191"/>
        <v>439</v>
      </c>
      <c r="D999" s="16" t="str">
        <f t="shared" si="193"/>
        <v>439</v>
      </c>
      <c r="E999" s="17">
        <f t="shared" si="184"/>
        <v>439</v>
      </c>
      <c r="F999" s="18" t="str">
        <f t="shared" si="194"/>
        <v>439</v>
      </c>
      <c r="G999" s="18">
        <f t="shared" si="185"/>
        <v>439</v>
      </c>
      <c r="H999" s="19" t="str">
        <f t="shared" si="195"/>
        <v>439</v>
      </c>
      <c r="I999" s="19">
        <f t="shared" si="186"/>
        <v>439</v>
      </c>
      <c r="J999" s="30"/>
      <c r="K999" s="30"/>
      <c r="L999" s="30"/>
      <c r="M999" s="30"/>
      <c r="N999" s="33"/>
      <c r="O999" s="30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25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W999" s="27">
        <f t="shared" si="187"/>
        <v>9.990000000000001E-4</v>
      </c>
      <c r="AX999" s="27">
        <f t="shared" si="188"/>
        <v>9.990000000000001E-4</v>
      </c>
      <c r="AY999" s="27">
        <f t="shared" si="189"/>
        <v>9.990000000000001E-4</v>
      </c>
      <c r="AZ999" s="27">
        <f t="shared" si="190"/>
        <v>9.990000000000001E-4</v>
      </c>
    </row>
    <row r="1000" spans="1:52" ht="15" customHeight="1" x14ac:dyDescent="0.25">
      <c r="A1000" s="13" t="e">
        <f>VLOOKUP(L1000,[1]VALIDAÇÃO!$D$13:$E$350,2,0)</f>
        <v>#N/A</v>
      </c>
      <c r="B1000" s="14" t="str">
        <f t="shared" si="192"/>
        <v>438</v>
      </c>
      <c r="C1000" s="15">
        <f t="shared" si="191"/>
        <v>438</v>
      </c>
      <c r="D1000" s="16" t="str">
        <f t="shared" si="193"/>
        <v>438</v>
      </c>
      <c r="E1000" s="17">
        <f t="shared" si="184"/>
        <v>438</v>
      </c>
      <c r="F1000" s="18" t="str">
        <f t="shared" si="194"/>
        <v>438</v>
      </c>
      <c r="G1000" s="18">
        <f t="shared" si="185"/>
        <v>438</v>
      </c>
      <c r="H1000" s="19" t="str">
        <f t="shared" si="195"/>
        <v>438</v>
      </c>
      <c r="I1000" s="19">
        <f t="shared" si="186"/>
        <v>438</v>
      </c>
      <c r="J1000" s="30"/>
      <c r="K1000" s="30"/>
      <c r="L1000" s="30"/>
      <c r="M1000" s="30"/>
      <c r="N1000" s="30"/>
      <c r="O1000" s="30"/>
      <c r="P1000" s="29"/>
      <c r="Q1000" s="29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25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W1000" s="27">
        <f t="shared" si="187"/>
        <v>1E-3</v>
      </c>
      <c r="AX1000" s="27">
        <f t="shared" si="188"/>
        <v>1E-3</v>
      </c>
      <c r="AY1000" s="27">
        <f t="shared" si="189"/>
        <v>1E-3</v>
      </c>
      <c r="AZ1000" s="27">
        <f t="shared" si="190"/>
        <v>1E-3</v>
      </c>
    </row>
    <row r="1001" spans="1:52" ht="15" customHeight="1" x14ac:dyDescent="0.25">
      <c r="A1001" s="13" t="e">
        <f>VLOOKUP(L1001,[1]VALIDAÇÃO!$D$13:$E$350,2,0)</f>
        <v>#N/A</v>
      </c>
      <c r="B1001" s="14" t="str">
        <f t="shared" si="192"/>
        <v>437</v>
      </c>
      <c r="C1001" s="15">
        <f t="shared" si="191"/>
        <v>437</v>
      </c>
      <c r="D1001" s="16" t="str">
        <f t="shared" si="193"/>
        <v>437</v>
      </c>
      <c r="E1001" s="17">
        <f t="shared" si="184"/>
        <v>437</v>
      </c>
      <c r="F1001" s="18" t="str">
        <f t="shared" si="194"/>
        <v>437</v>
      </c>
      <c r="G1001" s="18">
        <f t="shared" si="185"/>
        <v>437</v>
      </c>
      <c r="H1001" s="19" t="str">
        <f t="shared" si="195"/>
        <v>437</v>
      </c>
      <c r="I1001" s="19">
        <f t="shared" si="186"/>
        <v>437</v>
      </c>
      <c r="J1001" s="30"/>
      <c r="K1001" s="30"/>
      <c r="L1001" s="30"/>
      <c r="M1001" s="30"/>
      <c r="N1001" s="33"/>
      <c r="O1001" s="30"/>
      <c r="P1001" s="29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25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W1001" s="27">
        <f t="shared" si="187"/>
        <v>1.0009999999999999E-3</v>
      </c>
      <c r="AX1001" s="27">
        <f t="shared" si="188"/>
        <v>1.0009999999999999E-3</v>
      </c>
      <c r="AY1001" s="27">
        <f t="shared" si="189"/>
        <v>1.0009999999999999E-3</v>
      </c>
      <c r="AZ1001" s="27">
        <f t="shared" si="190"/>
        <v>1.0009999999999999E-3</v>
      </c>
    </row>
    <row r="1002" spans="1:52" ht="15" customHeight="1" x14ac:dyDescent="0.25">
      <c r="A1002" s="13" t="e">
        <f>VLOOKUP(L1002,[1]VALIDAÇÃO!$D$13:$E$350,2,0)</f>
        <v>#N/A</v>
      </c>
      <c r="B1002" s="14" t="str">
        <f t="shared" si="192"/>
        <v>436</v>
      </c>
      <c r="C1002" s="15">
        <f t="shared" si="191"/>
        <v>436</v>
      </c>
      <c r="D1002" s="16" t="str">
        <f t="shared" si="193"/>
        <v>436</v>
      </c>
      <c r="E1002" s="17">
        <f t="shared" si="184"/>
        <v>436</v>
      </c>
      <c r="F1002" s="18" t="str">
        <f t="shared" si="194"/>
        <v>436</v>
      </c>
      <c r="G1002" s="18">
        <f t="shared" si="185"/>
        <v>436</v>
      </c>
      <c r="H1002" s="19" t="str">
        <f t="shared" si="195"/>
        <v>436</v>
      </c>
      <c r="I1002" s="19">
        <f t="shared" si="186"/>
        <v>436</v>
      </c>
      <c r="J1002" s="30"/>
      <c r="K1002" s="30"/>
      <c r="L1002" s="30"/>
      <c r="M1002" s="30"/>
      <c r="N1002" s="33"/>
      <c r="O1002" s="30"/>
      <c r="P1002" s="29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25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W1002" s="27">
        <f t="shared" si="187"/>
        <v>1.0020000000000001E-3</v>
      </c>
      <c r="AX1002" s="27">
        <f t="shared" si="188"/>
        <v>1.0020000000000001E-3</v>
      </c>
      <c r="AY1002" s="27">
        <f t="shared" si="189"/>
        <v>1.0020000000000001E-3</v>
      </c>
      <c r="AZ1002" s="27">
        <f t="shared" si="190"/>
        <v>1.0020000000000001E-3</v>
      </c>
    </row>
    <row r="1003" spans="1:52" ht="15" customHeight="1" x14ac:dyDescent="0.25">
      <c r="A1003" s="13" t="e">
        <f>VLOOKUP(L1003,[1]VALIDAÇÃO!$D$13:$E$350,2,0)</f>
        <v>#N/A</v>
      </c>
      <c r="B1003" s="14" t="str">
        <f t="shared" si="192"/>
        <v>435</v>
      </c>
      <c r="C1003" s="15">
        <f t="shared" si="191"/>
        <v>435</v>
      </c>
      <c r="D1003" s="16" t="str">
        <f t="shared" si="193"/>
        <v>435</v>
      </c>
      <c r="E1003" s="17">
        <f t="shared" si="184"/>
        <v>435</v>
      </c>
      <c r="F1003" s="18" t="str">
        <f t="shared" si="194"/>
        <v>435</v>
      </c>
      <c r="G1003" s="18">
        <f t="shared" si="185"/>
        <v>435</v>
      </c>
      <c r="H1003" s="19" t="str">
        <f t="shared" si="195"/>
        <v>435</v>
      </c>
      <c r="I1003" s="19">
        <f t="shared" si="186"/>
        <v>435</v>
      </c>
      <c r="J1003" s="30"/>
      <c r="K1003" s="30"/>
      <c r="L1003" s="30"/>
      <c r="M1003" s="30"/>
      <c r="N1003" s="33"/>
      <c r="O1003" s="30"/>
      <c r="P1003" s="29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25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W1003" s="27">
        <f t="shared" si="187"/>
        <v>1.003E-3</v>
      </c>
      <c r="AX1003" s="27">
        <f t="shared" si="188"/>
        <v>1.003E-3</v>
      </c>
      <c r="AY1003" s="27">
        <f t="shared" si="189"/>
        <v>1.003E-3</v>
      </c>
      <c r="AZ1003" s="27">
        <f t="shared" si="190"/>
        <v>1.003E-3</v>
      </c>
    </row>
    <row r="1004" spans="1:52" ht="15" customHeight="1" x14ac:dyDescent="0.25">
      <c r="A1004" s="13" t="e">
        <f>VLOOKUP(L1004,[1]VALIDAÇÃO!$D$13:$E$350,2,0)</f>
        <v>#N/A</v>
      </c>
      <c r="B1004" s="14" t="str">
        <f t="shared" si="192"/>
        <v>434</v>
      </c>
      <c r="C1004" s="15">
        <f t="shared" si="191"/>
        <v>434</v>
      </c>
      <c r="D1004" s="16" t="str">
        <f t="shared" si="193"/>
        <v>434</v>
      </c>
      <c r="E1004" s="17">
        <f t="shared" si="184"/>
        <v>434</v>
      </c>
      <c r="F1004" s="18" t="str">
        <f t="shared" si="194"/>
        <v>434</v>
      </c>
      <c r="G1004" s="18">
        <f t="shared" si="185"/>
        <v>434</v>
      </c>
      <c r="H1004" s="19" t="str">
        <f t="shared" si="195"/>
        <v>434</v>
      </c>
      <c r="I1004" s="19">
        <f t="shared" si="186"/>
        <v>434</v>
      </c>
      <c r="J1004" s="30"/>
      <c r="K1004" s="30"/>
      <c r="L1004" s="30"/>
      <c r="M1004" s="30"/>
      <c r="N1004" s="30"/>
      <c r="O1004" s="30"/>
      <c r="P1004" s="29"/>
      <c r="Q1004" s="29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25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W1004" s="27">
        <f t="shared" si="187"/>
        <v>1.0039999999999999E-3</v>
      </c>
      <c r="AX1004" s="27">
        <f t="shared" si="188"/>
        <v>1.0039999999999999E-3</v>
      </c>
      <c r="AY1004" s="27">
        <f t="shared" si="189"/>
        <v>1.0039999999999999E-3</v>
      </c>
      <c r="AZ1004" s="27">
        <f t="shared" si="190"/>
        <v>1.0039999999999999E-3</v>
      </c>
    </row>
    <row r="1005" spans="1:52" ht="15" customHeight="1" x14ac:dyDescent="0.25">
      <c r="A1005" s="13" t="e">
        <f>VLOOKUP(L1005,[1]VALIDAÇÃO!$D$13:$E$350,2,0)</f>
        <v>#N/A</v>
      </c>
      <c r="B1005" s="14" t="str">
        <f t="shared" si="192"/>
        <v>433</v>
      </c>
      <c r="C1005" s="15">
        <f t="shared" si="191"/>
        <v>433</v>
      </c>
      <c r="D1005" s="16" t="str">
        <f t="shared" si="193"/>
        <v>433</v>
      </c>
      <c r="E1005" s="17">
        <f t="shared" si="184"/>
        <v>433</v>
      </c>
      <c r="F1005" s="18" t="str">
        <f t="shared" si="194"/>
        <v>433</v>
      </c>
      <c r="G1005" s="18">
        <f t="shared" si="185"/>
        <v>433</v>
      </c>
      <c r="H1005" s="19" t="str">
        <f t="shared" si="195"/>
        <v>433</v>
      </c>
      <c r="I1005" s="19">
        <f t="shared" si="186"/>
        <v>433</v>
      </c>
      <c r="J1005" s="30"/>
      <c r="K1005" s="30"/>
      <c r="L1005" s="30"/>
      <c r="M1005" s="30"/>
      <c r="N1005" s="33"/>
      <c r="O1005" s="30"/>
      <c r="P1005" s="29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25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W1005" s="27">
        <f t="shared" si="187"/>
        <v>1.005E-3</v>
      </c>
      <c r="AX1005" s="27">
        <f t="shared" si="188"/>
        <v>1.005E-3</v>
      </c>
      <c r="AY1005" s="27">
        <f t="shared" si="189"/>
        <v>1.005E-3</v>
      </c>
      <c r="AZ1005" s="27">
        <f t="shared" si="190"/>
        <v>1.005E-3</v>
      </c>
    </row>
    <row r="1006" spans="1:52" ht="15" customHeight="1" x14ac:dyDescent="0.25">
      <c r="A1006" s="13" t="e">
        <f>VLOOKUP(L1006,[1]VALIDAÇÃO!$D$13:$E$350,2,0)</f>
        <v>#N/A</v>
      </c>
      <c r="B1006" s="14" t="str">
        <f t="shared" si="192"/>
        <v>432</v>
      </c>
      <c r="C1006" s="15">
        <f t="shared" si="191"/>
        <v>432</v>
      </c>
      <c r="D1006" s="16" t="str">
        <f t="shared" si="193"/>
        <v>432</v>
      </c>
      <c r="E1006" s="17">
        <f t="shared" si="184"/>
        <v>432</v>
      </c>
      <c r="F1006" s="18" t="str">
        <f t="shared" si="194"/>
        <v>432</v>
      </c>
      <c r="G1006" s="18">
        <f t="shared" si="185"/>
        <v>432</v>
      </c>
      <c r="H1006" s="19" t="str">
        <f t="shared" si="195"/>
        <v>432</v>
      </c>
      <c r="I1006" s="19">
        <f t="shared" si="186"/>
        <v>432</v>
      </c>
      <c r="J1006" s="30"/>
      <c r="K1006" s="30"/>
      <c r="L1006" s="30"/>
      <c r="M1006" s="30"/>
      <c r="N1006" s="30"/>
      <c r="O1006" s="30"/>
      <c r="P1006" s="29"/>
      <c r="Q1006" s="29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25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W1006" s="27">
        <f t="shared" si="187"/>
        <v>1.0059999999999999E-3</v>
      </c>
      <c r="AX1006" s="27">
        <f t="shared" si="188"/>
        <v>1.0059999999999999E-3</v>
      </c>
      <c r="AY1006" s="27">
        <f t="shared" si="189"/>
        <v>1.0059999999999999E-3</v>
      </c>
      <c r="AZ1006" s="27">
        <f t="shared" si="190"/>
        <v>1.0059999999999999E-3</v>
      </c>
    </row>
    <row r="1007" spans="1:52" ht="15" customHeight="1" x14ac:dyDescent="0.25">
      <c r="A1007" s="13" t="e">
        <f>VLOOKUP(L1007,[1]VALIDAÇÃO!$D$13:$E$350,2,0)</f>
        <v>#N/A</v>
      </c>
      <c r="B1007" s="14" t="str">
        <f t="shared" si="192"/>
        <v>431</v>
      </c>
      <c r="C1007" s="15">
        <f t="shared" si="191"/>
        <v>431</v>
      </c>
      <c r="D1007" s="16" t="str">
        <f t="shared" si="193"/>
        <v>431</v>
      </c>
      <c r="E1007" s="17">
        <f t="shared" si="184"/>
        <v>431</v>
      </c>
      <c r="F1007" s="18" t="str">
        <f t="shared" si="194"/>
        <v>431</v>
      </c>
      <c r="G1007" s="18">
        <f t="shared" si="185"/>
        <v>431</v>
      </c>
      <c r="H1007" s="19" t="str">
        <f t="shared" si="195"/>
        <v>431</v>
      </c>
      <c r="I1007" s="19">
        <f t="shared" si="186"/>
        <v>431</v>
      </c>
      <c r="J1007" s="30"/>
      <c r="K1007" s="30"/>
      <c r="L1007" s="30"/>
      <c r="M1007" s="30"/>
      <c r="N1007" s="33"/>
      <c r="O1007" s="30"/>
      <c r="P1007" s="29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25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W1007" s="27">
        <f t="shared" si="187"/>
        <v>1.0070000000000001E-3</v>
      </c>
      <c r="AX1007" s="27">
        <f t="shared" si="188"/>
        <v>1.0070000000000001E-3</v>
      </c>
      <c r="AY1007" s="27">
        <f t="shared" si="189"/>
        <v>1.0070000000000001E-3</v>
      </c>
      <c r="AZ1007" s="27">
        <f t="shared" si="190"/>
        <v>1.0070000000000001E-3</v>
      </c>
    </row>
    <row r="1008" spans="1:52" ht="15" customHeight="1" x14ac:dyDescent="0.25">
      <c r="A1008" s="13" t="e">
        <f>VLOOKUP(L1008,[1]VALIDAÇÃO!$D$13:$E$350,2,0)</f>
        <v>#N/A</v>
      </c>
      <c r="B1008" s="14" t="str">
        <f t="shared" si="192"/>
        <v>430</v>
      </c>
      <c r="C1008" s="15">
        <f t="shared" si="191"/>
        <v>430</v>
      </c>
      <c r="D1008" s="16" t="str">
        <f t="shared" si="193"/>
        <v>430</v>
      </c>
      <c r="E1008" s="17">
        <f t="shared" si="184"/>
        <v>430</v>
      </c>
      <c r="F1008" s="18" t="str">
        <f t="shared" si="194"/>
        <v>430</v>
      </c>
      <c r="G1008" s="18">
        <f t="shared" si="185"/>
        <v>430</v>
      </c>
      <c r="H1008" s="19" t="str">
        <f t="shared" si="195"/>
        <v>430</v>
      </c>
      <c r="I1008" s="19">
        <f t="shared" si="186"/>
        <v>430</v>
      </c>
      <c r="J1008" s="30"/>
      <c r="K1008" s="30"/>
      <c r="L1008" s="30"/>
      <c r="M1008" s="30"/>
      <c r="N1008" s="30"/>
      <c r="O1008" s="30"/>
      <c r="P1008" s="29"/>
      <c r="Q1008" s="29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25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W1008" s="27">
        <f t="shared" si="187"/>
        <v>1.008E-3</v>
      </c>
      <c r="AX1008" s="27">
        <f t="shared" si="188"/>
        <v>1.008E-3</v>
      </c>
      <c r="AY1008" s="27">
        <f t="shared" si="189"/>
        <v>1.008E-3</v>
      </c>
      <c r="AZ1008" s="27">
        <f t="shared" si="190"/>
        <v>1.008E-3</v>
      </c>
    </row>
    <row r="1009" spans="1:52" ht="15" customHeight="1" x14ac:dyDescent="0.25">
      <c r="A1009" s="13" t="e">
        <f>VLOOKUP(L1009,[1]VALIDAÇÃO!$D$13:$E$350,2,0)</f>
        <v>#N/A</v>
      </c>
      <c r="B1009" s="14" t="str">
        <f t="shared" si="192"/>
        <v>429</v>
      </c>
      <c r="C1009" s="15">
        <f t="shared" si="191"/>
        <v>429</v>
      </c>
      <c r="D1009" s="16" t="str">
        <f t="shared" si="193"/>
        <v>429</v>
      </c>
      <c r="E1009" s="17">
        <f t="shared" si="184"/>
        <v>429</v>
      </c>
      <c r="F1009" s="18" t="str">
        <f t="shared" si="194"/>
        <v>429</v>
      </c>
      <c r="G1009" s="18">
        <f t="shared" si="185"/>
        <v>429</v>
      </c>
      <c r="H1009" s="19" t="str">
        <f t="shared" si="195"/>
        <v>429</v>
      </c>
      <c r="I1009" s="19">
        <f t="shared" si="186"/>
        <v>429</v>
      </c>
      <c r="J1009" s="30"/>
      <c r="K1009" s="30"/>
      <c r="L1009" s="30"/>
      <c r="M1009" s="30"/>
      <c r="N1009" s="30"/>
      <c r="O1009" s="30"/>
      <c r="P1009" s="29"/>
      <c r="Q1009" s="29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25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W1009" s="27">
        <f t="shared" si="187"/>
        <v>1.0089999999999999E-3</v>
      </c>
      <c r="AX1009" s="27">
        <f t="shared" si="188"/>
        <v>1.0089999999999999E-3</v>
      </c>
      <c r="AY1009" s="27">
        <f t="shared" si="189"/>
        <v>1.0089999999999999E-3</v>
      </c>
      <c r="AZ1009" s="27">
        <f t="shared" si="190"/>
        <v>1.0089999999999999E-3</v>
      </c>
    </row>
    <row r="1010" spans="1:52" ht="15" customHeight="1" x14ac:dyDescent="0.25">
      <c r="A1010" s="13" t="e">
        <f>VLOOKUP(L1010,[1]VALIDAÇÃO!$D$13:$E$350,2,0)</f>
        <v>#N/A</v>
      </c>
      <c r="B1010" s="14" t="str">
        <f t="shared" si="192"/>
        <v>428</v>
      </c>
      <c r="C1010" s="15">
        <f t="shared" si="191"/>
        <v>428</v>
      </c>
      <c r="D1010" s="16" t="str">
        <f t="shared" si="193"/>
        <v>428</v>
      </c>
      <c r="E1010" s="17">
        <f t="shared" si="184"/>
        <v>428</v>
      </c>
      <c r="F1010" s="18" t="str">
        <f t="shared" si="194"/>
        <v>428</v>
      </c>
      <c r="G1010" s="18">
        <f t="shared" si="185"/>
        <v>428</v>
      </c>
      <c r="H1010" s="19" t="str">
        <f t="shared" si="195"/>
        <v>428</v>
      </c>
      <c r="I1010" s="19">
        <f t="shared" si="186"/>
        <v>428</v>
      </c>
      <c r="J1010" s="30"/>
      <c r="K1010" s="30"/>
      <c r="L1010" s="30"/>
      <c r="M1010" s="30"/>
      <c r="N1010" s="30"/>
      <c r="O1010" s="30"/>
      <c r="P1010" s="29"/>
      <c r="Q1010" s="29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25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W1010" s="27">
        <f t="shared" si="187"/>
        <v>1.01E-3</v>
      </c>
      <c r="AX1010" s="27">
        <f t="shared" si="188"/>
        <v>1.01E-3</v>
      </c>
      <c r="AY1010" s="27">
        <f t="shared" si="189"/>
        <v>1.01E-3</v>
      </c>
      <c r="AZ1010" s="27">
        <f t="shared" si="190"/>
        <v>1.01E-3</v>
      </c>
    </row>
    <row r="1011" spans="1:52" ht="15" customHeight="1" x14ac:dyDescent="0.25">
      <c r="A1011" s="13" t="e">
        <f>VLOOKUP(L1011,[1]VALIDAÇÃO!$D$13:$E$350,2,0)</f>
        <v>#N/A</v>
      </c>
      <c r="B1011" s="14" t="str">
        <f t="shared" si="192"/>
        <v>427</v>
      </c>
      <c r="C1011" s="15">
        <f t="shared" si="191"/>
        <v>427</v>
      </c>
      <c r="D1011" s="16" t="str">
        <f t="shared" si="193"/>
        <v>427</v>
      </c>
      <c r="E1011" s="17">
        <f t="shared" si="184"/>
        <v>427</v>
      </c>
      <c r="F1011" s="18" t="str">
        <f t="shared" si="194"/>
        <v>427</v>
      </c>
      <c r="G1011" s="18">
        <f t="shared" si="185"/>
        <v>427</v>
      </c>
      <c r="H1011" s="19" t="str">
        <f t="shared" si="195"/>
        <v>427</v>
      </c>
      <c r="I1011" s="19">
        <f t="shared" si="186"/>
        <v>427</v>
      </c>
      <c r="J1011" s="30"/>
      <c r="K1011" s="30"/>
      <c r="L1011" s="30"/>
      <c r="M1011" s="30"/>
      <c r="N1011" s="30"/>
      <c r="O1011" s="30"/>
      <c r="P1011" s="29"/>
      <c r="Q1011" s="29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25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W1011" s="27">
        <f t="shared" si="187"/>
        <v>1.011E-3</v>
      </c>
      <c r="AX1011" s="27">
        <f t="shared" si="188"/>
        <v>1.011E-3</v>
      </c>
      <c r="AY1011" s="27">
        <f t="shared" si="189"/>
        <v>1.011E-3</v>
      </c>
      <c r="AZ1011" s="27">
        <f t="shared" si="190"/>
        <v>1.011E-3</v>
      </c>
    </row>
    <row r="1012" spans="1:52" ht="15" customHeight="1" x14ac:dyDescent="0.25">
      <c r="A1012" s="13" t="e">
        <f>VLOOKUP(L1012,[1]VALIDAÇÃO!$D$13:$E$350,2,0)</f>
        <v>#N/A</v>
      </c>
      <c r="B1012" s="14" t="str">
        <f t="shared" si="192"/>
        <v>426</v>
      </c>
      <c r="C1012" s="15">
        <f t="shared" si="191"/>
        <v>426</v>
      </c>
      <c r="D1012" s="16" t="str">
        <f t="shared" si="193"/>
        <v>426</v>
      </c>
      <c r="E1012" s="17">
        <f t="shared" si="184"/>
        <v>426</v>
      </c>
      <c r="F1012" s="18" t="str">
        <f t="shared" si="194"/>
        <v>426</v>
      </c>
      <c r="G1012" s="18">
        <f t="shared" si="185"/>
        <v>426</v>
      </c>
      <c r="H1012" s="19" t="str">
        <f t="shared" si="195"/>
        <v>426</v>
      </c>
      <c r="I1012" s="19">
        <f t="shared" si="186"/>
        <v>426</v>
      </c>
      <c r="J1012" s="30"/>
      <c r="K1012" s="30"/>
      <c r="L1012" s="30"/>
      <c r="M1012" s="30"/>
      <c r="N1012" s="33"/>
      <c r="O1012" s="30"/>
      <c r="P1012" s="29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25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W1012" s="27">
        <f t="shared" si="187"/>
        <v>1.0120000000000001E-3</v>
      </c>
      <c r="AX1012" s="27">
        <f t="shared" si="188"/>
        <v>1.0120000000000001E-3</v>
      </c>
      <c r="AY1012" s="27">
        <f t="shared" si="189"/>
        <v>1.0120000000000001E-3</v>
      </c>
      <c r="AZ1012" s="27">
        <f t="shared" si="190"/>
        <v>1.0120000000000001E-3</v>
      </c>
    </row>
    <row r="1013" spans="1:52" ht="15" customHeight="1" x14ac:dyDescent="0.25">
      <c r="A1013" s="13" t="e">
        <f>VLOOKUP(L1013,[1]VALIDAÇÃO!$D$13:$E$350,2,0)</f>
        <v>#N/A</v>
      </c>
      <c r="B1013" s="14" t="str">
        <f t="shared" si="192"/>
        <v>425</v>
      </c>
      <c r="C1013" s="15">
        <f t="shared" si="191"/>
        <v>425</v>
      </c>
      <c r="D1013" s="16" t="str">
        <f t="shared" si="193"/>
        <v>425</v>
      </c>
      <c r="E1013" s="17">
        <f t="shared" si="184"/>
        <v>425</v>
      </c>
      <c r="F1013" s="18" t="str">
        <f t="shared" si="194"/>
        <v>425</v>
      </c>
      <c r="G1013" s="18">
        <f t="shared" si="185"/>
        <v>425</v>
      </c>
      <c r="H1013" s="19" t="str">
        <f t="shared" si="195"/>
        <v>425</v>
      </c>
      <c r="I1013" s="19">
        <f t="shared" si="186"/>
        <v>425</v>
      </c>
      <c r="J1013" s="30"/>
      <c r="K1013" s="30"/>
      <c r="L1013" s="30"/>
      <c r="M1013" s="30"/>
      <c r="N1013" s="33"/>
      <c r="O1013" s="30"/>
      <c r="P1013" s="29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25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W1013" s="27">
        <f t="shared" si="187"/>
        <v>1.013E-3</v>
      </c>
      <c r="AX1013" s="27">
        <f t="shared" si="188"/>
        <v>1.013E-3</v>
      </c>
      <c r="AY1013" s="27">
        <f t="shared" si="189"/>
        <v>1.013E-3</v>
      </c>
      <c r="AZ1013" s="27">
        <f t="shared" si="190"/>
        <v>1.013E-3</v>
      </c>
    </row>
    <row r="1014" spans="1:52" ht="15" customHeight="1" x14ac:dyDescent="0.25">
      <c r="A1014" s="13" t="e">
        <f>VLOOKUP(L1014,[1]VALIDAÇÃO!$D$13:$E$350,2,0)</f>
        <v>#N/A</v>
      </c>
      <c r="B1014" s="14" t="str">
        <f t="shared" si="192"/>
        <v>424</v>
      </c>
      <c r="C1014" s="15">
        <f t="shared" si="191"/>
        <v>424</v>
      </c>
      <c r="D1014" s="16" t="str">
        <f t="shared" si="193"/>
        <v>424</v>
      </c>
      <c r="E1014" s="17">
        <f t="shared" si="184"/>
        <v>424</v>
      </c>
      <c r="F1014" s="18" t="str">
        <f t="shared" si="194"/>
        <v>424</v>
      </c>
      <c r="G1014" s="18">
        <f t="shared" si="185"/>
        <v>424</v>
      </c>
      <c r="H1014" s="19" t="str">
        <f t="shared" si="195"/>
        <v>424</v>
      </c>
      <c r="I1014" s="19">
        <f t="shared" si="186"/>
        <v>424</v>
      </c>
      <c r="J1014" s="30"/>
      <c r="K1014" s="30"/>
      <c r="L1014" s="30"/>
      <c r="M1014" s="30"/>
      <c r="N1014" s="30"/>
      <c r="O1014" s="30"/>
      <c r="P1014" s="29"/>
      <c r="Q1014" s="29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25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W1014" s="27">
        <f t="shared" si="187"/>
        <v>1.0139999999999999E-3</v>
      </c>
      <c r="AX1014" s="27">
        <f t="shared" si="188"/>
        <v>1.0139999999999999E-3</v>
      </c>
      <c r="AY1014" s="27">
        <f t="shared" si="189"/>
        <v>1.0139999999999999E-3</v>
      </c>
      <c r="AZ1014" s="27">
        <f t="shared" si="190"/>
        <v>1.0139999999999999E-3</v>
      </c>
    </row>
    <row r="1015" spans="1:52" ht="15" customHeight="1" x14ac:dyDescent="0.25">
      <c r="A1015" s="13" t="e">
        <f>VLOOKUP(L1015,[1]VALIDAÇÃO!$D$13:$E$350,2,0)</f>
        <v>#N/A</v>
      </c>
      <c r="B1015" s="14" t="str">
        <f t="shared" si="192"/>
        <v>423</v>
      </c>
      <c r="C1015" s="15">
        <f t="shared" si="191"/>
        <v>423</v>
      </c>
      <c r="D1015" s="16" t="str">
        <f t="shared" si="193"/>
        <v>423</v>
      </c>
      <c r="E1015" s="17">
        <f t="shared" si="184"/>
        <v>423</v>
      </c>
      <c r="F1015" s="18" t="str">
        <f t="shared" si="194"/>
        <v>423</v>
      </c>
      <c r="G1015" s="18">
        <f t="shared" si="185"/>
        <v>423</v>
      </c>
      <c r="H1015" s="19" t="str">
        <f t="shared" si="195"/>
        <v>423</v>
      </c>
      <c r="I1015" s="19">
        <f t="shared" si="186"/>
        <v>423</v>
      </c>
      <c r="J1015" s="30"/>
      <c r="K1015" s="30"/>
      <c r="L1015" s="30"/>
      <c r="M1015" s="30"/>
      <c r="N1015" s="33"/>
      <c r="O1015" s="30"/>
      <c r="P1015" s="29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25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W1015" s="27">
        <f t="shared" si="187"/>
        <v>1.0150000000000001E-3</v>
      </c>
      <c r="AX1015" s="27">
        <f t="shared" si="188"/>
        <v>1.0150000000000001E-3</v>
      </c>
      <c r="AY1015" s="27">
        <f t="shared" si="189"/>
        <v>1.0150000000000001E-3</v>
      </c>
      <c r="AZ1015" s="27">
        <f t="shared" si="190"/>
        <v>1.0150000000000001E-3</v>
      </c>
    </row>
    <row r="1016" spans="1:52" ht="15" customHeight="1" x14ac:dyDescent="0.25">
      <c r="A1016" s="13" t="e">
        <f>VLOOKUP(L1016,[1]VALIDAÇÃO!$D$13:$E$350,2,0)</f>
        <v>#N/A</v>
      </c>
      <c r="B1016" s="14" t="str">
        <f t="shared" si="192"/>
        <v>422</v>
      </c>
      <c r="C1016" s="15">
        <f t="shared" si="191"/>
        <v>422</v>
      </c>
      <c r="D1016" s="16" t="str">
        <f t="shared" si="193"/>
        <v>422</v>
      </c>
      <c r="E1016" s="17">
        <f t="shared" si="184"/>
        <v>422</v>
      </c>
      <c r="F1016" s="18" t="str">
        <f t="shared" si="194"/>
        <v>422</v>
      </c>
      <c r="G1016" s="18">
        <f t="shared" si="185"/>
        <v>422</v>
      </c>
      <c r="H1016" s="19" t="str">
        <f t="shared" si="195"/>
        <v>422</v>
      </c>
      <c r="I1016" s="19">
        <f t="shared" si="186"/>
        <v>422</v>
      </c>
      <c r="J1016" s="30"/>
      <c r="K1016" s="30"/>
      <c r="L1016" s="30"/>
      <c r="M1016" s="30"/>
      <c r="N1016" s="30"/>
      <c r="O1016" s="30"/>
      <c r="P1016" s="29"/>
      <c r="Q1016" s="29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25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W1016" s="27">
        <f t="shared" si="187"/>
        <v>1.016E-3</v>
      </c>
      <c r="AX1016" s="27">
        <f t="shared" si="188"/>
        <v>1.016E-3</v>
      </c>
      <c r="AY1016" s="27">
        <f t="shared" si="189"/>
        <v>1.016E-3</v>
      </c>
      <c r="AZ1016" s="27">
        <f t="shared" si="190"/>
        <v>1.016E-3</v>
      </c>
    </row>
    <row r="1017" spans="1:52" ht="15" customHeight="1" x14ac:dyDescent="0.25">
      <c r="A1017" s="13" t="e">
        <f>VLOOKUP(L1017,[1]VALIDAÇÃO!$D$13:$E$350,2,0)</f>
        <v>#N/A</v>
      </c>
      <c r="B1017" s="14" t="str">
        <f t="shared" si="192"/>
        <v>421</v>
      </c>
      <c r="C1017" s="15">
        <f t="shared" si="191"/>
        <v>421</v>
      </c>
      <c r="D1017" s="16" t="str">
        <f t="shared" si="193"/>
        <v>421</v>
      </c>
      <c r="E1017" s="17">
        <f t="shared" si="184"/>
        <v>421</v>
      </c>
      <c r="F1017" s="18" t="str">
        <f t="shared" si="194"/>
        <v>421</v>
      </c>
      <c r="G1017" s="18">
        <f t="shared" si="185"/>
        <v>421</v>
      </c>
      <c r="H1017" s="19" t="str">
        <f t="shared" si="195"/>
        <v>421</v>
      </c>
      <c r="I1017" s="19">
        <f t="shared" si="186"/>
        <v>421</v>
      </c>
      <c r="J1017" s="30"/>
      <c r="K1017" s="30"/>
      <c r="L1017" s="30"/>
      <c r="M1017" s="30"/>
      <c r="N1017" s="33"/>
      <c r="O1017" s="30"/>
      <c r="P1017" s="29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25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W1017" s="27">
        <f t="shared" si="187"/>
        <v>1.0169999999999999E-3</v>
      </c>
      <c r="AX1017" s="27">
        <f t="shared" si="188"/>
        <v>1.0169999999999999E-3</v>
      </c>
      <c r="AY1017" s="27">
        <f t="shared" si="189"/>
        <v>1.0169999999999999E-3</v>
      </c>
      <c r="AZ1017" s="27">
        <f t="shared" si="190"/>
        <v>1.0169999999999999E-3</v>
      </c>
    </row>
    <row r="1018" spans="1:52" ht="15" customHeight="1" x14ac:dyDescent="0.25">
      <c r="A1018" s="13" t="e">
        <f>VLOOKUP(L1018,[1]VALIDAÇÃO!$D$13:$E$350,2,0)</f>
        <v>#N/A</v>
      </c>
      <c r="B1018" s="14" t="str">
        <f t="shared" si="192"/>
        <v>420</v>
      </c>
      <c r="C1018" s="15">
        <f t="shared" si="191"/>
        <v>420</v>
      </c>
      <c r="D1018" s="16" t="str">
        <f t="shared" si="193"/>
        <v>420</v>
      </c>
      <c r="E1018" s="17">
        <f t="shared" si="184"/>
        <v>420</v>
      </c>
      <c r="F1018" s="18" t="str">
        <f t="shared" si="194"/>
        <v>420</v>
      </c>
      <c r="G1018" s="18">
        <f t="shared" si="185"/>
        <v>420</v>
      </c>
      <c r="H1018" s="19" t="str">
        <f t="shared" si="195"/>
        <v>420</v>
      </c>
      <c r="I1018" s="19">
        <f t="shared" si="186"/>
        <v>420</v>
      </c>
      <c r="J1018" s="30"/>
      <c r="K1018" s="30"/>
      <c r="L1018" s="30"/>
      <c r="M1018" s="30"/>
      <c r="N1018" s="30"/>
      <c r="O1018" s="30"/>
      <c r="P1018" s="29"/>
      <c r="Q1018" s="29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25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W1018" s="27">
        <f t="shared" si="187"/>
        <v>1.018E-3</v>
      </c>
      <c r="AX1018" s="27">
        <f t="shared" si="188"/>
        <v>1.018E-3</v>
      </c>
      <c r="AY1018" s="27">
        <f t="shared" si="189"/>
        <v>1.018E-3</v>
      </c>
      <c r="AZ1018" s="27">
        <f t="shared" si="190"/>
        <v>1.018E-3</v>
      </c>
    </row>
    <row r="1019" spans="1:52" ht="15" customHeight="1" x14ac:dyDescent="0.25">
      <c r="A1019" s="13" t="e">
        <f>VLOOKUP(L1019,[1]VALIDAÇÃO!$D$13:$E$350,2,0)</f>
        <v>#N/A</v>
      </c>
      <c r="B1019" s="14" t="str">
        <f t="shared" si="192"/>
        <v>419</v>
      </c>
      <c r="C1019" s="15">
        <f t="shared" si="191"/>
        <v>419</v>
      </c>
      <c r="D1019" s="16" t="str">
        <f t="shared" si="193"/>
        <v>419</v>
      </c>
      <c r="E1019" s="17">
        <f t="shared" si="184"/>
        <v>419</v>
      </c>
      <c r="F1019" s="18" t="str">
        <f t="shared" si="194"/>
        <v>419</v>
      </c>
      <c r="G1019" s="18">
        <f t="shared" si="185"/>
        <v>419</v>
      </c>
      <c r="H1019" s="19" t="str">
        <f t="shared" si="195"/>
        <v>419</v>
      </c>
      <c r="I1019" s="19">
        <f t="shared" si="186"/>
        <v>419</v>
      </c>
      <c r="J1019" s="30"/>
      <c r="K1019" s="30"/>
      <c r="L1019" s="30"/>
      <c r="M1019" s="30"/>
      <c r="N1019" s="33"/>
      <c r="O1019" s="30"/>
      <c r="P1019" s="29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25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W1019" s="27">
        <f t="shared" si="187"/>
        <v>1.0189999999999999E-3</v>
      </c>
      <c r="AX1019" s="27">
        <f t="shared" si="188"/>
        <v>1.0189999999999999E-3</v>
      </c>
      <c r="AY1019" s="27">
        <f t="shared" si="189"/>
        <v>1.0189999999999999E-3</v>
      </c>
      <c r="AZ1019" s="27">
        <f t="shared" si="190"/>
        <v>1.0189999999999999E-3</v>
      </c>
    </row>
    <row r="1020" spans="1:52" ht="15" customHeight="1" x14ac:dyDescent="0.25">
      <c r="A1020" s="13" t="e">
        <f>VLOOKUP(L1020,[1]VALIDAÇÃO!$D$13:$E$350,2,0)</f>
        <v>#N/A</v>
      </c>
      <c r="B1020" s="14" t="str">
        <f t="shared" si="192"/>
        <v>418</v>
      </c>
      <c r="C1020" s="15">
        <f t="shared" si="191"/>
        <v>418</v>
      </c>
      <c r="D1020" s="16" t="str">
        <f t="shared" si="193"/>
        <v>418</v>
      </c>
      <c r="E1020" s="17">
        <f t="shared" si="184"/>
        <v>418</v>
      </c>
      <c r="F1020" s="18" t="str">
        <f t="shared" si="194"/>
        <v>418</v>
      </c>
      <c r="G1020" s="18">
        <f t="shared" si="185"/>
        <v>418</v>
      </c>
      <c r="H1020" s="19" t="str">
        <f t="shared" si="195"/>
        <v>418</v>
      </c>
      <c r="I1020" s="19">
        <f t="shared" si="186"/>
        <v>418</v>
      </c>
      <c r="J1020" s="30"/>
      <c r="K1020" s="30"/>
      <c r="L1020" s="30"/>
      <c r="M1020" s="30"/>
      <c r="N1020" s="33"/>
      <c r="O1020" s="30"/>
      <c r="P1020" s="29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25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W1020" s="27">
        <f t="shared" si="187"/>
        <v>1.0200000000000001E-3</v>
      </c>
      <c r="AX1020" s="27">
        <f t="shared" si="188"/>
        <v>1.0200000000000001E-3</v>
      </c>
      <c r="AY1020" s="27">
        <f t="shared" si="189"/>
        <v>1.0200000000000001E-3</v>
      </c>
      <c r="AZ1020" s="27">
        <f t="shared" si="190"/>
        <v>1.0200000000000001E-3</v>
      </c>
    </row>
    <row r="1021" spans="1:52" ht="15" customHeight="1" x14ac:dyDescent="0.25">
      <c r="A1021" s="13" t="e">
        <f>VLOOKUP(L1021,[1]VALIDAÇÃO!$D$13:$E$350,2,0)</f>
        <v>#N/A</v>
      </c>
      <c r="B1021" s="14" t="str">
        <f t="shared" si="192"/>
        <v>417</v>
      </c>
      <c r="C1021" s="15">
        <f t="shared" si="191"/>
        <v>417</v>
      </c>
      <c r="D1021" s="16" t="str">
        <f t="shared" si="193"/>
        <v>417</v>
      </c>
      <c r="E1021" s="17">
        <f t="shared" si="184"/>
        <v>417</v>
      </c>
      <c r="F1021" s="18" t="str">
        <f t="shared" si="194"/>
        <v>417</v>
      </c>
      <c r="G1021" s="18">
        <f t="shared" si="185"/>
        <v>417</v>
      </c>
      <c r="H1021" s="19" t="str">
        <f t="shared" si="195"/>
        <v>417</v>
      </c>
      <c r="I1021" s="19">
        <f t="shared" si="186"/>
        <v>417</v>
      </c>
      <c r="J1021" s="30"/>
      <c r="K1021" s="30"/>
      <c r="L1021" s="30"/>
      <c r="M1021" s="30"/>
      <c r="N1021" s="30"/>
      <c r="O1021" s="30"/>
      <c r="P1021" s="29"/>
      <c r="Q1021" s="29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25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W1021" s="27">
        <f t="shared" si="187"/>
        <v>1.021E-3</v>
      </c>
      <c r="AX1021" s="27">
        <f t="shared" si="188"/>
        <v>1.021E-3</v>
      </c>
      <c r="AY1021" s="27">
        <f t="shared" si="189"/>
        <v>1.021E-3</v>
      </c>
      <c r="AZ1021" s="27">
        <f t="shared" si="190"/>
        <v>1.021E-3</v>
      </c>
    </row>
    <row r="1022" spans="1:52" ht="15" customHeight="1" x14ac:dyDescent="0.25">
      <c r="A1022" s="13" t="e">
        <f>VLOOKUP(L1022,[1]VALIDAÇÃO!$D$13:$E$350,2,0)</f>
        <v>#N/A</v>
      </c>
      <c r="B1022" s="14" t="str">
        <f t="shared" si="192"/>
        <v>416</v>
      </c>
      <c r="C1022" s="15">
        <f t="shared" si="191"/>
        <v>416</v>
      </c>
      <c r="D1022" s="16" t="str">
        <f t="shared" si="193"/>
        <v>416</v>
      </c>
      <c r="E1022" s="17">
        <f t="shared" si="184"/>
        <v>416</v>
      </c>
      <c r="F1022" s="18" t="str">
        <f t="shared" si="194"/>
        <v>416</v>
      </c>
      <c r="G1022" s="18">
        <f t="shared" si="185"/>
        <v>416</v>
      </c>
      <c r="H1022" s="19" t="str">
        <f t="shared" si="195"/>
        <v>416</v>
      </c>
      <c r="I1022" s="19">
        <f t="shared" si="186"/>
        <v>416</v>
      </c>
      <c r="J1022" s="30"/>
      <c r="K1022" s="30"/>
      <c r="L1022" s="30"/>
      <c r="M1022" s="30"/>
      <c r="N1022" s="33"/>
      <c r="O1022" s="30"/>
      <c r="P1022" s="29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25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W1022" s="27">
        <f t="shared" si="187"/>
        <v>1.0219999999999999E-3</v>
      </c>
      <c r="AX1022" s="27">
        <f t="shared" si="188"/>
        <v>1.0219999999999999E-3</v>
      </c>
      <c r="AY1022" s="27">
        <f t="shared" si="189"/>
        <v>1.0219999999999999E-3</v>
      </c>
      <c r="AZ1022" s="27">
        <f t="shared" si="190"/>
        <v>1.0219999999999999E-3</v>
      </c>
    </row>
    <row r="1023" spans="1:52" ht="15" customHeight="1" x14ac:dyDescent="0.25">
      <c r="A1023" s="13" t="e">
        <f>VLOOKUP(L1023,[1]VALIDAÇÃO!$D$13:$E$350,2,0)</f>
        <v>#N/A</v>
      </c>
      <c r="B1023" s="14" t="str">
        <f t="shared" si="192"/>
        <v>415</v>
      </c>
      <c r="C1023" s="15">
        <f t="shared" si="191"/>
        <v>415</v>
      </c>
      <c r="D1023" s="16" t="str">
        <f t="shared" si="193"/>
        <v>415</v>
      </c>
      <c r="E1023" s="17">
        <f t="shared" si="184"/>
        <v>415</v>
      </c>
      <c r="F1023" s="18" t="str">
        <f t="shared" si="194"/>
        <v>415</v>
      </c>
      <c r="G1023" s="18">
        <f t="shared" si="185"/>
        <v>415</v>
      </c>
      <c r="H1023" s="19" t="str">
        <f t="shared" si="195"/>
        <v>415</v>
      </c>
      <c r="I1023" s="19">
        <f t="shared" si="186"/>
        <v>415</v>
      </c>
      <c r="J1023" s="30"/>
      <c r="K1023" s="30"/>
      <c r="L1023" s="30"/>
      <c r="M1023" s="30"/>
      <c r="N1023" s="33"/>
      <c r="O1023" s="30"/>
      <c r="P1023" s="29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25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W1023" s="27">
        <f t="shared" si="187"/>
        <v>1.023E-3</v>
      </c>
      <c r="AX1023" s="27">
        <f t="shared" si="188"/>
        <v>1.023E-3</v>
      </c>
      <c r="AY1023" s="27">
        <f t="shared" si="189"/>
        <v>1.023E-3</v>
      </c>
      <c r="AZ1023" s="27">
        <f t="shared" si="190"/>
        <v>1.023E-3</v>
      </c>
    </row>
    <row r="1024" spans="1:52" ht="15" customHeight="1" x14ac:dyDescent="0.25">
      <c r="A1024" s="13" t="e">
        <f>VLOOKUP(L1024,[1]VALIDAÇÃO!$D$13:$E$350,2,0)</f>
        <v>#N/A</v>
      </c>
      <c r="B1024" s="14" t="str">
        <f t="shared" si="192"/>
        <v>414</v>
      </c>
      <c r="C1024" s="15">
        <f t="shared" si="191"/>
        <v>414</v>
      </c>
      <c r="D1024" s="16" t="str">
        <f t="shared" si="193"/>
        <v>414</v>
      </c>
      <c r="E1024" s="17">
        <f t="shared" si="184"/>
        <v>414</v>
      </c>
      <c r="F1024" s="18" t="str">
        <f t="shared" si="194"/>
        <v>414</v>
      </c>
      <c r="G1024" s="18">
        <f t="shared" si="185"/>
        <v>414</v>
      </c>
      <c r="H1024" s="19" t="str">
        <f t="shared" si="195"/>
        <v>414</v>
      </c>
      <c r="I1024" s="19">
        <f t="shared" si="186"/>
        <v>414</v>
      </c>
      <c r="J1024" s="30"/>
      <c r="K1024" s="30"/>
      <c r="L1024" s="30"/>
      <c r="M1024" s="30"/>
      <c r="N1024" s="30"/>
      <c r="O1024" s="30"/>
      <c r="P1024" s="29"/>
      <c r="Q1024" s="29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25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W1024" s="27">
        <f t="shared" si="187"/>
        <v>1.024E-3</v>
      </c>
      <c r="AX1024" s="27">
        <f t="shared" si="188"/>
        <v>1.024E-3</v>
      </c>
      <c r="AY1024" s="27">
        <f t="shared" si="189"/>
        <v>1.024E-3</v>
      </c>
      <c r="AZ1024" s="27">
        <f t="shared" si="190"/>
        <v>1.024E-3</v>
      </c>
    </row>
    <row r="1025" spans="1:52" ht="15" customHeight="1" x14ac:dyDescent="0.25">
      <c r="A1025" s="13" t="e">
        <f>VLOOKUP(L1025,[1]VALIDAÇÃO!$D$13:$E$350,2,0)</f>
        <v>#N/A</v>
      </c>
      <c r="B1025" s="14" t="str">
        <f t="shared" si="192"/>
        <v>413</v>
      </c>
      <c r="C1025" s="15">
        <f t="shared" si="191"/>
        <v>413</v>
      </c>
      <c r="D1025" s="16" t="str">
        <f t="shared" si="193"/>
        <v>413</v>
      </c>
      <c r="E1025" s="17">
        <f t="shared" si="184"/>
        <v>413</v>
      </c>
      <c r="F1025" s="18" t="str">
        <f t="shared" si="194"/>
        <v>413</v>
      </c>
      <c r="G1025" s="18">
        <f t="shared" si="185"/>
        <v>413</v>
      </c>
      <c r="H1025" s="19" t="str">
        <f t="shared" si="195"/>
        <v>413</v>
      </c>
      <c r="I1025" s="19">
        <f t="shared" si="186"/>
        <v>413</v>
      </c>
      <c r="J1025" s="30"/>
      <c r="K1025" s="30"/>
      <c r="L1025" s="30"/>
      <c r="M1025" s="30"/>
      <c r="N1025" s="30"/>
      <c r="O1025" s="30"/>
      <c r="P1025" s="29"/>
      <c r="Q1025" s="29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25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W1025" s="27">
        <f t="shared" si="187"/>
        <v>1.0250000000000001E-3</v>
      </c>
      <c r="AX1025" s="27">
        <f t="shared" si="188"/>
        <v>1.0250000000000001E-3</v>
      </c>
      <c r="AY1025" s="27">
        <f t="shared" si="189"/>
        <v>1.0250000000000001E-3</v>
      </c>
      <c r="AZ1025" s="27">
        <f t="shared" si="190"/>
        <v>1.0250000000000001E-3</v>
      </c>
    </row>
    <row r="1026" spans="1:52" ht="15" customHeight="1" x14ac:dyDescent="0.25">
      <c r="A1026" s="13" t="e">
        <f>VLOOKUP(L1026,[1]VALIDAÇÃO!$D$13:$E$350,2,0)</f>
        <v>#N/A</v>
      </c>
      <c r="B1026" s="14" t="str">
        <f t="shared" si="192"/>
        <v>412</v>
      </c>
      <c r="C1026" s="15">
        <f t="shared" si="191"/>
        <v>412</v>
      </c>
      <c r="D1026" s="16" t="str">
        <f t="shared" si="193"/>
        <v>412</v>
      </c>
      <c r="E1026" s="17">
        <f t="shared" ref="E1026:E1089" si="196">1+SUMPRODUCT(($J$2:$J$1437=$J1026)*(AX$2:AX$1437&gt;AX1026))</f>
        <v>412</v>
      </c>
      <c r="F1026" s="18" t="str">
        <f t="shared" si="194"/>
        <v>412</v>
      </c>
      <c r="G1026" s="18">
        <f t="shared" ref="G1026:G1089" si="197">1+SUMPRODUCT(($J$2:$J$1437=$J1026)*(AY$2:AY$1437&gt;AY1026))</f>
        <v>412</v>
      </c>
      <c r="H1026" s="19" t="str">
        <f t="shared" si="195"/>
        <v>412</v>
      </c>
      <c r="I1026" s="19">
        <f t="shared" ref="I1026:I1089" si="198">1+SUMPRODUCT(($J$2:$J$1437=$J1026)*(AZ$2:AZ$1437&gt;AZ1026))</f>
        <v>412</v>
      </c>
      <c r="J1026" s="30"/>
      <c r="K1026" s="30"/>
      <c r="L1026" s="30"/>
      <c r="M1026" s="30"/>
      <c r="N1026" s="33"/>
      <c r="O1026" s="30"/>
      <c r="P1026" s="29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25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W1026" s="27">
        <f t="shared" ref="AW1026:AW1089" si="199">AJ1026+ROW(C1026)/1000000</f>
        <v>1.026E-3</v>
      </c>
      <c r="AX1026" s="27">
        <f t="shared" ref="AX1026:AX1089" si="200">AD1026+ROW(C1026)/1000000</f>
        <v>1.026E-3</v>
      </c>
      <c r="AY1026" s="27">
        <f t="shared" ref="AY1026:AY1089" si="201">AB1026+ROW(A1026)/1000000</f>
        <v>1.026E-3</v>
      </c>
      <c r="AZ1026" s="27">
        <f t="shared" ref="AZ1026:AZ1089" si="202">AP1026+ROW(A1026)/1000000</f>
        <v>1.026E-3</v>
      </c>
    </row>
    <row r="1027" spans="1:52" ht="15" customHeight="1" x14ac:dyDescent="0.25">
      <c r="A1027" s="13" t="e">
        <f>VLOOKUP(L1027,[1]VALIDAÇÃO!$D$13:$E$350,2,0)</f>
        <v>#N/A</v>
      </c>
      <c r="B1027" s="14" t="str">
        <f t="shared" si="192"/>
        <v>411</v>
      </c>
      <c r="C1027" s="15">
        <f t="shared" ref="C1027:C1090" si="203">1+SUMPRODUCT(($J$2:$J$1437=J1027)*($AW$2:$AW$1437&gt;AW1027))</f>
        <v>411</v>
      </c>
      <c r="D1027" s="16" t="str">
        <f t="shared" si="193"/>
        <v>411</v>
      </c>
      <c r="E1027" s="17">
        <f t="shared" si="196"/>
        <v>411</v>
      </c>
      <c r="F1027" s="18" t="str">
        <f t="shared" si="194"/>
        <v>411</v>
      </c>
      <c r="G1027" s="18">
        <f t="shared" si="197"/>
        <v>411</v>
      </c>
      <c r="H1027" s="19" t="str">
        <f t="shared" si="195"/>
        <v>411</v>
      </c>
      <c r="I1027" s="19">
        <f t="shared" si="198"/>
        <v>411</v>
      </c>
      <c r="J1027" s="30"/>
      <c r="K1027" s="30"/>
      <c r="L1027" s="30"/>
      <c r="M1027" s="30"/>
      <c r="N1027" s="30"/>
      <c r="O1027" s="30"/>
      <c r="P1027" s="29"/>
      <c r="Q1027" s="29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25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W1027" s="27">
        <f t="shared" si="199"/>
        <v>1.0269999999999999E-3</v>
      </c>
      <c r="AX1027" s="27">
        <f t="shared" si="200"/>
        <v>1.0269999999999999E-3</v>
      </c>
      <c r="AY1027" s="27">
        <f t="shared" si="201"/>
        <v>1.0269999999999999E-3</v>
      </c>
      <c r="AZ1027" s="27">
        <f t="shared" si="202"/>
        <v>1.0269999999999999E-3</v>
      </c>
    </row>
    <row r="1028" spans="1:52" ht="15" customHeight="1" x14ac:dyDescent="0.25">
      <c r="A1028" s="13" t="e">
        <f>VLOOKUP(L1028,[1]VALIDAÇÃO!$D$13:$E$350,2,0)</f>
        <v>#N/A</v>
      </c>
      <c r="B1028" s="14" t="str">
        <f t="shared" si="192"/>
        <v>410</v>
      </c>
      <c r="C1028" s="15">
        <f t="shared" si="203"/>
        <v>410</v>
      </c>
      <c r="D1028" s="16" t="str">
        <f t="shared" si="193"/>
        <v>410</v>
      </c>
      <c r="E1028" s="17">
        <f t="shared" si="196"/>
        <v>410</v>
      </c>
      <c r="F1028" s="18" t="str">
        <f t="shared" si="194"/>
        <v>410</v>
      </c>
      <c r="G1028" s="18">
        <f t="shared" si="197"/>
        <v>410</v>
      </c>
      <c r="H1028" s="19" t="str">
        <f t="shared" si="195"/>
        <v>410</v>
      </c>
      <c r="I1028" s="19">
        <f t="shared" si="198"/>
        <v>410</v>
      </c>
      <c r="J1028" s="30"/>
      <c r="K1028" s="30"/>
      <c r="L1028" s="30"/>
      <c r="M1028" s="30"/>
      <c r="N1028" s="33"/>
      <c r="O1028" s="30"/>
      <c r="P1028" s="29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25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W1028" s="27">
        <f t="shared" si="199"/>
        <v>1.0280000000000001E-3</v>
      </c>
      <c r="AX1028" s="27">
        <f t="shared" si="200"/>
        <v>1.0280000000000001E-3</v>
      </c>
      <c r="AY1028" s="27">
        <f t="shared" si="201"/>
        <v>1.0280000000000001E-3</v>
      </c>
      <c r="AZ1028" s="27">
        <f t="shared" si="202"/>
        <v>1.0280000000000001E-3</v>
      </c>
    </row>
    <row r="1029" spans="1:52" ht="15" customHeight="1" x14ac:dyDescent="0.25">
      <c r="A1029" s="13" t="e">
        <f>VLOOKUP(L1029,[1]VALIDAÇÃO!$D$13:$E$350,2,0)</f>
        <v>#N/A</v>
      </c>
      <c r="B1029" s="14" t="str">
        <f t="shared" si="192"/>
        <v>409</v>
      </c>
      <c r="C1029" s="15">
        <f t="shared" si="203"/>
        <v>409</v>
      </c>
      <c r="D1029" s="16" t="str">
        <f t="shared" si="193"/>
        <v>409</v>
      </c>
      <c r="E1029" s="17">
        <f t="shared" si="196"/>
        <v>409</v>
      </c>
      <c r="F1029" s="18" t="str">
        <f t="shared" si="194"/>
        <v>409</v>
      </c>
      <c r="G1029" s="18">
        <f t="shared" si="197"/>
        <v>409</v>
      </c>
      <c r="H1029" s="19" t="str">
        <f t="shared" si="195"/>
        <v>409</v>
      </c>
      <c r="I1029" s="19">
        <f t="shared" si="198"/>
        <v>409</v>
      </c>
      <c r="J1029" s="30"/>
      <c r="K1029" s="30"/>
      <c r="L1029" s="30"/>
      <c r="M1029" s="30"/>
      <c r="N1029" s="33"/>
      <c r="O1029" s="30"/>
      <c r="P1029" s="29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25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W1029" s="27">
        <f t="shared" si="199"/>
        <v>1.029E-3</v>
      </c>
      <c r="AX1029" s="27">
        <f t="shared" si="200"/>
        <v>1.029E-3</v>
      </c>
      <c r="AY1029" s="27">
        <f t="shared" si="201"/>
        <v>1.029E-3</v>
      </c>
      <c r="AZ1029" s="27">
        <f t="shared" si="202"/>
        <v>1.029E-3</v>
      </c>
    </row>
    <row r="1030" spans="1:52" ht="15" customHeight="1" x14ac:dyDescent="0.25">
      <c r="A1030" s="13" t="e">
        <f>VLOOKUP(L1030,[1]VALIDAÇÃO!$D$13:$E$350,2,0)</f>
        <v>#N/A</v>
      </c>
      <c r="B1030" s="14" t="str">
        <f t="shared" si="192"/>
        <v>408</v>
      </c>
      <c r="C1030" s="15">
        <f t="shared" si="203"/>
        <v>408</v>
      </c>
      <c r="D1030" s="16" t="str">
        <f t="shared" si="193"/>
        <v>408</v>
      </c>
      <c r="E1030" s="17">
        <f t="shared" si="196"/>
        <v>408</v>
      </c>
      <c r="F1030" s="18" t="str">
        <f t="shared" si="194"/>
        <v>408</v>
      </c>
      <c r="G1030" s="18">
        <f t="shared" si="197"/>
        <v>408</v>
      </c>
      <c r="H1030" s="19" t="str">
        <f t="shared" si="195"/>
        <v>408</v>
      </c>
      <c r="I1030" s="19">
        <f t="shared" si="198"/>
        <v>408</v>
      </c>
      <c r="J1030" s="30"/>
      <c r="K1030" s="30"/>
      <c r="L1030" s="30"/>
      <c r="M1030" s="30"/>
      <c r="N1030" s="30"/>
      <c r="O1030" s="30"/>
      <c r="P1030" s="29"/>
      <c r="Q1030" s="29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25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W1030" s="27">
        <f t="shared" si="199"/>
        <v>1.0300000000000001E-3</v>
      </c>
      <c r="AX1030" s="27">
        <f t="shared" si="200"/>
        <v>1.0300000000000001E-3</v>
      </c>
      <c r="AY1030" s="27">
        <f t="shared" si="201"/>
        <v>1.0300000000000001E-3</v>
      </c>
      <c r="AZ1030" s="27">
        <f t="shared" si="202"/>
        <v>1.0300000000000001E-3</v>
      </c>
    </row>
    <row r="1031" spans="1:52" ht="15" customHeight="1" x14ac:dyDescent="0.25">
      <c r="A1031" s="13" t="e">
        <f>VLOOKUP(L1031,[1]VALIDAÇÃO!$D$13:$E$350,2,0)</f>
        <v>#N/A</v>
      </c>
      <c r="B1031" s="14" t="str">
        <f t="shared" si="192"/>
        <v>407</v>
      </c>
      <c r="C1031" s="15">
        <f t="shared" si="203"/>
        <v>407</v>
      </c>
      <c r="D1031" s="16" t="str">
        <f t="shared" si="193"/>
        <v>407</v>
      </c>
      <c r="E1031" s="17">
        <f t="shared" si="196"/>
        <v>407</v>
      </c>
      <c r="F1031" s="18" t="str">
        <f t="shared" si="194"/>
        <v>407</v>
      </c>
      <c r="G1031" s="18">
        <f t="shared" si="197"/>
        <v>407</v>
      </c>
      <c r="H1031" s="19" t="str">
        <f t="shared" si="195"/>
        <v>407</v>
      </c>
      <c r="I1031" s="19">
        <f t="shared" si="198"/>
        <v>407</v>
      </c>
      <c r="J1031" s="30"/>
      <c r="K1031" s="30"/>
      <c r="L1031" s="30"/>
      <c r="M1031" s="30"/>
      <c r="N1031" s="33"/>
      <c r="O1031" s="30"/>
      <c r="P1031" s="29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25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W1031" s="27">
        <f t="shared" si="199"/>
        <v>1.031E-3</v>
      </c>
      <c r="AX1031" s="27">
        <f t="shared" si="200"/>
        <v>1.031E-3</v>
      </c>
      <c r="AY1031" s="27">
        <f t="shared" si="201"/>
        <v>1.031E-3</v>
      </c>
      <c r="AZ1031" s="27">
        <f t="shared" si="202"/>
        <v>1.031E-3</v>
      </c>
    </row>
    <row r="1032" spans="1:52" ht="15" customHeight="1" x14ac:dyDescent="0.25">
      <c r="A1032" s="13" t="e">
        <f>VLOOKUP(L1032,[1]VALIDAÇÃO!$D$13:$E$350,2,0)</f>
        <v>#N/A</v>
      </c>
      <c r="B1032" s="14" t="str">
        <f t="shared" si="192"/>
        <v>406</v>
      </c>
      <c r="C1032" s="15">
        <f t="shared" si="203"/>
        <v>406</v>
      </c>
      <c r="D1032" s="16" t="str">
        <f t="shared" si="193"/>
        <v>406</v>
      </c>
      <c r="E1032" s="17">
        <f t="shared" si="196"/>
        <v>406</v>
      </c>
      <c r="F1032" s="18" t="str">
        <f t="shared" si="194"/>
        <v>406</v>
      </c>
      <c r="G1032" s="18">
        <f t="shared" si="197"/>
        <v>406</v>
      </c>
      <c r="H1032" s="19" t="str">
        <f t="shared" si="195"/>
        <v>406</v>
      </c>
      <c r="I1032" s="19">
        <f t="shared" si="198"/>
        <v>406</v>
      </c>
      <c r="J1032" s="30"/>
      <c r="K1032" s="30"/>
      <c r="L1032" s="30"/>
      <c r="M1032" s="30"/>
      <c r="N1032" s="33"/>
      <c r="O1032" s="30"/>
      <c r="P1032" s="29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25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W1032" s="27">
        <f t="shared" si="199"/>
        <v>1.0319999999999999E-3</v>
      </c>
      <c r="AX1032" s="27">
        <f t="shared" si="200"/>
        <v>1.0319999999999999E-3</v>
      </c>
      <c r="AY1032" s="27">
        <f t="shared" si="201"/>
        <v>1.0319999999999999E-3</v>
      </c>
      <c r="AZ1032" s="27">
        <f t="shared" si="202"/>
        <v>1.0319999999999999E-3</v>
      </c>
    </row>
    <row r="1033" spans="1:52" ht="15" customHeight="1" x14ac:dyDescent="0.25">
      <c r="A1033" s="13" t="e">
        <f>VLOOKUP(L1033,[1]VALIDAÇÃO!$D$13:$E$350,2,0)</f>
        <v>#N/A</v>
      </c>
      <c r="B1033" s="14" t="str">
        <f t="shared" si="192"/>
        <v>405</v>
      </c>
      <c r="C1033" s="15">
        <f t="shared" si="203"/>
        <v>405</v>
      </c>
      <c r="D1033" s="16" t="str">
        <f t="shared" si="193"/>
        <v>405</v>
      </c>
      <c r="E1033" s="17">
        <f t="shared" si="196"/>
        <v>405</v>
      </c>
      <c r="F1033" s="18" t="str">
        <f t="shared" si="194"/>
        <v>405</v>
      </c>
      <c r="G1033" s="18">
        <f t="shared" si="197"/>
        <v>405</v>
      </c>
      <c r="H1033" s="19" t="str">
        <f t="shared" si="195"/>
        <v>405</v>
      </c>
      <c r="I1033" s="19">
        <f t="shared" si="198"/>
        <v>405</v>
      </c>
      <c r="J1033" s="30"/>
      <c r="K1033" s="30"/>
      <c r="L1033" s="30"/>
      <c r="M1033" s="30"/>
      <c r="N1033" s="30"/>
      <c r="O1033" s="30"/>
      <c r="P1033" s="29"/>
      <c r="Q1033" s="29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25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W1033" s="27">
        <f t="shared" si="199"/>
        <v>1.0330000000000001E-3</v>
      </c>
      <c r="AX1033" s="27">
        <f t="shared" si="200"/>
        <v>1.0330000000000001E-3</v>
      </c>
      <c r="AY1033" s="27">
        <f t="shared" si="201"/>
        <v>1.0330000000000001E-3</v>
      </c>
      <c r="AZ1033" s="27">
        <f t="shared" si="202"/>
        <v>1.0330000000000001E-3</v>
      </c>
    </row>
    <row r="1034" spans="1:52" ht="15" customHeight="1" x14ac:dyDescent="0.25">
      <c r="A1034" s="13" t="e">
        <f>VLOOKUP(L1034,[1]VALIDAÇÃO!$D$13:$E$350,2,0)</f>
        <v>#N/A</v>
      </c>
      <c r="B1034" s="14" t="str">
        <f t="shared" si="192"/>
        <v>404</v>
      </c>
      <c r="C1034" s="15">
        <f t="shared" si="203"/>
        <v>404</v>
      </c>
      <c r="D1034" s="16" t="str">
        <f t="shared" si="193"/>
        <v>404</v>
      </c>
      <c r="E1034" s="17">
        <f t="shared" si="196"/>
        <v>404</v>
      </c>
      <c r="F1034" s="18" t="str">
        <f t="shared" si="194"/>
        <v>404</v>
      </c>
      <c r="G1034" s="18">
        <f t="shared" si="197"/>
        <v>404</v>
      </c>
      <c r="H1034" s="19" t="str">
        <f t="shared" si="195"/>
        <v>404</v>
      </c>
      <c r="I1034" s="19">
        <f t="shared" si="198"/>
        <v>404</v>
      </c>
      <c r="J1034" s="30"/>
      <c r="K1034" s="30"/>
      <c r="L1034" s="30"/>
      <c r="M1034" s="30"/>
      <c r="N1034" s="30"/>
      <c r="O1034" s="30"/>
      <c r="P1034" s="29"/>
      <c r="Q1034" s="29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25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W1034" s="27">
        <f t="shared" si="199"/>
        <v>1.034E-3</v>
      </c>
      <c r="AX1034" s="27">
        <f t="shared" si="200"/>
        <v>1.034E-3</v>
      </c>
      <c r="AY1034" s="27">
        <f t="shared" si="201"/>
        <v>1.034E-3</v>
      </c>
      <c r="AZ1034" s="27">
        <f t="shared" si="202"/>
        <v>1.034E-3</v>
      </c>
    </row>
    <row r="1035" spans="1:52" ht="15" customHeight="1" x14ac:dyDescent="0.25">
      <c r="A1035" s="13" t="e">
        <f>VLOOKUP(L1035,[1]VALIDAÇÃO!$D$13:$E$350,2,0)</f>
        <v>#N/A</v>
      </c>
      <c r="B1035" s="14" t="str">
        <f t="shared" si="192"/>
        <v>403</v>
      </c>
      <c r="C1035" s="15">
        <f t="shared" si="203"/>
        <v>403</v>
      </c>
      <c r="D1035" s="16" t="str">
        <f t="shared" si="193"/>
        <v>403</v>
      </c>
      <c r="E1035" s="17">
        <f t="shared" si="196"/>
        <v>403</v>
      </c>
      <c r="F1035" s="18" t="str">
        <f t="shared" si="194"/>
        <v>403</v>
      </c>
      <c r="G1035" s="18">
        <f t="shared" si="197"/>
        <v>403</v>
      </c>
      <c r="H1035" s="19" t="str">
        <f t="shared" si="195"/>
        <v>403</v>
      </c>
      <c r="I1035" s="19">
        <f t="shared" si="198"/>
        <v>403</v>
      </c>
      <c r="J1035" s="30"/>
      <c r="K1035" s="30"/>
      <c r="L1035" s="30"/>
      <c r="M1035" s="30"/>
      <c r="N1035" s="30"/>
      <c r="O1035" s="30"/>
      <c r="P1035" s="29"/>
      <c r="Q1035" s="29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25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W1035" s="27">
        <f t="shared" si="199"/>
        <v>1.0349999999999999E-3</v>
      </c>
      <c r="AX1035" s="27">
        <f t="shared" si="200"/>
        <v>1.0349999999999999E-3</v>
      </c>
      <c r="AY1035" s="27">
        <f t="shared" si="201"/>
        <v>1.0349999999999999E-3</v>
      </c>
      <c r="AZ1035" s="27">
        <f t="shared" si="202"/>
        <v>1.0349999999999999E-3</v>
      </c>
    </row>
    <row r="1036" spans="1:52" ht="15" customHeight="1" x14ac:dyDescent="0.25">
      <c r="A1036" s="13" t="e">
        <f>VLOOKUP(L1036,[1]VALIDAÇÃO!$D$13:$E$350,2,0)</f>
        <v>#N/A</v>
      </c>
      <c r="B1036" s="14" t="str">
        <f t="shared" si="192"/>
        <v>402</v>
      </c>
      <c r="C1036" s="15">
        <f t="shared" si="203"/>
        <v>402</v>
      </c>
      <c r="D1036" s="16" t="str">
        <f t="shared" si="193"/>
        <v>402</v>
      </c>
      <c r="E1036" s="17">
        <f t="shared" si="196"/>
        <v>402</v>
      </c>
      <c r="F1036" s="18" t="str">
        <f t="shared" si="194"/>
        <v>402</v>
      </c>
      <c r="G1036" s="18">
        <f t="shared" si="197"/>
        <v>402</v>
      </c>
      <c r="H1036" s="19" t="str">
        <f t="shared" si="195"/>
        <v>402</v>
      </c>
      <c r="I1036" s="19">
        <f t="shared" si="198"/>
        <v>402</v>
      </c>
      <c r="J1036" s="30"/>
      <c r="K1036" s="30"/>
      <c r="L1036" s="30"/>
      <c r="M1036" s="30"/>
      <c r="N1036" s="30"/>
      <c r="O1036" s="30"/>
      <c r="P1036" s="29"/>
      <c r="Q1036" s="29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25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W1036" s="27">
        <f t="shared" si="199"/>
        <v>1.036E-3</v>
      </c>
      <c r="AX1036" s="27">
        <f t="shared" si="200"/>
        <v>1.036E-3</v>
      </c>
      <c r="AY1036" s="27">
        <f t="shared" si="201"/>
        <v>1.036E-3</v>
      </c>
      <c r="AZ1036" s="27">
        <f t="shared" si="202"/>
        <v>1.036E-3</v>
      </c>
    </row>
    <row r="1037" spans="1:52" ht="15" customHeight="1" x14ac:dyDescent="0.25">
      <c r="A1037" s="13" t="e">
        <f>VLOOKUP(L1037,[1]VALIDAÇÃO!$D$13:$E$350,2,0)</f>
        <v>#N/A</v>
      </c>
      <c r="B1037" s="14" t="str">
        <f t="shared" si="192"/>
        <v>401</v>
      </c>
      <c r="C1037" s="15">
        <f t="shared" si="203"/>
        <v>401</v>
      </c>
      <c r="D1037" s="16" t="str">
        <f t="shared" si="193"/>
        <v>401</v>
      </c>
      <c r="E1037" s="17">
        <f t="shared" si="196"/>
        <v>401</v>
      </c>
      <c r="F1037" s="18" t="str">
        <f t="shared" si="194"/>
        <v>401</v>
      </c>
      <c r="G1037" s="18">
        <f t="shared" si="197"/>
        <v>401</v>
      </c>
      <c r="H1037" s="19" t="str">
        <f t="shared" si="195"/>
        <v>401</v>
      </c>
      <c r="I1037" s="19">
        <f t="shared" si="198"/>
        <v>401</v>
      </c>
      <c r="J1037" s="30"/>
      <c r="K1037" s="30"/>
      <c r="L1037" s="30"/>
      <c r="M1037" s="30"/>
      <c r="N1037" s="33"/>
      <c r="O1037" s="30"/>
      <c r="P1037" s="29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25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W1037" s="27">
        <f t="shared" si="199"/>
        <v>1.0369999999999999E-3</v>
      </c>
      <c r="AX1037" s="27">
        <f t="shared" si="200"/>
        <v>1.0369999999999999E-3</v>
      </c>
      <c r="AY1037" s="27">
        <f t="shared" si="201"/>
        <v>1.0369999999999999E-3</v>
      </c>
      <c r="AZ1037" s="27">
        <f t="shared" si="202"/>
        <v>1.0369999999999999E-3</v>
      </c>
    </row>
    <row r="1038" spans="1:52" ht="15" customHeight="1" x14ac:dyDescent="0.25">
      <c r="A1038" s="13" t="e">
        <f>VLOOKUP(L1038,[1]VALIDAÇÃO!$D$13:$E$350,2,0)</f>
        <v>#N/A</v>
      </c>
      <c r="B1038" s="14" t="str">
        <f t="shared" si="192"/>
        <v>400</v>
      </c>
      <c r="C1038" s="15">
        <f t="shared" si="203"/>
        <v>400</v>
      </c>
      <c r="D1038" s="16" t="str">
        <f t="shared" si="193"/>
        <v>400</v>
      </c>
      <c r="E1038" s="17">
        <f t="shared" si="196"/>
        <v>400</v>
      </c>
      <c r="F1038" s="18" t="str">
        <f t="shared" si="194"/>
        <v>400</v>
      </c>
      <c r="G1038" s="18">
        <f t="shared" si="197"/>
        <v>400</v>
      </c>
      <c r="H1038" s="19" t="str">
        <f t="shared" si="195"/>
        <v>400</v>
      </c>
      <c r="I1038" s="19">
        <f t="shared" si="198"/>
        <v>400</v>
      </c>
      <c r="J1038" s="30"/>
      <c r="K1038" s="30"/>
      <c r="L1038" s="30"/>
      <c r="M1038" s="30"/>
      <c r="N1038" s="33"/>
      <c r="O1038" s="30"/>
      <c r="P1038" s="29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25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W1038" s="27">
        <f t="shared" si="199"/>
        <v>1.0380000000000001E-3</v>
      </c>
      <c r="AX1038" s="27">
        <f t="shared" si="200"/>
        <v>1.0380000000000001E-3</v>
      </c>
      <c r="AY1038" s="27">
        <f t="shared" si="201"/>
        <v>1.0380000000000001E-3</v>
      </c>
      <c r="AZ1038" s="27">
        <f t="shared" si="202"/>
        <v>1.0380000000000001E-3</v>
      </c>
    </row>
    <row r="1039" spans="1:52" ht="15" customHeight="1" x14ac:dyDescent="0.25">
      <c r="A1039" s="13" t="e">
        <f>VLOOKUP(L1039,[1]VALIDAÇÃO!$D$13:$E$350,2,0)</f>
        <v>#N/A</v>
      </c>
      <c r="B1039" s="14" t="str">
        <f t="shared" si="192"/>
        <v>399</v>
      </c>
      <c r="C1039" s="15">
        <f t="shared" si="203"/>
        <v>399</v>
      </c>
      <c r="D1039" s="16" t="str">
        <f t="shared" si="193"/>
        <v>399</v>
      </c>
      <c r="E1039" s="17">
        <f t="shared" si="196"/>
        <v>399</v>
      </c>
      <c r="F1039" s="18" t="str">
        <f t="shared" si="194"/>
        <v>399</v>
      </c>
      <c r="G1039" s="18">
        <f t="shared" si="197"/>
        <v>399</v>
      </c>
      <c r="H1039" s="19" t="str">
        <f t="shared" si="195"/>
        <v>399</v>
      </c>
      <c r="I1039" s="19">
        <f t="shared" si="198"/>
        <v>399</v>
      </c>
      <c r="J1039" s="30"/>
      <c r="K1039" s="30"/>
      <c r="L1039" s="30"/>
      <c r="M1039" s="30"/>
      <c r="N1039" s="30"/>
      <c r="O1039" s="30"/>
      <c r="P1039" s="29"/>
      <c r="Q1039" s="29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25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W1039" s="27">
        <f t="shared" si="199"/>
        <v>1.039E-3</v>
      </c>
      <c r="AX1039" s="27">
        <f t="shared" si="200"/>
        <v>1.039E-3</v>
      </c>
      <c r="AY1039" s="27">
        <f t="shared" si="201"/>
        <v>1.039E-3</v>
      </c>
      <c r="AZ1039" s="27">
        <f t="shared" si="202"/>
        <v>1.039E-3</v>
      </c>
    </row>
    <row r="1040" spans="1:52" ht="15" customHeight="1" x14ac:dyDescent="0.25">
      <c r="A1040" s="13" t="e">
        <f>VLOOKUP(L1040,[1]VALIDAÇÃO!$D$13:$E$350,2,0)</f>
        <v>#N/A</v>
      </c>
      <c r="B1040" s="14" t="str">
        <f t="shared" si="192"/>
        <v>398</v>
      </c>
      <c r="C1040" s="15">
        <f t="shared" si="203"/>
        <v>398</v>
      </c>
      <c r="D1040" s="16" t="str">
        <f t="shared" si="193"/>
        <v>398</v>
      </c>
      <c r="E1040" s="17">
        <f t="shared" si="196"/>
        <v>398</v>
      </c>
      <c r="F1040" s="18" t="str">
        <f t="shared" si="194"/>
        <v>398</v>
      </c>
      <c r="G1040" s="18">
        <f t="shared" si="197"/>
        <v>398</v>
      </c>
      <c r="H1040" s="19" t="str">
        <f t="shared" si="195"/>
        <v>398</v>
      </c>
      <c r="I1040" s="19">
        <f t="shared" si="198"/>
        <v>398</v>
      </c>
      <c r="J1040" s="30"/>
      <c r="K1040" s="30"/>
      <c r="L1040" s="30"/>
      <c r="M1040" s="30"/>
      <c r="N1040" s="30"/>
      <c r="O1040" s="30"/>
      <c r="P1040" s="29"/>
      <c r="Q1040" s="29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25"/>
      <c r="AK1040" s="30"/>
      <c r="AL1040" s="30"/>
      <c r="AM1040" s="30"/>
      <c r="AN1040" s="30"/>
      <c r="AO1040" s="30"/>
      <c r="AP1040" s="30"/>
      <c r="AQ1040" s="30"/>
      <c r="AR1040" s="30"/>
      <c r="AS1040" s="30"/>
      <c r="AT1040" s="30"/>
      <c r="AU1040" s="30"/>
      <c r="AW1040" s="27">
        <f t="shared" si="199"/>
        <v>1.0399999999999999E-3</v>
      </c>
      <c r="AX1040" s="27">
        <f t="shared" si="200"/>
        <v>1.0399999999999999E-3</v>
      </c>
      <c r="AY1040" s="27">
        <f t="shared" si="201"/>
        <v>1.0399999999999999E-3</v>
      </c>
      <c r="AZ1040" s="27">
        <f t="shared" si="202"/>
        <v>1.0399999999999999E-3</v>
      </c>
    </row>
    <row r="1041" spans="1:52" ht="15" customHeight="1" x14ac:dyDescent="0.25">
      <c r="A1041" s="13" t="e">
        <f>VLOOKUP(L1041,[1]VALIDAÇÃO!$D$13:$E$350,2,0)</f>
        <v>#N/A</v>
      </c>
      <c r="B1041" s="14" t="str">
        <f t="shared" si="192"/>
        <v>397</v>
      </c>
      <c r="C1041" s="15">
        <f t="shared" si="203"/>
        <v>397</v>
      </c>
      <c r="D1041" s="16" t="str">
        <f t="shared" si="193"/>
        <v>397</v>
      </c>
      <c r="E1041" s="17">
        <f t="shared" si="196"/>
        <v>397</v>
      </c>
      <c r="F1041" s="18" t="str">
        <f t="shared" si="194"/>
        <v>397</v>
      </c>
      <c r="G1041" s="18">
        <f t="shared" si="197"/>
        <v>397</v>
      </c>
      <c r="H1041" s="19" t="str">
        <f t="shared" si="195"/>
        <v>397</v>
      </c>
      <c r="I1041" s="19">
        <f t="shared" si="198"/>
        <v>397</v>
      </c>
      <c r="J1041" s="30"/>
      <c r="K1041" s="30"/>
      <c r="L1041" s="30"/>
      <c r="M1041" s="30"/>
      <c r="N1041" s="30"/>
      <c r="O1041" s="30"/>
      <c r="P1041" s="29"/>
      <c r="Q1041" s="29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c r="AJ1041" s="25"/>
      <c r="AK1041" s="30"/>
      <c r="AL1041" s="30"/>
      <c r="AM1041" s="30"/>
      <c r="AN1041" s="30"/>
      <c r="AO1041" s="30"/>
      <c r="AP1041" s="30"/>
      <c r="AQ1041" s="30"/>
      <c r="AR1041" s="30"/>
      <c r="AS1041" s="30"/>
      <c r="AT1041" s="30"/>
      <c r="AU1041" s="30"/>
      <c r="AW1041" s="27">
        <f t="shared" si="199"/>
        <v>1.041E-3</v>
      </c>
      <c r="AX1041" s="27">
        <f t="shared" si="200"/>
        <v>1.041E-3</v>
      </c>
      <c r="AY1041" s="27">
        <f t="shared" si="201"/>
        <v>1.041E-3</v>
      </c>
      <c r="AZ1041" s="27">
        <f t="shared" si="202"/>
        <v>1.041E-3</v>
      </c>
    </row>
    <row r="1042" spans="1:52" ht="15" customHeight="1" x14ac:dyDescent="0.25">
      <c r="A1042" s="13" t="e">
        <f>VLOOKUP(L1042,[1]VALIDAÇÃO!$D$13:$E$350,2,0)</f>
        <v>#N/A</v>
      </c>
      <c r="B1042" s="14" t="str">
        <f t="shared" si="192"/>
        <v>396</v>
      </c>
      <c r="C1042" s="15">
        <f t="shared" si="203"/>
        <v>396</v>
      </c>
      <c r="D1042" s="16" t="str">
        <f t="shared" si="193"/>
        <v>396</v>
      </c>
      <c r="E1042" s="17">
        <f t="shared" si="196"/>
        <v>396</v>
      </c>
      <c r="F1042" s="18" t="str">
        <f t="shared" si="194"/>
        <v>396</v>
      </c>
      <c r="G1042" s="18">
        <f t="shared" si="197"/>
        <v>396</v>
      </c>
      <c r="H1042" s="19" t="str">
        <f t="shared" si="195"/>
        <v>396</v>
      </c>
      <c r="I1042" s="19">
        <f t="shared" si="198"/>
        <v>396</v>
      </c>
      <c r="J1042" s="30"/>
      <c r="K1042" s="30"/>
      <c r="L1042" s="30"/>
      <c r="M1042" s="30"/>
      <c r="N1042" s="30"/>
      <c r="O1042" s="30"/>
      <c r="P1042" s="29"/>
      <c r="Q1042" s="29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c r="AJ1042" s="25"/>
      <c r="AK1042" s="30"/>
      <c r="AL1042" s="30"/>
      <c r="AM1042" s="30"/>
      <c r="AN1042" s="30"/>
      <c r="AO1042" s="30"/>
      <c r="AP1042" s="30"/>
      <c r="AQ1042" s="30"/>
      <c r="AR1042" s="30"/>
      <c r="AS1042" s="30"/>
      <c r="AT1042" s="30"/>
      <c r="AU1042" s="30"/>
      <c r="AW1042" s="27">
        <f t="shared" si="199"/>
        <v>1.042E-3</v>
      </c>
      <c r="AX1042" s="27">
        <f t="shared" si="200"/>
        <v>1.042E-3</v>
      </c>
      <c r="AY1042" s="27">
        <f t="shared" si="201"/>
        <v>1.042E-3</v>
      </c>
      <c r="AZ1042" s="27">
        <f t="shared" si="202"/>
        <v>1.042E-3</v>
      </c>
    </row>
    <row r="1043" spans="1:52" ht="15" customHeight="1" x14ac:dyDescent="0.25">
      <c r="A1043" s="13" t="e">
        <f>VLOOKUP(L1043,[1]VALIDAÇÃO!$D$13:$E$350,2,0)</f>
        <v>#N/A</v>
      </c>
      <c r="B1043" s="14" t="str">
        <f t="shared" si="192"/>
        <v>395</v>
      </c>
      <c r="C1043" s="15">
        <f t="shared" si="203"/>
        <v>395</v>
      </c>
      <c r="D1043" s="16" t="str">
        <f t="shared" si="193"/>
        <v>395</v>
      </c>
      <c r="E1043" s="17">
        <f t="shared" si="196"/>
        <v>395</v>
      </c>
      <c r="F1043" s="18" t="str">
        <f t="shared" si="194"/>
        <v>395</v>
      </c>
      <c r="G1043" s="18">
        <f t="shared" si="197"/>
        <v>395</v>
      </c>
      <c r="H1043" s="19" t="str">
        <f t="shared" si="195"/>
        <v>395</v>
      </c>
      <c r="I1043" s="19">
        <f t="shared" si="198"/>
        <v>395</v>
      </c>
      <c r="J1043" s="30"/>
      <c r="K1043" s="30"/>
      <c r="L1043" s="30"/>
      <c r="M1043" s="30"/>
      <c r="N1043" s="30"/>
      <c r="O1043" s="30"/>
      <c r="P1043" s="29"/>
      <c r="Q1043" s="29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c r="AJ1043" s="25"/>
      <c r="AK1043" s="30"/>
      <c r="AL1043" s="30"/>
      <c r="AM1043" s="30"/>
      <c r="AN1043" s="30"/>
      <c r="AO1043" s="30"/>
      <c r="AP1043" s="30"/>
      <c r="AQ1043" s="30"/>
      <c r="AR1043" s="30"/>
      <c r="AS1043" s="30"/>
      <c r="AT1043" s="30"/>
      <c r="AU1043" s="30"/>
      <c r="AW1043" s="27">
        <f t="shared" si="199"/>
        <v>1.0430000000000001E-3</v>
      </c>
      <c r="AX1043" s="27">
        <f t="shared" si="200"/>
        <v>1.0430000000000001E-3</v>
      </c>
      <c r="AY1043" s="27">
        <f t="shared" si="201"/>
        <v>1.0430000000000001E-3</v>
      </c>
      <c r="AZ1043" s="27">
        <f t="shared" si="202"/>
        <v>1.0430000000000001E-3</v>
      </c>
    </row>
    <row r="1044" spans="1:52" ht="15" customHeight="1" x14ac:dyDescent="0.25">
      <c r="A1044" s="13" t="e">
        <f>VLOOKUP(L1044,[1]VALIDAÇÃO!$D$13:$E$350,2,0)</f>
        <v>#N/A</v>
      </c>
      <c r="B1044" s="14" t="str">
        <f t="shared" ref="B1044:B1107" si="204">C1044&amp;J1044</f>
        <v>394</v>
      </c>
      <c r="C1044" s="15">
        <f t="shared" si="203"/>
        <v>394</v>
      </c>
      <c r="D1044" s="16" t="str">
        <f t="shared" ref="D1044:D1107" si="205">E1044&amp;J1044</f>
        <v>394</v>
      </c>
      <c r="E1044" s="17">
        <f t="shared" si="196"/>
        <v>394</v>
      </c>
      <c r="F1044" s="18" t="str">
        <f t="shared" ref="F1044:F1107" si="206">G1044&amp;J1044</f>
        <v>394</v>
      </c>
      <c r="G1044" s="18">
        <f t="shared" si="197"/>
        <v>394</v>
      </c>
      <c r="H1044" s="19" t="str">
        <f t="shared" ref="H1044:H1107" si="207">I1044&amp;J1044</f>
        <v>394</v>
      </c>
      <c r="I1044" s="19">
        <f t="shared" si="198"/>
        <v>394</v>
      </c>
      <c r="J1044" s="30"/>
      <c r="K1044" s="30"/>
      <c r="L1044" s="30"/>
      <c r="M1044" s="30"/>
      <c r="N1044" s="33"/>
      <c r="O1044" s="30"/>
      <c r="P1044" s="29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c r="AJ1044" s="25"/>
      <c r="AK1044" s="30"/>
      <c r="AL1044" s="30"/>
      <c r="AM1044" s="30"/>
      <c r="AN1044" s="30"/>
      <c r="AO1044" s="30"/>
      <c r="AP1044" s="30"/>
      <c r="AQ1044" s="30"/>
      <c r="AR1044" s="30"/>
      <c r="AS1044" s="30"/>
      <c r="AT1044" s="30"/>
      <c r="AU1044" s="30"/>
      <c r="AW1044" s="27">
        <f t="shared" si="199"/>
        <v>1.044E-3</v>
      </c>
      <c r="AX1044" s="27">
        <f t="shared" si="200"/>
        <v>1.044E-3</v>
      </c>
      <c r="AY1044" s="27">
        <f t="shared" si="201"/>
        <v>1.044E-3</v>
      </c>
      <c r="AZ1044" s="27">
        <f t="shared" si="202"/>
        <v>1.044E-3</v>
      </c>
    </row>
    <row r="1045" spans="1:52" ht="15" customHeight="1" x14ac:dyDescent="0.25">
      <c r="A1045" s="13" t="e">
        <f>VLOOKUP(L1045,[1]VALIDAÇÃO!$D$13:$E$350,2,0)</f>
        <v>#N/A</v>
      </c>
      <c r="B1045" s="14" t="str">
        <f t="shared" si="204"/>
        <v>393</v>
      </c>
      <c r="C1045" s="15">
        <f t="shared" si="203"/>
        <v>393</v>
      </c>
      <c r="D1045" s="16" t="str">
        <f t="shared" si="205"/>
        <v>393</v>
      </c>
      <c r="E1045" s="17">
        <f t="shared" si="196"/>
        <v>393</v>
      </c>
      <c r="F1045" s="18" t="str">
        <f t="shared" si="206"/>
        <v>393</v>
      </c>
      <c r="G1045" s="18">
        <f t="shared" si="197"/>
        <v>393</v>
      </c>
      <c r="H1045" s="19" t="str">
        <f t="shared" si="207"/>
        <v>393</v>
      </c>
      <c r="I1045" s="19">
        <f t="shared" si="198"/>
        <v>393</v>
      </c>
      <c r="J1045" s="30"/>
      <c r="K1045" s="30"/>
      <c r="L1045" s="30"/>
      <c r="M1045" s="30"/>
      <c r="N1045" s="30"/>
      <c r="O1045" s="30"/>
      <c r="P1045" s="29"/>
      <c r="Q1045" s="29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c r="AJ1045" s="25"/>
      <c r="AK1045" s="30"/>
      <c r="AL1045" s="30"/>
      <c r="AM1045" s="30"/>
      <c r="AN1045" s="30"/>
      <c r="AO1045" s="30"/>
      <c r="AP1045" s="30"/>
      <c r="AQ1045" s="30"/>
      <c r="AR1045" s="30"/>
      <c r="AS1045" s="30"/>
      <c r="AT1045" s="30"/>
      <c r="AU1045" s="30"/>
      <c r="AW1045" s="27">
        <f t="shared" si="199"/>
        <v>1.0449999999999999E-3</v>
      </c>
      <c r="AX1045" s="27">
        <f t="shared" si="200"/>
        <v>1.0449999999999999E-3</v>
      </c>
      <c r="AY1045" s="27">
        <f t="shared" si="201"/>
        <v>1.0449999999999999E-3</v>
      </c>
      <c r="AZ1045" s="27">
        <f t="shared" si="202"/>
        <v>1.0449999999999999E-3</v>
      </c>
    </row>
    <row r="1046" spans="1:52" ht="15" customHeight="1" x14ac:dyDescent="0.25">
      <c r="A1046" s="13" t="e">
        <f>VLOOKUP(L1046,[1]VALIDAÇÃO!$D$13:$E$350,2,0)</f>
        <v>#N/A</v>
      </c>
      <c r="B1046" s="14" t="str">
        <f t="shared" si="204"/>
        <v>392</v>
      </c>
      <c r="C1046" s="15">
        <f t="shared" si="203"/>
        <v>392</v>
      </c>
      <c r="D1046" s="16" t="str">
        <f t="shared" si="205"/>
        <v>392</v>
      </c>
      <c r="E1046" s="17">
        <f t="shared" si="196"/>
        <v>392</v>
      </c>
      <c r="F1046" s="18" t="str">
        <f t="shared" si="206"/>
        <v>392</v>
      </c>
      <c r="G1046" s="18">
        <f t="shared" si="197"/>
        <v>392</v>
      </c>
      <c r="H1046" s="19" t="str">
        <f t="shared" si="207"/>
        <v>392</v>
      </c>
      <c r="I1046" s="19">
        <f t="shared" si="198"/>
        <v>392</v>
      </c>
      <c r="J1046" s="30"/>
      <c r="K1046" s="30"/>
      <c r="L1046" s="30"/>
      <c r="M1046" s="30"/>
      <c r="N1046" s="33"/>
      <c r="O1046" s="30"/>
      <c r="P1046" s="29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c r="AJ1046" s="25"/>
      <c r="AK1046" s="30"/>
      <c r="AL1046" s="30"/>
      <c r="AM1046" s="30"/>
      <c r="AN1046" s="30"/>
      <c r="AO1046" s="30"/>
      <c r="AP1046" s="30"/>
      <c r="AQ1046" s="30"/>
      <c r="AR1046" s="30"/>
      <c r="AS1046" s="30"/>
      <c r="AT1046" s="30"/>
      <c r="AU1046" s="30"/>
      <c r="AW1046" s="27">
        <f t="shared" si="199"/>
        <v>1.0460000000000001E-3</v>
      </c>
      <c r="AX1046" s="27">
        <f t="shared" si="200"/>
        <v>1.0460000000000001E-3</v>
      </c>
      <c r="AY1046" s="27">
        <f t="shared" si="201"/>
        <v>1.0460000000000001E-3</v>
      </c>
      <c r="AZ1046" s="27">
        <f t="shared" si="202"/>
        <v>1.0460000000000001E-3</v>
      </c>
    </row>
    <row r="1047" spans="1:52" ht="15" customHeight="1" x14ac:dyDescent="0.25">
      <c r="A1047" s="13" t="e">
        <f>VLOOKUP(L1047,[1]VALIDAÇÃO!$D$13:$E$350,2,0)</f>
        <v>#N/A</v>
      </c>
      <c r="B1047" s="14" t="str">
        <f t="shared" si="204"/>
        <v>391</v>
      </c>
      <c r="C1047" s="15">
        <f t="shared" si="203"/>
        <v>391</v>
      </c>
      <c r="D1047" s="16" t="str">
        <f t="shared" si="205"/>
        <v>391</v>
      </c>
      <c r="E1047" s="17">
        <f t="shared" si="196"/>
        <v>391</v>
      </c>
      <c r="F1047" s="18" t="str">
        <f t="shared" si="206"/>
        <v>391</v>
      </c>
      <c r="G1047" s="18">
        <f t="shared" si="197"/>
        <v>391</v>
      </c>
      <c r="H1047" s="19" t="str">
        <f t="shared" si="207"/>
        <v>391</v>
      </c>
      <c r="I1047" s="19">
        <f t="shared" si="198"/>
        <v>391</v>
      </c>
      <c r="J1047" s="30"/>
      <c r="K1047" s="30"/>
      <c r="L1047" s="30"/>
      <c r="M1047" s="30"/>
      <c r="N1047" s="30"/>
      <c r="O1047" s="30"/>
      <c r="P1047" s="29"/>
      <c r="Q1047" s="29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c r="AJ1047" s="25"/>
      <c r="AK1047" s="30"/>
      <c r="AL1047" s="30"/>
      <c r="AM1047" s="30"/>
      <c r="AN1047" s="30"/>
      <c r="AO1047" s="30"/>
      <c r="AP1047" s="30"/>
      <c r="AQ1047" s="30"/>
      <c r="AR1047" s="30"/>
      <c r="AS1047" s="30"/>
      <c r="AT1047" s="30"/>
      <c r="AU1047" s="30"/>
      <c r="AW1047" s="27">
        <f t="shared" si="199"/>
        <v>1.047E-3</v>
      </c>
      <c r="AX1047" s="27">
        <f t="shared" si="200"/>
        <v>1.047E-3</v>
      </c>
      <c r="AY1047" s="27">
        <f t="shared" si="201"/>
        <v>1.047E-3</v>
      </c>
      <c r="AZ1047" s="27">
        <f t="shared" si="202"/>
        <v>1.047E-3</v>
      </c>
    </row>
    <row r="1048" spans="1:52" ht="15" customHeight="1" x14ac:dyDescent="0.25">
      <c r="A1048" s="13" t="e">
        <f>VLOOKUP(L1048,[1]VALIDAÇÃO!$D$13:$E$350,2,0)</f>
        <v>#N/A</v>
      </c>
      <c r="B1048" s="14" t="str">
        <f t="shared" si="204"/>
        <v>390</v>
      </c>
      <c r="C1048" s="15">
        <f t="shared" si="203"/>
        <v>390</v>
      </c>
      <c r="D1048" s="16" t="str">
        <f t="shared" si="205"/>
        <v>390</v>
      </c>
      <c r="E1048" s="17">
        <f t="shared" si="196"/>
        <v>390</v>
      </c>
      <c r="F1048" s="18" t="str">
        <f t="shared" si="206"/>
        <v>390</v>
      </c>
      <c r="G1048" s="18">
        <f t="shared" si="197"/>
        <v>390</v>
      </c>
      <c r="H1048" s="19" t="str">
        <f t="shared" si="207"/>
        <v>390</v>
      </c>
      <c r="I1048" s="19">
        <f t="shared" si="198"/>
        <v>390</v>
      </c>
      <c r="J1048" s="30"/>
      <c r="K1048" s="30"/>
      <c r="L1048" s="30"/>
      <c r="M1048" s="30"/>
      <c r="N1048" s="30"/>
      <c r="O1048" s="30"/>
      <c r="P1048" s="29"/>
      <c r="Q1048" s="29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c r="AJ1048" s="25"/>
      <c r="AK1048" s="30"/>
      <c r="AL1048" s="30"/>
      <c r="AM1048" s="30"/>
      <c r="AN1048" s="30"/>
      <c r="AO1048" s="30"/>
      <c r="AP1048" s="30"/>
      <c r="AQ1048" s="30"/>
      <c r="AR1048" s="30"/>
      <c r="AS1048" s="30"/>
      <c r="AT1048" s="30"/>
      <c r="AU1048" s="30"/>
      <c r="AW1048" s="27">
        <f t="shared" si="199"/>
        <v>1.0480000000000001E-3</v>
      </c>
      <c r="AX1048" s="27">
        <f t="shared" si="200"/>
        <v>1.0480000000000001E-3</v>
      </c>
      <c r="AY1048" s="27">
        <f t="shared" si="201"/>
        <v>1.0480000000000001E-3</v>
      </c>
      <c r="AZ1048" s="27">
        <f t="shared" si="202"/>
        <v>1.0480000000000001E-3</v>
      </c>
    </row>
    <row r="1049" spans="1:52" ht="15" customHeight="1" x14ac:dyDescent="0.25">
      <c r="A1049" s="13" t="e">
        <f>VLOOKUP(L1049,[1]VALIDAÇÃO!$D$13:$E$350,2,0)</f>
        <v>#N/A</v>
      </c>
      <c r="B1049" s="14" t="str">
        <f t="shared" si="204"/>
        <v>389</v>
      </c>
      <c r="C1049" s="15">
        <f t="shared" si="203"/>
        <v>389</v>
      </c>
      <c r="D1049" s="16" t="str">
        <f t="shared" si="205"/>
        <v>389</v>
      </c>
      <c r="E1049" s="17">
        <f t="shared" si="196"/>
        <v>389</v>
      </c>
      <c r="F1049" s="18" t="str">
        <f t="shared" si="206"/>
        <v>389</v>
      </c>
      <c r="G1049" s="18">
        <f t="shared" si="197"/>
        <v>389</v>
      </c>
      <c r="H1049" s="19" t="str">
        <f t="shared" si="207"/>
        <v>389</v>
      </c>
      <c r="I1049" s="19">
        <f t="shared" si="198"/>
        <v>389</v>
      </c>
      <c r="J1049" s="30"/>
      <c r="K1049" s="30"/>
      <c r="L1049" s="30"/>
      <c r="M1049" s="30"/>
      <c r="N1049" s="33"/>
      <c r="O1049" s="30"/>
      <c r="P1049" s="29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25"/>
      <c r="AK1049" s="30"/>
      <c r="AL1049" s="30"/>
      <c r="AM1049" s="30"/>
      <c r="AN1049" s="30"/>
      <c r="AO1049" s="30"/>
      <c r="AP1049" s="30"/>
      <c r="AQ1049" s="30"/>
      <c r="AR1049" s="30"/>
      <c r="AS1049" s="30"/>
      <c r="AT1049" s="30"/>
      <c r="AU1049" s="30"/>
      <c r="AW1049" s="27">
        <f t="shared" si="199"/>
        <v>1.049E-3</v>
      </c>
      <c r="AX1049" s="27">
        <f t="shared" si="200"/>
        <v>1.049E-3</v>
      </c>
      <c r="AY1049" s="27">
        <f t="shared" si="201"/>
        <v>1.049E-3</v>
      </c>
      <c r="AZ1049" s="27">
        <f t="shared" si="202"/>
        <v>1.049E-3</v>
      </c>
    </row>
    <row r="1050" spans="1:52" ht="15" customHeight="1" x14ac:dyDescent="0.25">
      <c r="A1050" s="13" t="e">
        <f>VLOOKUP(L1050,[1]VALIDAÇÃO!$D$13:$E$350,2,0)</f>
        <v>#N/A</v>
      </c>
      <c r="B1050" s="14" t="str">
        <f t="shared" si="204"/>
        <v>388</v>
      </c>
      <c r="C1050" s="15">
        <f t="shared" si="203"/>
        <v>388</v>
      </c>
      <c r="D1050" s="16" t="str">
        <f t="shared" si="205"/>
        <v>388</v>
      </c>
      <c r="E1050" s="17">
        <f t="shared" si="196"/>
        <v>388</v>
      </c>
      <c r="F1050" s="18" t="str">
        <f t="shared" si="206"/>
        <v>388</v>
      </c>
      <c r="G1050" s="18">
        <f t="shared" si="197"/>
        <v>388</v>
      </c>
      <c r="H1050" s="19" t="str">
        <f t="shared" si="207"/>
        <v>388</v>
      </c>
      <c r="I1050" s="19">
        <f t="shared" si="198"/>
        <v>388</v>
      </c>
      <c r="J1050" s="30"/>
      <c r="K1050" s="30"/>
      <c r="L1050" s="30"/>
      <c r="M1050" s="30"/>
      <c r="N1050" s="30"/>
      <c r="O1050" s="30"/>
      <c r="P1050" s="29"/>
      <c r="Q1050" s="29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25"/>
      <c r="AK1050" s="30"/>
      <c r="AL1050" s="30"/>
      <c r="AM1050" s="30"/>
      <c r="AN1050" s="30"/>
      <c r="AO1050" s="30"/>
      <c r="AP1050" s="30"/>
      <c r="AQ1050" s="30"/>
      <c r="AR1050" s="30"/>
      <c r="AS1050" s="30"/>
      <c r="AT1050" s="30"/>
      <c r="AU1050" s="30"/>
      <c r="AW1050" s="27">
        <f t="shared" si="199"/>
        <v>1.0499999999999999E-3</v>
      </c>
      <c r="AX1050" s="27">
        <f t="shared" si="200"/>
        <v>1.0499999999999999E-3</v>
      </c>
      <c r="AY1050" s="27">
        <f t="shared" si="201"/>
        <v>1.0499999999999999E-3</v>
      </c>
      <c r="AZ1050" s="27">
        <f t="shared" si="202"/>
        <v>1.0499999999999999E-3</v>
      </c>
    </row>
    <row r="1051" spans="1:52" ht="15" customHeight="1" x14ac:dyDescent="0.25">
      <c r="A1051" s="13" t="e">
        <f>VLOOKUP(L1051,[1]VALIDAÇÃO!$D$13:$E$350,2,0)</f>
        <v>#N/A</v>
      </c>
      <c r="B1051" s="14" t="str">
        <f t="shared" si="204"/>
        <v>387</v>
      </c>
      <c r="C1051" s="15">
        <f t="shared" si="203"/>
        <v>387</v>
      </c>
      <c r="D1051" s="16" t="str">
        <f t="shared" si="205"/>
        <v>387</v>
      </c>
      <c r="E1051" s="17">
        <f t="shared" si="196"/>
        <v>387</v>
      </c>
      <c r="F1051" s="18" t="str">
        <f t="shared" si="206"/>
        <v>387</v>
      </c>
      <c r="G1051" s="18">
        <f t="shared" si="197"/>
        <v>387</v>
      </c>
      <c r="H1051" s="19" t="str">
        <f t="shared" si="207"/>
        <v>387</v>
      </c>
      <c r="I1051" s="19">
        <f t="shared" si="198"/>
        <v>387</v>
      </c>
      <c r="J1051" s="30"/>
      <c r="K1051" s="30"/>
      <c r="L1051" s="30"/>
      <c r="M1051" s="30"/>
      <c r="N1051" s="33"/>
      <c r="O1051" s="30"/>
      <c r="P1051" s="29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c r="AJ1051" s="25"/>
      <c r="AK1051" s="30"/>
      <c r="AL1051" s="30"/>
      <c r="AM1051" s="30"/>
      <c r="AN1051" s="30"/>
      <c r="AO1051" s="30"/>
      <c r="AP1051" s="30"/>
      <c r="AQ1051" s="30"/>
      <c r="AR1051" s="30"/>
      <c r="AS1051" s="30"/>
      <c r="AT1051" s="30"/>
      <c r="AU1051" s="30"/>
      <c r="AW1051" s="27">
        <f t="shared" si="199"/>
        <v>1.0510000000000001E-3</v>
      </c>
      <c r="AX1051" s="27">
        <f t="shared" si="200"/>
        <v>1.0510000000000001E-3</v>
      </c>
      <c r="AY1051" s="27">
        <f t="shared" si="201"/>
        <v>1.0510000000000001E-3</v>
      </c>
      <c r="AZ1051" s="27">
        <f t="shared" si="202"/>
        <v>1.0510000000000001E-3</v>
      </c>
    </row>
    <row r="1052" spans="1:52" ht="15" customHeight="1" x14ac:dyDescent="0.25">
      <c r="A1052" s="13" t="e">
        <f>VLOOKUP(L1052,[1]VALIDAÇÃO!$D$13:$E$350,2,0)</f>
        <v>#N/A</v>
      </c>
      <c r="B1052" s="14" t="str">
        <f t="shared" si="204"/>
        <v>386</v>
      </c>
      <c r="C1052" s="15">
        <f t="shared" si="203"/>
        <v>386</v>
      </c>
      <c r="D1052" s="16" t="str">
        <f t="shared" si="205"/>
        <v>386</v>
      </c>
      <c r="E1052" s="17">
        <f t="shared" si="196"/>
        <v>386</v>
      </c>
      <c r="F1052" s="18" t="str">
        <f t="shared" si="206"/>
        <v>386</v>
      </c>
      <c r="G1052" s="18">
        <f t="shared" si="197"/>
        <v>386</v>
      </c>
      <c r="H1052" s="19" t="str">
        <f t="shared" si="207"/>
        <v>386</v>
      </c>
      <c r="I1052" s="19">
        <f t="shared" si="198"/>
        <v>386</v>
      </c>
      <c r="J1052" s="30"/>
      <c r="K1052" s="30"/>
      <c r="L1052" s="30"/>
      <c r="M1052" s="30"/>
      <c r="N1052" s="30"/>
      <c r="O1052" s="30"/>
      <c r="P1052" s="29"/>
      <c r="Q1052" s="29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25"/>
      <c r="AK1052" s="30"/>
      <c r="AL1052" s="30"/>
      <c r="AM1052" s="30"/>
      <c r="AN1052" s="30"/>
      <c r="AO1052" s="30"/>
      <c r="AP1052" s="30"/>
      <c r="AQ1052" s="30"/>
      <c r="AR1052" s="30"/>
      <c r="AS1052" s="30"/>
      <c r="AT1052" s="30"/>
      <c r="AU1052" s="30"/>
      <c r="AW1052" s="27">
        <f t="shared" si="199"/>
        <v>1.052E-3</v>
      </c>
      <c r="AX1052" s="27">
        <f t="shared" si="200"/>
        <v>1.052E-3</v>
      </c>
      <c r="AY1052" s="27">
        <f t="shared" si="201"/>
        <v>1.052E-3</v>
      </c>
      <c r="AZ1052" s="27">
        <f t="shared" si="202"/>
        <v>1.052E-3</v>
      </c>
    </row>
    <row r="1053" spans="1:52" ht="15" customHeight="1" x14ac:dyDescent="0.25">
      <c r="A1053" s="13" t="e">
        <f>VLOOKUP(L1053,[1]VALIDAÇÃO!$D$13:$E$350,2,0)</f>
        <v>#N/A</v>
      </c>
      <c r="B1053" s="14" t="str">
        <f t="shared" si="204"/>
        <v>385</v>
      </c>
      <c r="C1053" s="15">
        <f t="shared" si="203"/>
        <v>385</v>
      </c>
      <c r="D1053" s="16" t="str">
        <f t="shared" si="205"/>
        <v>385</v>
      </c>
      <c r="E1053" s="17">
        <f t="shared" si="196"/>
        <v>385</v>
      </c>
      <c r="F1053" s="18" t="str">
        <f t="shared" si="206"/>
        <v>385</v>
      </c>
      <c r="G1053" s="18">
        <f t="shared" si="197"/>
        <v>385</v>
      </c>
      <c r="H1053" s="19" t="str">
        <f t="shared" si="207"/>
        <v>385</v>
      </c>
      <c r="I1053" s="19">
        <f t="shared" si="198"/>
        <v>385</v>
      </c>
      <c r="J1053" s="30"/>
      <c r="K1053" s="30"/>
      <c r="L1053" s="30"/>
      <c r="M1053" s="30"/>
      <c r="N1053" s="33"/>
      <c r="O1053" s="30"/>
      <c r="P1053" s="29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c r="AJ1053" s="25"/>
      <c r="AK1053" s="30"/>
      <c r="AL1053" s="30"/>
      <c r="AM1053" s="30"/>
      <c r="AN1053" s="30"/>
      <c r="AO1053" s="30"/>
      <c r="AP1053" s="30"/>
      <c r="AQ1053" s="30"/>
      <c r="AR1053" s="30"/>
      <c r="AS1053" s="30"/>
      <c r="AT1053" s="30"/>
      <c r="AU1053" s="30"/>
      <c r="AW1053" s="27">
        <f t="shared" si="199"/>
        <v>1.0529999999999999E-3</v>
      </c>
      <c r="AX1053" s="27">
        <f t="shared" si="200"/>
        <v>1.0529999999999999E-3</v>
      </c>
      <c r="AY1053" s="27">
        <f t="shared" si="201"/>
        <v>1.0529999999999999E-3</v>
      </c>
      <c r="AZ1053" s="27">
        <f t="shared" si="202"/>
        <v>1.0529999999999999E-3</v>
      </c>
    </row>
    <row r="1054" spans="1:52" ht="15" customHeight="1" x14ac:dyDescent="0.25">
      <c r="A1054" s="13" t="e">
        <f>VLOOKUP(L1054,[1]VALIDAÇÃO!$D$13:$E$350,2,0)</f>
        <v>#N/A</v>
      </c>
      <c r="B1054" s="14" t="str">
        <f t="shared" si="204"/>
        <v>384</v>
      </c>
      <c r="C1054" s="15">
        <f t="shared" si="203"/>
        <v>384</v>
      </c>
      <c r="D1054" s="16" t="str">
        <f t="shared" si="205"/>
        <v>384</v>
      </c>
      <c r="E1054" s="17">
        <f t="shared" si="196"/>
        <v>384</v>
      </c>
      <c r="F1054" s="18" t="str">
        <f t="shared" si="206"/>
        <v>384</v>
      </c>
      <c r="G1054" s="18">
        <f t="shared" si="197"/>
        <v>384</v>
      </c>
      <c r="H1054" s="19" t="str">
        <f t="shared" si="207"/>
        <v>384</v>
      </c>
      <c r="I1054" s="19">
        <f t="shared" si="198"/>
        <v>384</v>
      </c>
      <c r="J1054" s="30"/>
      <c r="K1054" s="30"/>
      <c r="L1054" s="30"/>
      <c r="M1054" s="30"/>
      <c r="N1054" s="30"/>
      <c r="O1054" s="30"/>
      <c r="P1054" s="29"/>
      <c r="Q1054" s="29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c r="AJ1054" s="25"/>
      <c r="AK1054" s="30"/>
      <c r="AL1054" s="30"/>
      <c r="AM1054" s="30"/>
      <c r="AN1054" s="30"/>
      <c r="AO1054" s="30"/>
      <c r="AP1054" s="30"/>
      <c r="AQ1054" s="30"/>
      <c r="AR1054" s="30"/>
      <c r="AS1054" s="30"/>
      <c r="AT1054" s="30"/>
      <c r="AU1054" s="30"/>
      <c r="AW1054" s="27">
        <f t="shared" si="199"/>
        <v>1.054E-3</v>
      </c>
      <c r="AX1054" s="27">
        <f t="shared" si="200"/>
        <v>1.054E-3</v>
      </c>
      <c r="AY1054" s="27">
        <f t="shared" si="201"/>
        <v>1.054E-3</v>
      </c>
      <c r="AZ1054" s="27">
        <f t="shared" si="202"/>
        <v>1.054E-3</v>
      </c>
    </row>
    <row r="1055" spans="1:52" ht="15" customHeight="1" x14ac:dyDescent="0.25">
      <c r="A1055" s="13" t="e">
        <f>VLOOKUP(L1055,[1]VALIDAÇÃO!$D$13:$E$350,2,0)</f>
        <v>#N/A</v>
      </c>
      <c r="B1055" s="14" t="str">
        <f t="shared" si="204"/>
        <v>383</v>
      </c>
      <c r="C1055" s="15">
        <f t="shared" si="203"/>
        <v>383</v>
      </c>
      <c r="D1055" s="16" t="str">
        <f t="shared" si="205"/>
        <v>383</v>
      </c>
      <c r="E1055" s="17">
        <f t="shared" si="196"/>
        <v>383</v>
      </c>
      <c r="F1055" s="18" t="str">
        <f t="shared" si="206"/>
        <v>383</v>
      </c>
      <c r="G1055" s="18">
        <f t="shared" si="197"/>
        <v>383</v>
      </c>
      <c r="H1055" s="19" t="str">
        <f t="shared" si="207"/>
        <v>383</v>
      </c>
      <c r="I1055" s="19">
        <f t="shared" si="198"/>
        <v>383</v>
      </c>
      <c r="J1055" s="30"/>
      <c r="K1055" s="30"/>
      <c r="L1055" s="30"/>
      <c r="M1055" s="30"/>
      <c r="N1055" s="33"/>
      <c r="O1055" s="30"/>
      <c r="P1055" s="29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c r="AJ1055" s="25"/>
      <c r="AK1055" s="30"/>
      <c r="AL1055" s="30"/>
      <c r="AM1055" s="30"/>
      <c r="AN1055" s="30"/>
      <c r="AO1055" s="30"/>
      <c r="AP1055" s="30"/>
      <c r="AQ1055" s="30"/>
      <c r="AR1055" s="30"/>
      <c r="AS1055" s="30"/>
      <c r="AT1055" s="30"/>
      <c r="AU1055" s="30"/>
      <c r="AW1055" s="27">
        <f t="shared" si="199"/>
        <v>1.0549999999999999E-3</v>
      </c>
      <c r="AX1055" s="27">
        <f t="shared" si="200"/>
        <v>1.0549999999999999E-3</v>
      </c>
      <c r="AY1055" s="27">
        <f t="shared" si="201"/>
        <v>1.0549999999999999E-3</v>
      </c>
      <c r="AZ1055" s="27">
        <f t="shared" si="202"/>
        <v>1.0549999999999999E-3</v>
      </c>
    </row>
    <row r="1056" spans="1:52" ht="15" customHeight="1" x14ac:dyDescent="0.25">
      <c r="A1056" s="13" t="e">
        <f>VLOOKUP(L1056,[1]VALIDAÇÃO!$D$13:$E$350,2,0)</f>
        <v>#N/A</v>
      </c>
      <c r="B1056" s="14" t="str">
        <f t="shared" si="204"/>
        <v>382</v>
      </c>
      <c r="C1056" s="15">
        <f t="shared" si="203"/>
        <v>382</v>
      </c>
      <c r="D1056" s="16" t="str">
        <f t="shared" si="205"/>
        <v>382</v>
      </c>
      <c r="E1056" s="17">
        <f t="shared" si="196"/>
        <v>382</v>
      </c>
      <c r="F1056" s="18" t="str">
        <f t="shared" si="206"/>
        <v>382</v>
      </c>
      <c r="G1056" s="18">
        <f t="shared" si="197"/>
        <v>382</v>
      </c>
      <c r="H1056" s="19" t="str">
        <f t="shared" si="207"/>
        <v>382</v>
      </c>
      <c r="I1056" s="19">
        <f t="shared" si="198"/>
        <v>382</v>
      </c>
      <c r="J1056" s="30"/>
      <c r="K1056" s="30"/>
      <c r="L1056" s="30"/>
      <c r="M1056" s="30"/>
      <c r="N1056" s="33"/>
      <c r="O1056" s="30"/>
      <c r="P1056" s="29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c r="AJ1056" s="25"/>
      <c r="AK1056" s="30"/>
      <c r="AL1056" s="30"/>
      <c r="AM1056" s="30"/>
      <c r="AN1056" s="30"/>
      <c r="AO1056" s="30"/>
      <c r="AP1056" s="30"/>
      <c r="AQ1056" s="30"/>
      <c r="AR1056" s="30"/>
      <c r="AS1056" s="30"/>
      <c r="AT1056" s="30"/>
      <c r="AU1056" s="30"/>
      <c r="AW1056" s="27">
        <f t="shared" si="199"/>
        <v>1.0560000000000001E-3</v>
      </c>
      <c r="AX1056" s="27">
        <f t="shared" si="200"/>
        <v>1.0560000000000001E-3</v>
      </c>
      <c r="AY1056" s="27">
        <f t="shared" si="201"/>
        <v>1.0560000000000001E-3</v>
      </c>
      <c r="AZ1056" s="27">
        <f t="shared" si="202"/>
        <v>1.0560000000000001E-3</v>
      </c>
    </row>
    <row r="1057" spans="1:52" ht="15" customHeight="1" x14ac:dyDescent="0.25">
      <c r="A1057" s="13" t="e">
        <f>VLOOKUP(L1057,[1]VALIDAÇÃO!$D$13:$E$350,2,0)</f>
        <v>#N/A</v>
      </c>
      <c r="B1057" s="14" t="str">
        <f t="shared" si="204"/>
        <v>381</v>
      </c>
      <c r="C1057" s="15">
        <f t="shared" si="203"/>
        <v>381</v>
      </c>
      <c r="D1057" s="16" t="str">
        <f t="shared" si="205"/>
        <v>381</v>
      </c>
      <c r="E1057" s="17">
        <f t="shared" si="196"/>
        <v>381</v>
      </c>
      <c r="F1057" s="18" t="str">
        <f t="shared" si="206"/>
        <v>381</v>
      </c>
      <c r="G1057" s="18">
        <f t="shared" si="197"/>
        <v>381</v>
      </c>
      <c r="H1057" s="19" t="str">
        <f t="shared" si="207"/>
        <v>381</v>
      </c>
      <c r="I1057" s="19">
        <f t="shared" si="198"/>
        <v>381</v>
      </c>
      <c r="J1057" s="30"/>
      <c r="K1057" s="30"/>
      <c r="L1057" s="30"/>
      <c r="M1057" s="30"/>
      <c r="N1057" s="30"/>
      <c r="O1057" s="30"/>
      <c r="P1057" s="29"/>
      <c r="Q1057" s="29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c r="AJ1057" s="25"/>
      <c r="AK1057" s="30"/>
      <c r="AL1057" s="30"/>
      <c r="AM1057" s="30"/>
      <c r="AN1057" s="30"/>
      <c r="AO1057" s="30"/>
      <c r="AP1057" s="30"/>
      <c r="AQ1057" s="30"/>
      <c r="AR1057" s="30"/>
      <c r="AS1057" s="30"/>
      <c r="AT1057" s="30"/>
      <c r="AU1057" s="30"/>
      <c r="AW1057" s="27">
        <f t="shared" si="199"/>
        <v>1.057E-3</v>
      </c>
      <c r="AX1057" s="27">
        <f t="shared" si="200"/>
        <v>1.057E-3</v>
      </c>
      <c r="AY1057" s="27">
        <f t="shared" si="201"/>
        <v>1.057E-3</v>
      </c>
      <c r="AZ1057" s="27">
        <f t="shared" si="202"/>
        <v>1.057E-3</v>
      </c>
    </row>
    <row r="1058" spans="1:52" ht="15" customHeight="1" x14ac:dyDescent="0.25">
      <c r="A1058" s="13" t="e">
        <f>VLOOKUP(L1058,[1]VALIDAÇÃO!$D$13:$E$350,2,0)</f>
        <v>#N/A</v>
      </c>
      <c r="B1058" s="14" t="str">
        <f t="shared" si="204"/>
        <v>380</v>
      </c>
      <c r="C1058" s="15">
        <f t="shared" si="203"/>
        <v>380</v>
      </c>
      <c r="D1058" s="16" t="str">
        <f t="shared" si="205"/>
        <v>380</v>
      </c>
      <c r="E1058" s="17">
        <f t="shared" si="196"/>
        <v>380</v>
      </c>
      <c r="F1058" s="18" t="str">
        <f t="shared" si="206"/>
        <v>380</v>
      </c>
      <c r="G1058" s="18">
        <f t="shared" si="197"/>
        <v>380</v>
      </c>
      <c r="H1058" s="19" t="str">
        <f t="shared" si="207"/>
        <v>380</v>
      </c>
      <c r="I1058" s="19">
        <f t="shared" si="198"/>
        <v>380</v>
      </c>
      <c r="J1058" s="30"/>
      <c r="K1058" s="30"/>
      <c r="L1058" s="30"/>
      <c r="M1058" s="30"/>
      <c r="N1058" s="30"/>
      <c r="O1058" s="30"/>
      <c r="P1058" s="29"/>
      <c r="Q1058" s="29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c r="AJ1058" s="25"/>
      <c r="AK1058" s="30"/>
      <c r="AL1058" s="30"/>
      <c r="AM1058" s="30"/>
      <c r="AN1058" s="30"/>
      <c r="AO1058" s="30"/>
      <c r="AP1058" s="30"/>
      <c r="AQ1058" s="30"/>
      <c r="AR1058" s="30"/>
      <c r="AS1058" s="30"/>
      <c r="AT1058" s="30"/>
      <c r="AU1058" s="30"/>
      <c r="AW1058" s="27">
        <f t="shared" si="199"/>
        <v>1.0579999999999999E-3</v>
      </c>
      <c r="AX1058" s="27">
        <f t="shared" si="200"/>
        <v>1.0579999999999999E-3</v>
      </c>
      <c r="AY1058" s="27">
        <f t="shared" si="201"/>
        <v>1.0579999999999999E-3</v>
      </c>
      <c r="AZ1058" s="27">
        <f t="shared" si="202"/>
        <v>1.0579999999999999E-3</v>
      </c>
    </row>
    <row r="1059" spans="1:52" ht="15" customHeight="1" x14ac:dyDescent="0.25">
      <c r="A1059" s="13" t="e">
        <f>VLOOKUP(L1059,[1]VALIDAÇÃO!$D$13:$E$350,2,0)</f>
        <v>#N/A</v>
      </c>
      <c r="B1059" s="14" t="str">
        <f t="shared" si="204"/>
        <v>379</v>
      </c>
      <c r="C1059" s="15">
        <f t="shared" si="203"/>
        <v>379</v>
      </c>
      <c r="D1059" s="16" t="str">
        <f t="shared" si="205"/>
        <v>379</v>
      </c>
      <c r="E1059" s="17">
        <f t="shared" si="196"/>
        <v>379</v>
      </c>
      <c r="F1059" s="18" t="str">
        <f t="shared" si="206"/>
        <v>379</v>
      </c>
      <c r="G1059" s="18">
        <f t="shared" si="197"/>
        <v>379</v>
      </c>
      <c r="H1059" s="19" t="str">
        <f t="shared" si="207"/>
        <v>379</v>
      </c>
      <c r="I1059" s="19">
        <f t="shared" si="198"/>
        <v>379</v>
      </c>
      <c r="J1059" s="30"/>
      <c r="K1059" s="30"/>
      <c r="L1059" s="30"/>
      <c r="M1059" s="30"/>
      <c r="N1059" s="33"/>
      <c r="O1059" s="30"/>
      <c r="P1059" s="29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c r="AJ1059" s="25"/>
      <c r="AK1059" s="30"/>
      <c r="AL1059" s="30"/>
      <c r="AM1059" s="30"/>
      <c r="AN1059" s="30"/>
      <c r="AO1059" s="30"/>
      <c r="AP1059" s="30"/>
      <c r="AQ1059" s="30"/>
      <c r="AR1059" s="30"/>
      <c r="AS1059" s="30"/>
      <c r="AT1059" s="30"/>
      <c r="AU1059" s="30"/>
      <c r="AW1059" s="27">
        <f t="shared" si="199"/>
        <v>1.059E-3</v>
      </c>
      <c r="AX1059" s="27">
        <f t="shared" si="200"/>
        <v>1.059E-3</v>
      </c>
      <c r="AY1059" s="27">
        <f t="shared" si="201"/>
        <v>1.059E-3</v>
      </c>
      <c r="AZ1059" s="27">
        <f t="shared" si="202"/>
        <v>1.059E-3</v>
      </c>
    </row>
    <row r="1060" spans="1:52" ht="15" customHeight="1" x14ac:dyDescent="0.25">
      <c r="A1060" s="13" t="e">
        <f>VLOOKUP(L1060,[1]VALIDAÇÃO!$D$13:$E$350,2,0)</f>
        <v>#N/A</v>
      </c>
      <c r="B1060" s="14" t="str">
        <f t="shared" si="204"/>
        <v>378</v>
      </c>
      <c r="C1060" s="15">
        <f t="shared" si="203"/>
        <v>378</v>
      </c>
      <c r="D1060" s="16" t="str">
        <f t="shared" si="205"/>
        <v>378</v>
      </c>
      <c r="E1060" s="17">
        <f t="shared" si="196"/>
        <v>378</v>
      </c>
      <c r="F1060" s="18" t="str">
        <f t="shared" si="206"/>
        <v>378</v>
      </c>
      <c r="G1060" s="18">
        <f t="shared" si="197"/>
        <v>378</v>
      </c>
      <c r="H1060" s="19" t="str">
        <f t="shared" si="207"/>
        <v>378</v>
      </c>
      <c r="I1060" s="19">
        <f t="shared" si="198"/>
        <v>378</v>
      </c>
      <c r="J1060" s="30"/>
      <c r="K1060" s="30"/>
      <c r="L1060" s="30"/>
      <c r="M1060" s="30"/>
      <c r="N1060" s="33"/>
      <c r="O1060" s="30"/>
      <c r="P1060" s="29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c r="AJ1060" s="25"/>
      <c r="AK1060" s="30"/>
      <c r="AL1060" s="30"/>
      <c r="AM1060" s="30"/>
      <c r="AN1060" s="30"/>
      <c r="AO1060" s="30"/>
      <c r="AP1060" s="30"/>
      <c r="AQ1060" s="30"/>
      <c r="AR1060" s="30"/>
      <c r="AS1060" s="30"/>
      <c r="AT1060" s="30"/>
      <c r="AU1060" s="30"/>
      <c r="AW1060" s="27">
        <f t="shared" si="199"/>
        <v>1.06E-3</v>
      </c>
      <c r="AX1060" s="27">
        <f t="shared" si="200"/>
        <v>1.06E-3</v>
      </c>
      <c r="AY1060" s="27">
        <f t="shared" si="201"/>
        <v>1.06E-3</v>
      </c>
      <c r="AZ1060" s="27">
        <f t="shared" si="202"/>
        <v>1.06E-3</v>
      </c>
    </row>
    <row r="1061" spans="1:52" ht="15" customHeight="1" x14ac:dyDescent="0.25">
      <c r="A1061" s="13" t="e">
        <f>VLOOKUP(L1061,[1]VALIDAÇÃO!$D$13:$E$350,2,0)</f>
        <v>#N/A</v>
      </c>
      <c r="B1061" s="14" t="str">
        <f t="shared" si="204"/>
        <v>377</v>
      </c>
      <c r="C1061" s="15">
        <f t="shared" si="203"/>
        <v>377</v>
      </c>
      <c r="D1061" s="16" t="str">
        <f t="shared" si="205"/>
        <v>377</v>
      </c>
      <c r="E1061" s="17">
        <f t="shared" si="196"/>
        <v>377</v>
      </c>
      <c r="F1061" s="18" t="str">
        <f t="shared" si="206"/>
        <v>377</v>
      </c>
      <c r="G1061" s="18">
        <f t="shared" si="197"/>
        <v>377</v>
      </c>
      <c r="H1061" s="19" t="str">
        <f t="shared" si="207"/>
        <v>377</v>
      </c>
      <c r="I1061" s="19">
        <f t="shared" si="198"/>
        <v>377</v>
      </c>
      <c r="J1061" s="30"/>
      <c r="K1061" s="30"/>
      <c r="L1061" s="30"/>
      <c r="M1061" s="30"/>
      <c r="N1061" s="30"/>
      <c r="O1061" s="30"/>
      <c r="P1061" s="29"/>
      <c r="Q1061" s="29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c r="AJ1061" s="25"/>
      <c r="AK1061" s="30"/>
      <c r="AL1061" s="30"/>
      <c r="AM1061" s="30"/>
      <c r="AN1061" s="30"/>
      <c r="AO1061" s="30"/>
      <c r="AP1061" s="30"/>
      <c r="AQ1061" s="30"/>
      <c r="AR1061" s="30"/>
      <c r="AS1061" s="30"/>
      <c r="AT1061" s="30"/>
      <c r="AU1061" s="30"/>
      <c r="AW1061" s="27">
        <f t="shared" si="199"/>
        <v>1.0610000000000001E-3</v>
      </c>
      <c r="AX1061" s="27">
        <f t="shared" si="200"/>
        <v>1.0610000000000001E-3</v>
      </c>
      <c r="AY1061" s="27">
        <f t="shared" si="201"/>
        <v>1.0610000000000001E-3</v>
      </c>
      <c r="AZ1061" s="27">
        <f t="shared" si="202"/>
        <v>1.0610000000000001E-3</v>
      </c>
    </row>
    <row r="1062" spans="1:52" ht="15" customHeight="1" x14ac:dyDescent="0.25">
      <c r="A1062" s="13" t="e">
        <f>VLOOKUP(L1062,[1]VALIDAÇÃO!$D$13:$E$350,2,0)</f>
        <v>#N/A</v>
      </c>
      <c r="B1062" s="14" t="str">
        <f t="shared" si="204"/>
        <v>376</v>
      </c>
      <c r="C1062" s="15">
        <f t="shared" si="203"/>
        <v>376</v>
      </c>
      <c r="D1062" s="16" t="str">
        <f t="shared" si="205"/>
        <v>376</v>
      </c>
      <c r="E1062" s="17">
        <f t="shared" si="196"/>
        <v>376</v>
      </c>
      <c r="F1062" s="18" t="str">
        <f t="shared" si="206"/>
        <v>376</v>
      </c>
      <c r="G1062" s="18">
        <f t="shared" si="197"/>
        <v>376</v>
      </c>
      <c r="H1062" s="19" t="str">
        <f t="shared" si="207"/>
        <v>376</v>
      </c>
      <c r="I1062" s="19">
        <f t="shared" si="198"/>
        <v>376</v>
      </c>
      <c r="J1062" s="30"/>
      <c r="K1062" s="30"/>
      <c r="L1062" s="30"/>
      <c r="M1062" s="30"/>
      <c r="N1062" s="30"/>
      <c r="O1062" s="30"/>
      <c r="P1062" s="29"/>
      <c r="Q1062" s="29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c r="AJ1062" s="25"/>
      <c r="AK1062" s="30"/>
      <c r="AL1062" s="30"/>
      <c r="AM1062" s="30"/>
      <c r="AN1062" s="30"/>
      <c r="AO1062" s="30"/>
      <c r="AP1062" s="30"/>
      <c r="AQ1062" s="30"/>
      <c r="AR1062" s="30"/>
      <c r="AS1062" s="30"/>
      <c r="AT1062" s="30"/>
      <c r="AU1062" s="30"/>
      <c r="AW1062" s="27">
        <f t="shared" si="199"/>
        <v>1.062E-3</v>
      </c>
      <c r="AX1062" s="27">
        <f t="shared" si="200"/>
        <v>1.062E-3</v>
      </c>
      <c r="AY1062" s="27">
        <f t="shared" si="201"/>
        <v>1.062E-3</v>
      </c>
      <c r="AZ1062" s="27">
        <f t="shared" si="202"/>
        <v>1.062E-3</v>
      </c>
    </row>
    <row r="1063" spans="1:52" ht="15" customHeight="1" x14ac:dyDescent="0.25">
      <c r="A1063" s="13" t="e">
        <f>VLOOKUP(L1063,[1]VALIDAÇÃO!$D$13:$E$350,2,0)</f>
        <v>#N/A</v>
      </c>
      <c r="B1063" s="14" t="str">
        <f t="shared" si="204"/>
        <v>375</v>
      </c>
      <c r="C1063" s="15">
        <f t="shared" si="203"/>
        <v>375</v>
      </c>
      <c r="D1063" s="16" t="str">
        <f t="shared" si="205"/>
        <v>375</v>
      </c>
      <c r="E1063" s="17">
        <f t="shared" si="196"/>
        <v>375</v>
      </c>
      <c r="F1063" s="18" t="str">
        <f t="shared" si="206"/>
        <v>375</v>
      </c>
      <c r="G1063" s="18">
        <f t="shared" si="197"/>
        <v>375</v>
      </c>
      <c r="H1063" s="19" t="str">
        <f t="shared" si="207"/>
        <v>375</v>
      </c>
      <c r="I1063" s="19">
        <f t="shared" si="198"/>
        <v>375</v>
      </c>
      <c r="J1063" s="30"/>
      <c r="K1063" s="30"/>
      <c r="L1063" s="30"/>
      <c r="M1063" s="30"/>
      <c r="N1063" s="30"/>
      <c r="O1063" s="30"/>
      <c r="P1063" s="29"/>
      <c r="Q1063" s="29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c r="AJ1063" s="25"/>
      <c r="AK1063" s="30"/>
      <c r="AL1063" s="30"/>
      <c r="AM1063" s="30"/>
      <c r="AN1063" s="30"/>
      <c r="AO1063" s="30"/>
      <c r="AP1063" s="30"/>
      <c r="AQ1063" s="30"/>
      <c r="AR1063" s="30"/>
      <c r="AS1063" s="30"/>
      <c r="AT1063" s="30"/>
      <c r="AU1063" s="30"/>
      <c r="AW1063" s="27">
        <f t="shared" si="199"/>
        <v>1.0629999999999999E-3</v>
      </c>
      <c r="AX1063" s="27">
        <f t="shared" si="200"/>
        <v>1.0629999999999999E-3</v>
      </c>
      <c r="AY1063" s="27">
        <f t="shared" si="201"/>
        <v>1.0629999999999999E-3</v>
      </c>
      <c r="AZ1063" s="27">
        <f t="shared" si="202"/>
        <v>1.0629999999999999E-3</v>
      </c>
    </row>
    <row r="1064" spans="1:52" ht="15" customHeight="1" x14ac:dyDescent="0.25">
      <c r="A1064" s="13" t="e">
        <f>VLOOKUP(L1064,[1]VALIDAÇÃO!$D$13:$E$350,2,0)</f>
        <v>#N/A</v>
      </c>
      <c r="B1064" s="14" t="str">
        <f t="shared" si="204"/>
        <v>374</v>
      </c>
      <c r="C1064" s="15">
        <f t="shared" si="203"/>
        <v>374</v>
      </c>
      <c r="D1064" s="16" t="str">
        <f t="shared" si="205"/>
        <v>374</v>
      </c>
      <c r="E1064" s="17">
        <f t="shared" si="196"/>
        <v>374</v>
      </c>
      <c r="F1064" s="18" t="str">
        <f t="shared" si="206"/>
        <v>374</v>
      </c>
      <c r="G1064" s="18">
        <f t="shared" si="197"/>
        <v>374</v>
      </c>
      <c r="H1064" s="19" t="str">
        <f t="shared" si="207"/>
        <v>374</v>
      </c>
      <c r="I1064" s="19">
        <f t="shared" si="198"/>
        <v>374</v>
      </c>
      <c r="J1064" s="30"/>
      <c r="K1064" s="30"/>
      <c r="L1064" s="30"/>
      <c r="M1064" s="30"/>
      <c r="N1064" s="30"/>
      <c r="O1064" s="30"/>
      <c r="P1064" s="29"/>
      <c r="Q1064" s="29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25"/>
      <c r="AK1064" s="30"/>
      <c r="AL1064" s="30"/>
      <c r="AM1064" s="30"/>
      <c r="AN1064" s="30"/>
      <c r="AO1064" s="30"/>
      <c r="AP1064" s="30"/>
      <c r="AQ1064" s="30"/>
      <c r="AR1064" s="30"/>
      <c r="AS1064" s="30"/>
      <c r="AT1064" s="30"/>
      <c r="AU1064" s="30"/>
      <c r="AW1064" s="27">
        <f t="shared" si="199"/>
        <v>1.0640000000000001E-3</v>
      </c>
      <c r="AX1064" s="27">
        <f t="shared" si="200"/>
        <v>1.0640000000000001E-3</v>
      </c>
      <c r="AY1064" s="27">
        <f t="shared" si="201"/>
        <v>1.0640000000000001E-3</v>
      </c>
      <c r="AZ1064" s="27">
        <f t="shared" si="202"/>
        <v>1.0640000000000001E-3</v>
      </c>
    </row>
    <row r="1065" spans="1:52" ht="15" customHeight="1" x14ac:dyDescent="0.25">
      <c r="A1065" s="13" t="e">
        <f>VLOOKUP(L1065,[1]VALIDAÇÃO!$D$13:$E$350,2,0)</f>
        <v>#N/A</v>
      </c>
      <c r="B1065" s="14" t="str">
        <f t="shared" si="204"/>
        <v>373</v>
      </c>
      <c r="C1065" s="15">
        <f t="shared" si="203"/>
        <v>373</v>
      </c>
      <c r="D1065" s="16" t="str">
        <f t="shared" si="205"/>
        <v>373</v>
      </c>
      <c r="E1065" s="17">
        <f t="shared" si="196"/>
        <v>373</v>
      </c>
      <c r="F1065" s="18" t="str">
        <f t="shared" si="206"/>
        <v>373</v>
      </c>
      <c r="G1065" s="18">
        <f t="shared" si="197"/>
        <v>373</v>
      </c>
      <c r="H1065" s="19" t="str">
        <f t="shared" si="207"/>
        <v>373</v>
      </c>
      <c r="I1065" s="19">
        <f t="shared" si="198"/>
        <v>373</v>
      </c>
      <c r="J1065" s="30"/>
      <c r="K1065" s="30"/>
      <c r="L1065" s="30"/>
      <c r="M1065" s="30"/>
      <c r="N1065" s="33"/>
      <c r="O1065" s="30"/>
      <c r="P1065" s="29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c r="AJ1065" s="25"/>
      <c r="AK1065" s="30"/>
      <c r="AL1065" s="30"/>
      <c r="AM1065" s="30"/>
      <c r="AN1065" s="30"/>
      <c r="AO1065" s="30"/>
      <c r="AP1065" s="30"/>
      <c r="AQ1065" s="30"/>
      <c r="AR1065" s="30"/>
      <c r="AS1065" s="30"/>
      <c r="AT1065" s="30"/>
      <c r="AU1065" s="30"/>
      <c r="AW1065" s="27">
        <f t="shared" si="199"/>
        <v>1.065E-3</v>
      </c>
      <c r="AX1065" s="27">
        <f t="shared" si="200"/>
        <v>1.065E-3</v>
      </c>
      <c r="AY1065" s="27">
        <f t="shared" si="201"/>
        <v>1.065E-3</v>
      </c>
      <c r="AZ1065" s="27">
        <f t="shared" si="202"/>
        <v>1.065E-3</v>
      </c>
    </row>
    <row r="1066" spans="1:52" ht="15" customHeight="1" x14ac:dyDescent="0.25">
      <c r="A1066" s="13" t="e">
        <f>VLOOKUP(L1066,[1]VALIDAÇÃO!$D$13:$E$350,2,0)</f>
        <v>#N/A</v>
      </c>
      <c r="B1066" s="14" t="str">
        <f t="shared" si="204"/>
        <v>372</v>
      </c>
      <c r="C1066" s="15">
        <f t="shared" si="203"/>
        <v>372</v>
      </c>
      <c r="D1066" s="16" t="str">
        <f t="shared" si="205"/>
        <v>372</v>
      </c>
      <c r="E1066" s="17">
        <f t="shared" si="196"/>
        <v>372</v>
      </c>
      <c r="F1066" s="18" t="str">
        <f t="shared" si="206"/>
        <v>372</v>
      </c>
      <c r="G1066" s="18">
        <f t="shared" si="197"/>
        <v>372</v>
      </c>
      <c r="H1066" s="19" t="str">
        <f t="shared" si="207"/>
        <v>372</v>
      </c>
      <c r="I1066" s="19">
        <f t="shared" si="198"/>
        <v>372</v>
      </c>
      <c r="J1066" s="30"/>
      <c r="K1066" s="30"/>
      <c r="L1066" s="30"/>
      <c r="M1066" s="30"/>
      <c r="N1066" s="30"/>
      <c r="O1066" s="30"/>
      <c r="P1066" s="29"/>
      <c r="Q1066" s="29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c r="AJ1066" s="25"/>
      <c r="AK1066" s="30"/>
      <c r="AL1066" s="30"/>
      <c r="AM1066" s="30"/>
      <c r="AN1066" s="30"/>
      <c r="AO1066" s="30"/>
      <c r="AP1066" s="30"/>
      <c r="AQ1066" s="30"/>
      <c r="AR1066" s="30"/>
      <c r="AS1066" s="30"/>
      <c r="AT1066" s="30"/>
      <c r="AU1066" s="30"/>
      <c r="AW1066" s="27">
        <f t="shared" si="199"/>
        <v>1.0660000000000001E-3</v>
      </c>
      <c r="AX1066" s="27">
        <f t="shared" si="200"/>
        <v>1.0660000000000001E-3</v>
      </c>
      <c r="AY1066" s="27">
        <f t="shared" si="201"/>
        <v>1.0660000000000001E-3</v>
      </c>
      <c r="AZ1066" s="27">
        <f t="shared" si="202"/>
        <v>1.0660000000000001E-3</v>
      </c>
    </row>
    <row r="1067" spans="1:52" ht="15" customHeight="1" x14ac:dyDescent="0.25">
      <c r="A1067" s="13" t="e">
        <f>VLOOKUP(L1067,[1]VALIDAÇÃO!$D$13:$E$350,2,0)</f>
        <v>#N/A</v>
      </c>
      <c r="B1067" s="14" t="str">
        <f t="shared" si="204"/>
        <v>371</v>
      </c>
      <c r="C1067" s="15">
        <f t="shared" si="203"/>
        <v>371</v>
      </c>
      <c r="D1067" s="16" t="str">
        <f t="shared" si="205"/>
        <v>371</v>
      </c>
      <c r="E1067" s="17">
        <f t="shared" si="196"/>
        <v>371</v>
      </c>
      <c r="F1067" s="18" t="str">
        <f t="shared" si="206"/>
        <v>371</v>
      </c>
      <c r="G1067" s="18">
        <f t="shared" si="197"/>
        <v>371</v>
      </c>
      <c r="H1067" s="19" t="str">
        <f t="shared" si="207"/>
        <v>371</v>
      </c>
      <c r="I1067" s="19">
        <f t="shared" si="198"/>
        <v>371</v>
      </c>
      <c r="J1067" s="30"/>
      <c r="K1067" s="30"/>
      <c r="L1067" s="30"/>
      <c r="M1067" s="30"/>
      <c r="N1067" s="30"/>
      <c r="O1067" s="30"/>
      <c r="P1067" s="29"/>
      <c r="Q1067" s="29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25"/>
      <c r="AK1067" s="30"/>
      <c r="AL1067" s="30"/>
      <c r="AM1067" s="30"/>
      <c r="AN1067" s="30"/>
      <c r="AO1067" s="30"/>
      <c r="AP1067" s="30"/>
      <c r="AQ1067" s="30"/>
      <c r="AR1067" s="30"/>
      <c r="AS1067" s="30"/>
      <c r="AT1067" s="30"/>
      <c r="AU1067" s="30"/>
      <c r="AW1067" s="27">
        <f t="shared" si="199"/>
        <v>1.067E-3</v>
      </c>
      <c r="AX1067" s="27">
        <f t="shared" si="200"/>
        <v>1.067E-3</v>
      </c>
      <c r="AY1067" s="27">
        <f t="shared" si="201"/>
        <v>1.067E-3</v>
      </c>
      <c r="AZ1067" s="27">
        <f t="shared" si="202"/>
        <v>1.067E-3</v>
      </c>
    </row>
    <row r="1068" spans="1:52" ht="15" customHeight="1" x14ac:dyDescent="0.25">
      <c r="A1068" s="13" t="e">
        <f>VLOOKUP(L1068,[1]VALIDAÇÃO!$D$13:$E$350,2,0)</f>
        <v>#N/A</v>
      </c>
      <c r="B1068" s="14" t="str">
        <f t="shared" si="204"/>
        <v>370</v>
      </c>
      <c r="C1068" s="15">
        <f t="shared" si="203"/>
        <v>370</v>
      </c>
      <c r="D1068" s="16" t="str">
        <f t="shared" si="205"/>
        <v>370</v>
      </c>
      <c r="E1068" s="17">
        <f t="shared" si="196"/>
        <v>370</v>
      </c>
      <c r="F1068" s="18" t="str">
        <f t="shared" si="206"/>
        <v>370</v>
      </c>
      <c r="G1068" s="18">
        <f t="shared" si="197"/>
        <v>370</v>
      </c>
      <c r="H1068" s="19" t="str">
        <f t="shared" si="207"/>
        <v>370</v>
      </c>
      <c r="I1068" s="19">
        <f t="shared" si="198"/>
        <v>370</v>
      </c>
      <c r="J1068" s="30"/>
      <c r="K1068" s="30"/>
      <c r="L1068" s="30"/>
      <c r="M1068" s="30"/>
      <c r="N1068" s="30"/>
      <c r="O1068" s="30"/>
      <c r="P1068" s="29"/>
      <c r="Q1068" s="29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c r="AJ1068" s="25"/>
      <c r="AK1068" s="30"/>
      <c r="AL1068" s="30"/>
      <c r="AM1068" s="30"/>
      <c r="AN1068" s="30"/>
      <c r="AO1068" s="30"/>
      <c r="AP1068" s="30"/>
      <c r="AQ1068" s="30"/>
      <c r="AR1068" s="30"/>
      <c r="AS1068" s="30"/>
      <c r="AT1068" s="30"/>
      <c r="AU1068" s="30"/>
      <c r="AW1068" s="27">
        <f t="shared" si="199"/>
        <v>1.0679999999999999E-3</v>
      </c>
      <c r="AX1068" s="27">
        <f t="shared" si="200"/>
        <v>1.0679999999999999E-3</v>
      </c>
      <c r="AY1068" s="27">
        <f t="shared" si="201"/>
        <v>1.0679999999999999E-3</v>
      </c>
      <c r="AZ1068" s="27">
        <f t="shared" si="202"/>
        <v>1.0679999999999999E-3</v>
      </c>
    </row>
    <row r="1069" spans="1:52" ht="15" customHeight="1" x14ac:dyDescent="0.25">
      <c r="A1069" s="13" t="e">
        <f>VLOOKUP(L1069,[1]VALIDAÇÃO!$D$13:$E$350,2,0)</f>
        <v>#N/A</v>
      </c>
      <c r="B1069" s="14" t="str">
        <f t="shared" si="204"/>
        <v>369</v>
      </c>
      <c r="C1069" s="15">
        <f t="shared" si="203"/>
        <v>369</v>
      </c>
      <c r="D1069" s="16" t="str">
        <f t="shared" si="205"/>
        <v>369</v>
      </c>
      <c r="E1069" s="17">
        <f t="shared" si="196"/>
        <v>369</v>
      </c>
      <c r="F1069" s="18" t="str">
        <f t="shared" si="206"/>
        <v>369</v>
      </c>
      <c r="G1069" s="18">
        <f t="shared" si="197"/>
        <v>369</v>
      </c>
      <c r="H1069" s="19" t="str">
        <f t="shared" si="207"/>
        <v>369</v>
      </c>
      <c r="I1069" s="19">
        <f t="shared" si="198"/>
        <v>369</v>
      </c>
      <c r="J1069" s="30"/>
      <c r="K1069" s="30"/>
      <c r="L1069" s="30"/>
      <c r="M1069" s="30"/>
      <c r="N1069" s="30"/>
      <c r="O1069" s="30"/>
      <c r="P1069" s="29"/>
      <c r="Q1069" s="29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c r="AJ1069" s="25"/>
      <c r="AK1069" s="30"/>
      <c r="AL1069" s="30"/>
      <c r="AM1069" s="30"/>
      <c r="AN1069" s="30"/>
      <c r="AO1069" s="30"/>
      <c r="AP1069" s="30"/>
      <c r="AQ1069" s="30"/>
      <c r="AR1069" s="30"/>
      <c r="AS1069" s="30"/>
      <c r="AT1069" s="30"/>
      <c r="AU1069" s="30"/>
      <c r="AW1069" s="27">
        <f t="shared" si="199"/>
        <v>1.0690000000000001E-3</v>
      </c>
      <c r="AX1069" s="27">
        <f t="shared" si="200"/>
        <v>1.0690000000000001E-3</v>
      </c>
      <c r="AY1069" s="27">
        <f t="shared" si="201"/>
        <v>1.0690000000000001E-3</v>
      </c>
      <c r="AZ1069" s="27">
        <f t="shared" si="202"/>
        <v>1.0690000000000001E-3</v>
      </c>
    </row>
    <row r="1070" spans="1:52" ht="15" customHeight="1" x14ac:dyDescent="0.25">
      <c r="A1070" s="13" t="e">
        <f>VLOOKUP(L1070,[1]VALIDAÇÃO!$D$13:$E$350,2,0)</f>
        <v>#N/A</v>
      </c>
      <c r="B1070" s="14" t="str">
        <f t="shared" si="204"/>
        <v>368</v>
      </c>
      <c r="C1070" s="15">
        <f t="shared" si="203"/>
        <v>368</v>
      </c>
      <c r="D1070" s="16" t="str">
        <f t="shared" si="205"/>
        <v>368</v>
      </c>
      <c r="E1070" s="17">
        <f t="shared" si="196"/>
        <v>368</v>
      </c>
      <c r="F1070" s="18" t="str">
        <f t="shared" si="206"/>
        <v>368</v>
      </c>
      <c r="G1070" s="18">
        <f t="shared" si="197"/>
        <v>368</v>
      </c>
      <c r="H1070" s="19" t="str">
        <f t="shared" si="207"/>
        <v>368</v>
      </c>
      <c r="I1070" s="19">
        <f t="shared" si="198"/>
        <v>368</v>
      </c>
      <c r="J1070" s="30"/>
      <c r="K1070" s="30"/>
      <c r="L1070" s="30"/>
      <c r="M1070" s="30"/>
      <c r="N1070" s="30"/>
      <c r="O1070" s="30"/>
      <c r="P1070" s="29"/>
      <c r="Q1070" s="29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25"/>
      <c r="AK1070" s="30"/>
      <c r="AL1070" s="30"/>
      <c r="AM1070" s="30"/>
      <c r="AN1070" s="30"/>
      <c r="AO1070" s="30"/>
      <c r="AP1070" s="30"/>
      <c r="AQ1070" s="30"/>
      <c r="AR1070" s="30"/>
      <c r="AS1070" s="30"/>
      <c r="AT1070" s="30"/>
      <c r="AU1070" s="30"/>
      <c r="AW1070" s="27">
        <f t="shared" si="199"/>
        <v>1.07E-3</v>
      </c>
      <c r="AX1070" s="27">
        <f t="shared" si="200"/>
        <v>1.07E-3</v>
      </c>
      <c r="AY1070" s="27">
        <f t="shared" si="201"/>
        <v>1.07E-3</v>
      </c>
      <c r="AZ1070" s="27">
        <f t="shared" si="202"/>
        <v>1.07E-3</v>
      </c>
    </row>
    <row r="1071" spans="1:52" ht="15" customHeight="1" x14ac:dyDescent="0.25">
      <c r="A1071" s="13" t="e">
        <f>VLOOKUP(L1071,[1]VALIDAÇÃO!$D$13:$E$350,2,0)</f>
        <v>#N/A</v>
      </c>
      <c r="B1071" s="14" t="str">
        <f t="shared" si="204"/>
        <v>367</v>
      </c>
      <c r="C1071" s="15">
        <f t="shared" si="203"/>
        <v>367</v>
      </c>
      <c r="D1071" s="16" t="str">
        <f t="shared" si="205"/>
        <v>367</v>
      </c>
      <c r="E1071" s="17">
        <f t="shared" si="196"/>
        <v>367</v>
      </c>
      <c r="F1071" s="18" t="str">
        <f t="shared" si="206"/>
        <v>367</v>
      </c>
      <c r="G1071" s="18">
        <f t="shared" si="197"/>
        <v>367</v>
      </c>
      <c r="H1071" s="19" t="str">
        <f t="shared" si="207"/>
        <v>367</v>
      </c>
      <c r="I1071" s="19">
        <f t="shared" si="198"/>
        <v>367</v>
      </c>
      <c r="J1071" s="30"/>
      <c r="K1071" s="30"/>
      <c r="L1071" s="30"/>
      <c r="M1071" s="30"/>
      <c r="N1071" s="33"/>
      <c r="O1071" s="30"/>
      <c r="P1071" s="29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c r="AJ1071" s="25"/>
      <c r="AK1071" s="30"/>
      <c r="AL1071" s="30"/>
      <c r="AM1071" s="30"/>
      <c r="AN1071" s="30"/>
      <c r="AO1071" s="30"/>
      <c r="AP1071" s="30"/>
      <c r="AQ1071" s="30"/>
      <c r="AR1071" s="30"/>
      <c r="AS1071" s="30"/>
      <c r="AT1071" s="30"/>
      <c r="AU1071" s="30"/>
      <c r="AW1071" s="27">
        <f t="shared" si="199"/>
        <v>1.0709999999999999E-3</v>
      </c>
      <c r="AX1071" s="27">
        <f t="shared" si="200"/>
        <v>1.0709999999999999E-3</v>
      </c>
      <c r="AY1071" s="27">
        <f t="shared" si="201"/>
        <v>1.0709999999999999E-3</v>
      </c>
      <c r="AZ1071" s="27">
        <f t="shared" si="202"/>
        <v>1.0709999999999999E-3</v>
      </c>
    </row>
    <row r="1072" spans="1:52" ht="15" customHeight="1" x14ac:dyDescent="0.25">
      <c r="A1072" s="13" t="e">
        <f>VLOOKUP(L1072,[1]VALIDAÇÃO!$D$13:$E$350,2,0)</f>
        <v>#N/A</v>
      </c>
      <c r="B1072" s="14" t="str">
        <f t="shared" si="204"/>
        <v>366</v>
      </c>
      <c r="C1072" s="15">
        <f t="shared" si="203"/>
        <v>366</v>
      </c>
      <c r="D1072" s="16" t="str">
        <f t="shared" si="205"/>
        <v>366</v>
      </c>
      <c r="E1072" s="17">
        <f t="shared" si="196"/>
        <v>366</v>
      </c>
      <c r="F1072" s="18" t="str">
        <f t="shared" si="206"/>
        <v>366</v>
      </c>
      <c r="G1072" s="18">
        <f t="shared" si="197"/>
        <v>366</v>
      </c>
      <c r="H1072" s="19" t="str">
        <f t="shared" si="207"/>
        <v>366</v>
      </c>
      <c r="I1072" s="19">
        <f t="shared" si="198"/>
        <v>366</v>
      </c>
      <c r="J1072" s="30"/>
      <c r="K1072" s="30"/>
      <c r="L1072" s="30"/>
      <c r="M1072" s="30"/>
      <c r="N1072" s="30"/>
      <c r="O1072" s="30"/>
      <c r="P1072" s="29"/>
      <c r="Q1072" s="29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c r="AJ1072" s="25"/>
      <c r="AK1072" s="30"/>
      <c r="AL1072" s="30"/>
      <c r="AM1072" s="30"/>
      <c r="AN1072" s="30"/>
      <c r="AO1072" s="30"/>
      <c r="AP1072" s="30"/>
      <c r="AQ1072" s="30"/>
      <c r="AR1072" s="30"/>
      <c r="AS1072" s="30"/>
      <c r="AT1072" s="30"/>
      <c r="AU1072" s="30"/>
      <c r="AW1072" s="27">
        <f t="shared" si="199"/>
        <v>1.072E-3</v>
      </c>
      <c r="AX1072" s="27">
        <f t="shared" si="200"/>
        <v>1.072E-3</v>
      </c>
      <c r="AY1072" s="27">
        <f t="shared" si="201"/>
        <v>1.072E-3</v>
      </c>
      <c r="AZ1072" s="27">
        <f t="shared" si="202"/>
        <v>1.072E-3</v>
      </c>
    </row>
    <row r="1073" spans="1:52" ht="15" customHeight="1" x14ac:dyDescent="0.25">
      <c r="A1073" s="13" t="e">
        <f>VLOOKUP(L1073,[1]VALIDAÇÃO!$D$13:$E$350,2,0)</f>
        <v>#N/A</v>
      </c>
      <c r="B1073" s="14" t="str">
        <f t="shared" si="204"/>
        <v>365</v>
      </c>
      <c r="C1073" s="15">
        <f t="shared" si="203"/>
        <v>365</v>
      </c>
      <c r="D1073" s="16" t="str">
        <f t="shared" si="205"/>
        <v>365</v>
      </c>
      <c r="E1073" s="17">
        <f t="shared" si="196"/>
        <v>365</v>
      </c>
      <c r="F1073" s="18" t="str">
        <f t="shared" si="206"/>
        <v>365</v>
      </c>
      <c r="G1073" s="18">
        <f t="shared" si="197"/>
        <v>365</v>
      </c>
      <c r="H1073" s="19" t="str">
        <f t="shared" si="207"/>
        <v>365</v>
      </c>
      <c r="I1073" s="19">
        <f t="shared" si="198"/>
        <v>365</v>
      </c>
      <c r="J1073" s="30"/>
      <c r="K1073" s="30"/>
      <c r="L1073" s="30"/>
      <c r="M1073" s="30"/>
      <c r="N1073" s="33"/>
      <c r="O1073" s="30"/>
      <c r="P1073" s="29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c r="AJ1073" s="25"/>
      <c r="AK1073" s="30"/>
      <c r="AL1073" s="30"/>
      <c r="AM1073" s="30"/>
      <c r="AN1073" s="30"/>
      <c r="AO1073" s="30"/>
      <c r="AP1073" s="30"/>
      <c r="AQ1073" s="30"/>
      <c r="AR1073" s="30"/>
      <c r="AS1073" s="30"/>
      <c r="AT1073" s="30"/>
      <c r="AU1073" s="30"/>
      <c r="AW1073" s="27">
        <f t="shared" si="199"/>
        <v>1.073E-3</v>
      </c>
      <c r="AX1073" s="27">
        <f t="shared" si="200"/>
        <v>1.073E-3</v>
      </c>
      <c r="AY1073" s="27">
        <f t="shared" si="201"/>
        <v>1.073E-3</v>
      </c>
      <c r="AZ1073" s="27">
        <f t="shared" si="202"/>
        <v>1.073E-3</v>
      </c>
    </row>
    <row r="1074" spans="1:52" ht="15" customHeight="1" x14ac:dyDescent="0.25">
      <c r="A1074" s="13" t="e">
        <f>VLOOKUP(L1074,[1]VALIDAÇÃO!$D$13:$E$350,2,0)</f>
        <v>#N/A</v>
      </c>
      <c r="B1074" s="14" t="str">
        <f t="shared" si="204"/>
        <v>364</v>
      </c>
      <c r="C1074" s="15">
        <f t="shared" si="203"/>
        <v>364</v>
      </c>
      <c r="D1074" s="16" t="str">
        <f t="shared" si="205"/>
        <v>364</v>
      </c>
      <c r="E1074" s="17">
        <f t="shared" si="196"/>
        <v>364</v>
      </c>
      <c r="F1074" s="18" t="str">
        <f t="shared" si="206"/>
        <v>364</v>
      </c>
      <c r="G1074" s="18">
        <f t="shared" si="197"/>
        <v>364</v>
      </c>
      <c r="H1074" s="19" t="str">
        <f t="shared" si="207"/>
        <v>364</v>
      </c>
      <c r="I1074" s="19">
        <f t="shared" si="198"/>
        <v>364</v>
      </c>
      <c r="J1074" s="30"/>
      <c r="K1074" s="30"/>
      <c r="L1074" s="30"/>
      <c r="M1074" s="30"/>
      <c r="N1074" s="30"/>
      <c r="O1074" s="30"/>
      <c r="P1074" s="29"/>
      <c r="Q1074" s="29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c r="AJ1074" s="25"/>
      <c r="AK1074" s="30"/>
      <c r="AL1074" s="30"/>
      <c r="AM1074" s="30"/>
      <c r="AN1074" s="30"/>
      <c r="AO1074" s="30"/>
      <c r="AP1074" s="30"/>
      <c r="AQ1074" s="30"/>
      <c r="AR1074" s="30"/>
      <c r="AS1074" s="30"/>
      <c r="AT1074" s="30"/>
      <c r="AU1074" s="30"/>
      <c r="AW1074" s="27">
        <f t="shared" si="199"/>
        <v>1.0740000000000001E-3</v>
      </c>
      <c r="AX1074" s="27">
        <f t="shared" si="200"/>
        <v>1.0740000000000001E-3</v>
      </c>
      <c r="AY1074" s="27">
        <f t="shared" si="201"/>
        <v>1.0740000000000001E-3</v>
      </c>
      <c r="AZ1074" s="27">
        <f t="shared" si="202"/>
        <v>1.0740000000000001E-3</v>
      </c>
    </row>
    <row r="1075" spans="1:52" ht="15" customHeight="1" x14ac:dyDescent="0.25">
      <c r="A1075" s="13" t="e">
        <f>VLOOKUP(L1075,[1]VALIDAÇÃO!$D$13:$E$350,2,0)</f>
        <v>#N/A</v>
      </c>
      <c r="B1075" s="14" t="str">
        <f t="shared" si="204"/>
        <v>363</v>
      </c>
      <c r="C1075" s="15">
        <f t="shared" si="203"/>
        <v>363</v>
      </c>
      <c r="D1075" s="16" t="str">
        <f t="shared" si="205"/>
        <v>363</v>
      </c>
      <c r="E1075" s="17">
        <f t="shared" si="196"/>
        <v>363</v>
      </c>
      <c r="F1075" s="18" t="str">
        <f t="shared" si="206"/>
        <v>363</v>
      </c>
      <c r="G1075" s="18">
        <f t="shared" si="197"/>
        <v>363</v>
      </c>
      <c r="H1075" s="19" t="str">
        <f t="shared" si="207"/>
        <v>363</v>
      </c>
      <c r="I1075" s="19">
        <f t="shared" si="198"/>
        <v>363</v>
      </c>
      <c r="J1075" s="30"/>
      <c r="K1075" s="30"/>
      <c r="L1075" s="30"/>
      <c r="M1075" s="30"/>
      <c r="N1075" s="30"/>
      <c r="O1075" s="30"/>
      <c r="P1075" s="29"/>
      <c r="Q1075" s="29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25"/>
      <c r="AK1075" s="30"/>
      <c r="AL1075" s="30"/>
      <c r="AM1075" s="30"/>
      <c r="AN1075" s="30"/>
      <c r="AO1075" s="30"/>
      <c r="AP1075" s="30"/>
      <c r="AQ1075" s="30"/>
      <c r="AR1075" s="30"/>
      <c r="AS1075" s="30"/>
      <c r="AT1075" s="30"/>
      <c r="AU1075" s="30"/>
      <c r="AW1075" s="27">
        <f t="shared" si="199"/>
        <v>1.075E-3</v>
      </c>
      <c r="AX1075" s="27">
        <f t="shared" si="200"/>
        <v>1.075E-3</v>
      </c>
      <c r="AY1075" s="27">
        <f t="shared" si="201"/>
        <v>1.075E-3</v>
      </c>
      <c r="AZ1075" s="27">
        <f t="shared" si="202"/>
        <v>1.075E-3</v>
      </c>
    </row>
    <row r="1076" spans="1:52" ht="15" customHeight="1" x14ac:dyDescent="0.25">
      <c r="A1076" s="13" t="e">
        <f>VLOOKUP(L1076,[1]VALIDAÇÃO!$D$13:$E$350,2,0)</f>
        <v>#N/A</v>
      </c>
      <c r="B1076" s="14" t="str">
        <f t="shared" si="204"/>
        <v>362</v>
      </c>
      <c r="C1076" s="15">
        <f t="shared" si="203"/>
        <v>362</v>
      </c>
      <c r="D1076" s="16" t="str">
        <f t="shared" si="205"/>
        <v>362</v>
      </c>
      <c r="E1076" s="17">
        <f t="shared" si="196"/>
        <v>362</v>
      </c>
      <c r="F1076" s="18" t="str">
        <f t="shared" si="206"/>
        <v>362</v>
      </c>
      <c r="G1076" s="18">
        <f t="shared" si="197"/>
        <v>362</v>
      </c>
      <c r="H1076" s="19" t="str">
        <f t="shared" si="207"/>
        <v>362</v>
      </c>
      <c r="I1076" s="19">
        <f t="shared" si="198"/>
        <v>362</v>
      </c>
      <c r="J1076" s="30"/>
      <c r="K1076" s="30"/>
      <c r="L1076" s="30"/>
      <c r="M1076" s="30"/>
      <c r="N1076" s="33"/>
      <c r="O1076" s="30"/>
      <c r="P1076" s="29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c r="AJ1076" s="25"/>
      <c r="AK1076" s="30"/>
      <c r="AL1076" s="30"/>
      <c r="AM1076" s="30"/>
      <c r="AN1076" s="30"/>
      <c r="AO1076" s="30"/>
      <c r="AP1076" s="30"/>
      <c r="AQ1076" s="30"/>
      <c r="AR1076" s="30"/>
      <c r="AS1076" s="30"/>
      <c r="AT1076" s="30"/>
      <c r="AU1076" s="30"/>
      <c r="AW1076" s="27">
        <f t="shared" si="199"/>
        <v>1.0759999999999999E-3</v>
      </c>
      <c r="AX1076" s="27">
        <f t="shared" si="200"/>
        <v>1.0759999999999999E-3</v>
      </c>
      <c r="AY1076" s="27">
        <f t="shared" si="201"/>
        <v>1.0759999999999999E-3</v>
      </c>
      <c r="AZ1076" s="27">
        <f t="shared" si="202"/>
        <v>1.0759999999999999E-3</v>
      </c>
    </row>
    <row r="1077" spans="1:52" ht="15" customHeight="1" x14ac:dyDescent="0.25">
      <c r="A1077" s="13" t="e">
        <f>VLOOKUP(L1077,[1]VALIDAÇÃO!$D$13:$E$350,2,0)</f>
        <v>#N/A</v>
      </c>
      <c r="B1077" s="14" t="str">
        <f t="shared" si="204"/>
        <v>361</v>
      </c>
      <c r="C1077" s="15">
        <f t="shared" si="203"/>
        <v>361</v>
      </c>
      <c r="D1077" s="16" t="str">
        <f t="shared" si="205"/>
        <v>361</v>
      </c>
      <c r="E1077" s="17">
        <f t="shared" si="196"/>
        <v>361</v>
      </c>
      <c r="F1077" s="18" t="str">
        <f t="shared" si="206"/>
        <v>361</v>
      </c>
      <c r="G1077" s="18">
        <f t="shared" si="197"/>
        <v>361</v>
      </c>
      <c r="H1077" s="19" t="str">
        <f t="shared" si="207"/>
        <v>361</v>
      </c>
      <c r="I1077" s="19">
        <f t="shared" si="198"/>
        <v>361</v>
      </c>
      <c r="J1077" s="30"/>
      <c r="K1077" s="30"/>
      <c r="L1077" s="30"/>
      <c r="M1077" s="30"/>
      <c r="N1077" s="33"/>
      <c r="O1077" s="30"/>
      <c r="P1077" s="29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c r="AJ1077" s="25"/>
      <c r="AK1077" s="30"/>
      <c r="AL1077" s="30"/>
      <c r="AM1077" s="30"/>
      <c r="AN1077" s="30"/>
      <c r="AO1077" s="30"/>
      <c r="AP1077" s="30"/>
      <c r="AQ1077" s="30"/>
      <c r="AR1077" s="30"/>
      <c r="AS1077" s="30"/>
      <c r="AT1077" s="30"/>
      <c r="AU1077" s="30"/>
      <c r="AW1077" s="27">
        <f t="shared" si="199"/>
        <v>1.077E-3</v>
      </c>
      <c r="AX1077" s="27">
        <f t="shared" si="200"/>
        <v>1.077E-3</v>
      </c>
      <c r="AY1077" s="27">
        <f t="shared" si="201"/>
        <v>1.077E-3</v>
      </c>
      <c r="AZ1077" s="27">
        <f t="shared" si="202"/>
        <v>1.077E-3</v>
      </c>
    </row>
    <row r="1078" spans="1:52" ht="15" customHeight="1" x14ac:dyDescent="0.25">
      <c r="A1078" s="13" t="e">
        <f>VLOOKUP(L1078,[1]VALIDAÇÃO!$D$13:$E$350,2,0)</f>
        <v>#N/A</v>
      </c>
      <c r="B1078" s="14" t="str">
        <f t="shared" si="204"/>
        <v>360</v>
      </c>
      <c r="C1078" s="15">
        <f t="shared" si="203"/>
        <v>360</v>
      </c>
      <c r="D1078" s="16" t="str">
        <f t="shared" si="205"/>
        <v>360</v>
      </c>
      <c r="E1078" s="17">
        <f t="shared" si="196"/>
        <v>360</v>
      </c>
      <c r="F1078" s="18" t="str">
        <f t="shared" si="206"/>
        <v>360</v>
      </c>
      <c r="G1078" s="18">
        <f t="shared" si="197"/>
        <v>360</v>
      </c>
      <c r="H1078" s="19" t="str">
        <f t="shared" si="207"/>
        <v>360</v>
      </c>
      <c r="I1078" s="19">
        <f t="shared" si="198"/>
        <v>360</v>
      </c>
      <c r="J1078" s="30"/>
      <c r="K1078" s="30"/>
      <c r="L1078" s="30"/>
      <c r="M1078" s="30"/>
      <c r="N1078" s="33"/>
      <c r="O1078" s="30"/>
      <c r="P1078" s="29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c r="AJ1078" s="25"/>
      <c r="AK1078" s="30"/>
      <c r="AL1078" s="30"/>
      <c r="AM1078" s="30"/>
      <c r="AN1078" s="30"/>
      <c r="AO1078" s="30"/>
      <c r="AP1078" s="30"/>
      <c r="AQ1078" s="30"/>
      <c r="AR1078" s="30"/>
      <c r="AS1078" s="30"/>
      <c r="AT1078" s="30"/>
      <c r="AU1078" s="30"/>
      <c r="AW1078" s="27">
        <f t="shared" si="199"/>
        <v>1.078E-3</v>
      </c>
      <c r="AX1078" s="27">
        <f t="shared" si="200"/>
        <v>1.078E-3</v>
      </c>
      <c r="AY1078" s="27">
        <f t="shared" si="201"/>
        <v>1.078E-3</v>
      </c>
      <c r="AZ1078" s="27">
        <f t="shared" si="202"/>
        <v>1.078E-3</v>
      </c>
    </row>
    <row r="1079" spans="1:52" ht="15" customHeight="1" x14ac:dyDescent="0.25">
      <c r="A1079" s="13" t="e">
        <f>VLOOKUP(L1079,[1]VALIDAÇÃO!$D$13:$E$350,2,0)</f>
        <v>#N/A</v>
      </c>
      <c r="B1079" s="14" t="str">
        <f t="shared" si="204"/>
        <v>359</v>
      </c>
      <c r="C1079" s="15">
        <f t="shared" si="203"/>
        <v>359</v>
      </c>
      <c r="D1079" s="16" t="str">
        <f t="shared" si="205"/>
        <v>359</v>
      </c>
      <c r="E1079" s="17">
        <f t="shared" si="196"/>
        <v>359</v>
      </c>
      <c r="F1079" s="18" t="str">
        <f t="shared" si="206"/>
        <v>359</v>
      </c>
      <c r="G1079" s="18">
        <f t="shared" si="197"/>
        <v>359</v>
      </c>
      <c r="H1079" s="19" t="str">
        <f t="shared" si="207"/>
        <v>359</v>
      </c>
      <c r="I1079" s="19">
        <f t="shared" si="198"/>
        <v>359</v>
      </c>
      <c r="J1079" s="30"/>
      <c r="K1079" s="30"/>
      <c r="L1079" s="30"/>
      <c r="M1079" s="30"/>
      <c r="N1079" s="30"/>
      <c r="O1079" s="30"/>
      <c r="P1079" s="29"/>
      <c r="Q1079" s="29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25"/>
      <c r="AK1079" s="30"/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/>
      <c r="AW1079" s="27">
        <f t="shared" si="199"/>
        <v>1.0790000000000001E-3</v>
      </c>
      <c r="AX1079" s="27">
        <f t="shared" si="200"/>
        <v>1.0790000000000001E-3</v>
      </c>
      <c r="AY1079" s="27">
        <f t="shared" si="201"/>
        <v>1.0790000000000001E-3</v>
      </c>
      <c r="AZ1079" s="27">
        <f t="shared" si="202"/>
        <v>1.0790000000000001E-3</v>
      </c>
    </row>
    <row r="1080" spans="1:52" ht="15" customHeight="1" x14ac:dyDescent="0.25">
      <c r="A1080" s="13" t="e">
        <f>VLOOKUP(L1080,[1]VALIDAÇÃO!$D$13:$E$350,2,0)</f>
        <v>#N/A</v>
      </c>
      <c r="B1080" s="14" t="str">
        <f t="shared" si="204"/>
        <v>358</v>
      </c>
      <c r="C1080" s="15">
        <f t="shared" si="203"/>
        <v>358</v>
      </c>
      <c r="D1080" s="16" t="str">
        <f t="shared" si="205"/>
        <v>358</v>
      </c>
      <c r="E1080" s="17">
        <f t="shared" si="196"/>
        <v>358</v>
      </c>
      <c r="F1080" s="18" t="str">
        <f t="shared" si="206"/>
        <v>358</v>
      </c>
      <c r="G1080" s="18">
        <f t="shared" si="197"/>
        <v>358</v>
      </c>
      <c r="H1080" s="19" t="str">
        <f t="shared" si="207"/>
        <v>358</v>
      </c>
      <c r="I1080" s="19">
        <f t="shared" si="198"/>
        <v>358</v>
      </c>
      <c r="J1080" s="30"/>
      <c r="K1080" s="30"/>
      <c r="L1080" s="30"/>
      <c r="M1080" s="30"/>
      <c r="N1080" s="33"/>
      <c r="O1080" s="30"/>
      <c r="P1080" s="29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c r="AJ1080" s="25"/>
      <c r="AK1080" s="30"/>
      <c r="AL1080" s="30"/>
      <c r="AM1080" s="30"/>
      <c r="AN1080" s="30"/>
      <c r="AO1080" s="30"/>
      <c r="AP1080" s="30"/>
      <c r="AQ1080" s="30"/>
      <c r="AR1080" s="30"/>
      <c r="AS1080" s="30"/>
      <c r="AT1080" s="30"/>
      <c r="AU1080" s="30"/>
      <c r="AW1080" s="27">
        <f t="shared" si="199"/>
        <v>1.08E-3</v>
      </c>
      <c r="AX1080" s="27">
        <f t="shared" si="200"/>
        <v>1.08E-3</v>
      </c>
      <c r="AY1080" s="27">
        <f t="shared" si="201"/>
        <v>1.08E-3</v>
      </c>
      <c r="AZ1080" s="27">
        <f t="shared" si="202"/>
        <v>1.08E-3</v>
      </c>
    </row>
    <row r="1081" spans="1:52" ht="15" customHeight="1" x14ac:dyDescent="0.25">
      <c r="A1081" s="13" t="e">
        <f>VLOOKUP(L1081,[1]VALIDAÇÃO!$D$13:$E$350,2,0)</f>
        <v>#N/A</v>
      </c>
      <c r="B1081" s="14" t="str">
        <f t="shared" si="204"/>
        <v>357</v>
      </c>
      <c r="C1081" s="15">
        <f t="shared" si="203"/>
        <v>357</v>
      </c>
      <c r="D1081" s="16" t="str">
        <f t="shared" si="205"/>
        <v>357</v>
      </c>
      <c r="E1081" s="17">
        <f t="shared" si="196"/>
        <v>357</v>
      </c>
      <c r="F1081" s="18" t="str">
        <f t="shared" si="206"/>
        <v>357</v>
      </c>
      <c r="G1081" s="18">
        <f t="shared" si="197"/>
        <v>357</v>
      </c>
      <c r="H1081" s="19" t="str">
        <f t="shared" si="207"/>
        <v>357</v>
      </c>
      <c r="I1081" s="19">
        <f t="shared" si="198"/>
        <v>357</v>
      </c>
      <c r="J1081" s="30"/>
      <c r="K1081" s="30"/>
      <c r="L1081" s="30"/>
      <c r="M1081" s="30"/>
      <c r="N1081" s="33"/>
      <c r="O1081" s="30"/>
      <c r="P1081" s="29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c r="AJ1081" s="25"/>
      <c r="AK1081" s="30"/>
      <c r="AL1081" s="30"/>
      <c r="AM1081" s="30"/>
      <c r="AN1081" s="30"/>
      <c r="AO1081" s="30"/>
      <c r="AP1081" s="30"/>
      <c r="AQ1081" s="30"/>
      <c r="AR1081" s="30"/>
      <c r="AS1081" s="30"/>
      <c r="AT1081" s="30"/>
      <c r="AU1081" s="30"/>
      <c r="AW1081" s="27">
        <f t="shared" si="199"/>
        <v>1.0809999999999999E-3</v>
      </c>
      <c r="AX1081" s="27">
        <f t="shared" si="200"/>
        <v>1.0809999999999999E-3</v>
      </c>
      <c r="AY1081" s="27">
        <f t="shared" si="201"/>
        <v>1.0809999999999999E-3</v>
      </c>
      <c r="AZ1081" s="27">
        <f t="shared" si="202"/>
        <v>1.0809999999999999E-3</v>
      </c>
    </row>
    <row r="1082" spans="1:52" ht="15" customHeight="1" x14ac:dyDescent="0.25">
      <c r="A1082" s="13" t="e">
        <f>VLOOKUP(L1082,[1]VALIDAÇÃO!$D$13:$E$350,2,0)</f>
        <v>#N/A</v>
      </c>
      <c r="B1082" s="14" t="str">
        <f t="shared" si="204"/>
        <v>356</v>
      </c>
      <c r="C1082" s="15">
        <f t="shared" si="203"/>
        <v>356</v>
      </c>
      <c r="D1082" s="16" t="str">
        <f t="shared" si="205"/>
        <v>356</v>
      </c>
      <c r="E1082" s="17">
        <f t="shared" si="196"/>
        <v>356</v>
      </c>
      <c r="F1082" s="18" t="str">
        <f t="shared" si="206"/>
        <v>356</v>
      </c>
      <c r="G1082" s="18">
        <f t="shared" si="197"/>
        <v>356</v>
      </c>
      <c r="H1082" s="19" t="str">
        <f t="shared" si="207"/>
        <v>356</v>
      </c>
      <c r="I1082" s="19">
        <f t="shared" si="198"/>
        <v>356</v>
      </c>
      <c r="J1082" s="30"/>
      <c r="K1082" s="30"/>
      <c r="L1082" s="30"/>
      <c r="M1082" s="30"/>
      <c r="N1082" s="33"/>
      <c r="O1082" s="30"/>
      <c r="P1082" s="29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c r="AJ1082" s="25"/>
      <c r="AK1082" s="30"/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/>
      <c r="AW1082" s="27">
        <f t="shared" si="199"/>
        <v>1.0820000000000001E-3</v>
      </c>
      <c r="AX1082" s="27">
        <f t="shared" si="200"/>
        <v>1.0820000000000001E-3</v>
      </c>
      <c r="AY1082" s="27">
        <f t="shared" si="201"/>
        <v>1.0820000000000001E-3</v>
      </c>
      <c r="AZ1082" s="27">
        <f t="shared" si="202"/>
        <v>1.0820000000000001E-3</v>
      </c>
    </row>
    <row r="1083" spans="1:52" ht="15" customHeight="1" x14ac:dyDescent="0.25">
      <c r="A1083" s="13" t="e">
        <f>VLOOKUP(L1083,[1]VALIDAÇÃO!$D$13:$E$350,2,0)</f>
        <v>#N/A</v>
      </c>
      <c r="B1083" s="14" t="str">
        <f t="shared" si="204"/>
        <v>355</v>
      </c>
      <c r="C1083" s="15">
        <f t="shared" si="203"/>
        <v>355</v>
      </c>
      <c r="D1083" s="16" t="str">
        <f t="shared" si="205"/>
        <v>355</v>
      </c>
      <c r="E1083" s="17">
        <f t="shared" si="196"/>
        <v>355</v>
      </c>
      <c r="F1083" s="18" t="str">
        <f t="shared" si="206"/>
        <v>355</v>
      </c>
      <c r="G1083" s="18">
        <f t="shared" si="197"/>
        <v>355</v>
      </c>
      <c r="H1083" s="19" t="str">
        <f t="shared" si="207"/>
        <v>355</v>
      </c>
      <c r="I1083" s="19">
        <f t="shared" si="198"/>
        <v>355</v>
      </c>
      <c r="J1083" s="30"/>
      <c r="K1083" s="30"/>
      <c r="L1083" s="30"/>
      <c r="M1083" s="30"/>
      <c r="N1083" s="30"/>
      <c r="O1083" s="30"/>
      <c r="P1083" s="29"/>
      <c r="Q1083" s="29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c r="AJ1083" s="25"/>
      <c r="AK1083" s="30"/>
      <c r="AL1083" s="30"/>
      <c r="AM1083" s="30"/>
      <c r="AN1083" s="30"/>
      <c r="AO1083" s="30"/>
      <c r="AP1083" s="30"/>
      <c r="AQ1083" s="30"/>
      <c r="AR1083" s="30"/>
      <c r="AS1083" s="30"/>
      <c r="AT1083" s="30"/>
      <c r="AU1083" s="30"/>
      <c r="AW1083" s="27">
        <f t="shared" si="199"/>
        <v>1.083E-3</v>
      </c>
      <c r="AX1083" s="27">
        <f t="shared" si="200"/>
        <v>1.083E-3</v>
      </c>
      <c r="AY1083" s="27">
        <f t="shared" si="201"/>
        <v>1.083E-3</v>
      </c>
      <c r="AZ1083" s="27">
        <f t="shared" si="202"/>
        <v>1.083E-3</v>
      </c>
    </row>
    <row r="1084" spans="1:52" ht="15" customHeight="1" x14ac:dyDescent="0.25">
      <c r="A1084" s="13" t="e">
        <f>VLOOKUP(L1084,[1]VALIDAÇÃO!$D$13:$E$350,2,0)</f>
        <v>#N/A</v>
      </c>
      <c r="B1084" s="14" t="str">
        <f t="shared" si="204"/>
        <v>354</v>
      </c>
      <c r="C1084" s="15">
        <f t="shared" si="203"/>
        <v>354</v>
      </c>
      <c r="D1084" s="16" t="str">
        <f t="shared" si="205"/>
        <v>354</v>
      </c>
      <c r="E1084" s="17">
        <f t="shared" si="196"/>
        <v>354</v>
      </c>
      <c r="F1084" s="18" t="str">
        <f t="shared" si="206"/>
        <v>354</v>
      </c>
      <c r="G1084" s="18">
        <f t="shared" si="197"/>
        <v>354</v>
      </c>
      <c r="H1084" s="19" t="str">
        <f t="shared" si="207"/>
        <v>354</v>
      </c>
      <c r="I1084" s="19">
        <f t="shared" si="198"/>
        <v>354</v>
      </c>
      <c r="J1084" s="30"/>
      <c r="K1084" s="30"/>
      <c r="L1084" s="30"/>
      <c r="M1084" s="30"/>
      <c r="N1084" s="33"/>
      <c r="O1084" s="30"/>
      <c r="P1084" s="29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c r="AJ1084" s="25"/>
      <c r="AK1084" s="30"/>
      <c r="AL1084" s="30"/>
      <c r="AM1084" s="30"/>
      <c r="AN1084" s="30"/>
      <c r="AO1084" s="30"/>
      <c r="AP1084" s="30"/>
      <c r="AQ1084" s="30"/>
      <c r="AR1084" s="30"/>
      <c r="AS1084" s="30"/>
      <c r="AT1084" s="30"/>
      <c r="AU1084" s="30"/>
      <c r="AW1084" s="27">
        <f t="shared" si="199"/>
        <v>1.0839999999999999E-3</v>
      </c>
      <c r="AX1084" s="27">
        <f t="shared" si="200"/>
        <v>1.0839999999999999E-3</v>
      </c>
      <c r="AY1084" s="27">
        <f t="shared" si="201"/>
        <v>1.0839999999999999E-3</v>
      </c>
      <c r="AZ1084" s="27">
        <f t="shared" si="202"/>
        <v>1.0839999999999999E-3</v>
      </c>
    </row>
    <row r="1085" spans="1:52" ht="15" customHeight="1" x14ac:dyDescent="0.25">
      <c r="A1085" s="13" t="e">
        <f>VLOOKUP(L1085,[1]VALIDAÇÃO!$D$13:$E$350,2,0)</f>
        <v>#N/A</v>
      </c>
      <c r="B1085" s="14" t="str">
        <f t="shared" si="204"/>
        <v>353</v>
      </c>
      <c r="C1085" s="15">
        <f t="shared" si="203"/>
        <v>353</v>
      </c>
      <c r="D1085" s="16" t="str">
        <f t="shared" si="205"/>
        <v>353</v>
      </c>
      <c r="E1085" s="17">
        <f t="shared" si="196"/>
        <v>353</v>
      </c>
      <c r="F1085" s="18" t="str">
        <f t="shared" si="206"/>
        <v>353</v>
      </c>
      <c r="G1085" s="18">
        <f t="shared" si="197"/>
        <v>353</v>
      </c>
      <c r="H1085" s="19" t="str">
        <f t="shared" si="207"/>
        <v>353</v>
      </c>
      <c r="I1085" s="19">
        <f t="shared" si="198"/>
        <v>353</v>
      </c>
      <c r="J1085" s="30"/>
      <c r="K1085" s="30"/>
      <c r="L1085" s="30"/>
      <c r="M1085" s="30"/>
      <c r="N1085" s="33"/>
      <c r="O1085" s="30"/>
      <c r="P1085" s="29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25"/>
      <c r="AK1085" s="30"/>
      <c r="AL1085" s="30"/>
      <c r="AM1085" s="30"/>
      <c r="AN1085" s="30"/>
      <c r="AO1085" s="30"/>
      <c r="AP1085" s="30"/>
      <c r="AQ1085" s="30"/>
      <c r="AR1085" s="30"/>
      <c r="AS1085" s="30"/>
      <c r="AT1085" s="30"/>
      <c r="AU1085" s="30"/>
      <c r="AW1085" s="27">
        <f t="shared" si="199"/>
        <v>1.085E-3</v>
      </c>
      <c r="AX1085" s="27">
        <f t="shared" si="200"/>
        <v>1.085E-3</v>
      </c>
      <c r="AY1085" s="27">
        <f t="shared" si="201"/>
        <v>1.085E-3</v>
      </c>
      <c r="AZ1085" s="27">
        <f t="shared" si="202"/>
        <v>1.085E-3</v>
      </c>
    </row>
    <row r="1086" spans="1:52" ht="15" customHeight="1" x14ac:dyDescent="0.25">
      <c r="A1086" s="13" t="e">
        <f>VLOOKUP(L1086,[1]VALIDAÇÃO!$D$13:$E$350,2,0)</f>
        <v>#N/A</v>
      </c>
      <c r="B1086" s="14" t="str">
        <f t="shared" si="204"/>
        <v>352</v>
      </c>
      <c r="C1086" s="15">
        <f t="shared" si="203"/>
        <v>352</v>
      </c>
      <c r="D1086" s="16" t="str">
        <f t="shared" si="205"/>
        <v>352</v>
      </c>
      <c r="E1086" s="17">
        <f t="shared" si="196"/>
        <v>352</v>
      </c>
      <c r="F1086" s="18" t="str">
        <f t="shared" si="206"/>
        <v>352</v>
      </c>
      <c r="G1086" s="18">
        <f t="shared" si="197"/>
        <v>352</v>
      </c>
      <c r="H1086" s="19" t="str">
        <f t="shared" si="207"/>
        <v>352</v>
      </c>
      <c r="I1086" s="19">
        <f t="shared" si="198"/>
        <v>352</v>
      </c>
      <c r="J1086" s="30"/>
      <c r="K1086" s="30"/>
      <c r="L1086" s="30"/>
      <c r="M1086" s="30"/>
      <c r="N1086" s="33"/>
      <c r="O1086" s="30"/>
      <c r="P1086" s="29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c r="AJ1086" s="25"/>
      <c r="AK1086" s="30"/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/>
      <c r="AW1086" s="27">
        <f t="shared" si="199"/>
        <v>1.0859999999999999E-3</v>
      </c>
      <c r="AX1086" s="27">
        <f t="shared" si="200"/>
        <v>1.0859999999999999E-3</v>
      </c>
      <c r="AY1086" s="27">
        <f t="shared" si="201"/>
        <v>1.0859999999999999E-3</v>
      </c>
      <c r="AZ1086" s="27">
        <f t="shared" si="202"/>
        <v>1.0859999999999999E-3</v>
      </c>
    </row>
    <row r="1087" spans="1:52" ht="15" customHeight="1" x14ac:dyDescent="0.25">
      <c r="A1087" s="13" t="e">
        <f>VLOOKUP(L1087,[1]VALIDAÇÃO!$D$13:$E$350,2,0)</f>
        <v>#N/A</v>
      </c>
      <c r="B1087" s="14" t="str">
        <f t="shared" si="204"/>
        <v>351</v>
      </c>
      <c r="C1087" s="15">
        <f t="shared" si="203"/>
        <v>351</v>
      </c>
      <c r="D1087" s="16" t="str">
        <f t="shared" si="205"/>
        <v>351</v>
      </c>
      <c r="E1087" s="17">
        <f t="shared" si="196"/>
        <v>351</v>
      </c>
      <c r="F1087" s="18" t="str">
        <f t="shared" si="206"/>
        <v>351</v>
      </c>
      <c r="G1087" s="18">
        <f t="shared" si="197"/>
        <v>351</v>
      </c>
      <c r="H1087" s="19" t="str">
        <f t="shared" si="207"/>
        <v>351</v>
      </c>
      <c r="I1087" s="19">
        <f t="shared" si="198"/>
        <v>351</v>
      </c>
      <c r="J1087" s="30"/>
      <c r="K1087" s="30"/>
      <c r="L1087" s="30"/>
      <c r="M1087" s="30"/>
      <c r="N1087" s="33"/>
      <c r="O1087" s="30"/>
      <c r="P1087" s="29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c r="AJ1087" s="25"/>
      <c r="AK1087" s="30"/>
      <c r="AL1087" s="30"/>
      <c r="AM1087" s="30"/>
      <c r="AN1087" s="30"/>
      <c r="AO1087" s="30"/>
      <c r="AP1087" s="30"/>
      <c r="AQ1087" s="30"/>
      <c r="AR1087" s="30"/>
      <c r="AS1087" s="30"/>
      <c r="AT1087" s="30"/>
      <c r="AU1087" s="30"/>
      <c r="AW1087" s="27">
        <f t="shared" si="199"/>
        <v>1.0870000000000001E-3</v>
      </c>
      <c r="AX1087" s="27">
        <f t="shared" si="200"/>
        <v>1.0870000000000001E-3</v>
      </c>
      <c r="AY1087" s="27">
        <f t="shared" si="201"/>
        <v>1.0870000000000001E-3</v>
      </c>
      <c r="AZ1087" s="27">
        <f t="shared" si="202"/>
        <v>1.0870000000000001E-3</v>
      </c>
    </row>
    <row r="1088" spans="1:52" ht="15" customHeight="1" x14ac:dyDescent="0.25">
      <c r="A1088" s="13" t="e">
        <f>VLOOKUP(L1088,[1]VALIDAÇÃO!$D$13:$E$350,2,0)</f>
        <v>#N/A</v>
      </c>
      <c r="B1088" s="14" t="str">
        <f t="shared" si="204"/>
        <v>350</v>
      </c>
      <c r="C1088" s="15">
        <f t="shared" si="203"/>
        <v>350</v>
      </c>
      <c r="D1088" s="16" t="str">
        <f t="shared" si="205"/>
        <v>350</v>
      </c>
      <c r="E1088" s="17">
        <f t="shared" si="196"/>
        <v>350</v>
      </c>
      <c r="F1088" s="18" t="str">
        <f t="shared" si="206"/>
        <v>350</v>
      </c>
      <c r="G1088" s="18">
        <f t="shared" si="197"/>
        <v>350</v>
      </c>
      <c r="H1088" s="19" t="str">
        <f t="shared" si="207"/>
        <v>350</v>
      </c>
      <c r="I1088" s="19">
        <f t="shared" si="198"/>
        <v>350</v>
      </c>
      <c r="J1088" s="30"/>
      <c r="K1088" s="30"/>
      <c r="L1088" s="30"/>
      <c r="M1088" s="30"/>
      <c r="N1088" s="30"/>
      <c r="O1088" s="30"/>
      <c r="P1088" s="29"/>
      <c r="Q1088" s="29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25"/>
      <c r="AK1088" s="30"/>
      <c r="AL1088" s="30"/>
      <c r="AM1088" s="30"/>
      <c r="AN1088" s="30"/>
      <c r="AO1088" s="30"/>
      <c r="AP1088" s="30"/>
      <c r="AQ1088" s="30"/>
      <c r="AR1088" s="30"/>
      <c r="AS1088" s="30"/>
      <c r="AT1088" s="30"/>
      <c r="AU1088" s="30"/>
      <c r="AW1088" s="27">
        <f t="shared" si="199"/>
        <v>1.088E-3</v>
      </c>
      <c r="AX1088" s="27">
        <f t="shared" si="200"/>
        <v>1.088E-3</v>
      </c>
      <c r="AY1088" s="27">
        <f t="shared" si="201"/>
        <v>1.088E-3</v>
      </c>
      <c r="AZ1088" s="27">
        <f t="shared" si="202"/>
        <v>1.088E-3</v>
      </c>
    </row>
    <row r="1089" spans="1:52" ht="15" customHeight="1" x14ac:dyDescent="0.25">
      <c r="A1089" s="13" t="e">
        <f>VLOOKUP(L1089,[1]VALIDAÇÃO!$D$13:$E$350,2,0)</f>
        <v>#N/A</v>
      </c>
      <c r="B1089" s="14" t="str">
        <f t="shared" si="204"/>
        <v>349</v>
      </c>
      <c r="C1089" s="15">
        <f t="shared" si="203"/>
        <v>349</v>
      </c>
      <c r="D1089" s="16" t="str">
        <f t="shared" si="205"/>
        <v>349</v>
      </c>
      <c r="E1089" s="17">
        <f t="shared" si="196"/>
        <v>349</v>
      </c>
      <c r="F1089" s="18" t="str">
        <f t="shared" si="206"/>
        <v>349</v>
      </c>
      <c r="G1089" s="18">
        <f t="shared" si="197"/>
        <v>349</v>
      </c>
      <c r="H1089" s="19" t="str">
        <f t="shared" si="207"/>
        <v>349</v>
      </c>
      <c r="I1089" s="19">
        <f t="shared" si="198"/>
        <v>349</v>
      </c>
      <c r="J1089" s="30"/>
      <c r="K1089" s="30"/>
      <c r="L1089" s="30"/>
      <c r="M1089" s="30"/>
      <c r="N1089" s="33"/>
      <c r="O1089" s="30"/>
      <c r="P1089" s="29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c r="AJ1089" s="25"/>
      <c r="AK1089" s="30"/>
      <c r="AL1089" s="30"/>
      <c r="AM1089" s="30"/>
      <c r="AN1089" s="30"/>
      <c r="AO1089" s="30"/>
      <c r="AP1089" s="30"/>
      <c r="AQ1089" s="30"/>
      <c r="AR1089" s="30"/>
      <c r="AS1089" s="30"/>
      <c r="AT1089" s="30"/>
      <c r="AU1089" s="30"/>
      <c r="AW1089" s="27">
        <f t="shared" si="199"/>
        <v>1.0889999999999999E-3</v>
      </c>
      <c r="AX1089" s="27">
        <f t="shared" si="200"/>
        <v>1.0889999999999999E-3</v>
      </c>
      <c r="AY1089" s="27">
        <f t="shared" si="201"/>
        <v>1.0889999999999999E-3</v>
      </c>
      <c r="AZ1089" s="27">
        <f t="shared" si="202"/>
        <v>1.0889999999999999E-3</v>
      </c>
    </row>
    <row r="1090" spans="1:52" ht="15" customHeight="1" x14ac:dyDescent="0.25">
      <c r="A1090" s="13" t="e">
        <f>VLOOKUP(L1090,[1]VALIDAÇÃO!$D$13:$E$350,2,0)</f>
        <v>#N/A</v>
      </c>
      <c r="B1090" s="14" t="str">
        <f t="shared" si="204"/>
        <v>348</v>
      </c>
      <c r="C1090" s="15">
        <f t="shared" si="203"/>
        <v>348</v>
      </c>
      <c r="D1090" s="16" t="str">
        <f t="shared" si="205"/>
        <v>348</v>
      </c>
      <c r="E1090" s="17">
        <f t="shared" ref="E1090:E1153" si="208">1+SUMPRODUCT(($J$2:$J$1437=$J1090)*(AX$2:AX$1437&gt;AX1090))</f>
        <v>348</v>
      </c>
      <c r="F1090" s="18" t="str">
        <f t="shared" si="206"/>
        <v>348</v>
      </c>
      <c r="G1090" s="18">
        <f t="shared" ref="G1090:G1153" si="209">1+SUMPRODUCT(($J$2:$J$1437=$J1090)*(AY$2:AY$1437&gt;AY1090))</f>
        <v>348</v>
      </c>
      <c r="H1090" s="19" t="str">
        <f t="shared" si="207"/>
        <v>348</v>
      </c>
      <c r="I1090" s="19">
        <f t="shared" ref="I1090:I1153" si="210">1+SUMPRODUCT(($J$2:$J$1437=$J1090)*(AZ$2:AZ$1437&gt;AZ1090))</f>
        <v>348</v>
      </c>
      <c r="J1090" s="30"/>
      <c r="K1090" s="30"/>
      <c r="L1090" s="30"/>
      <c r="M1090" s="30"/>
      <c r="N1090" s="30"/>
      <c r="O1090" s="30"/>
      <c r="P1090" s="29"/>
      <c r="Q1090" s="29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25"/>
      <c r="AK1090" s="30"/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/>
      <c r="AW1090" s="27">
        <f t="shared" ref="AW1090:AW1153" si="211">AJ1090+ROW(C1090)/1000000</f>
        <v>1.09E-3</v>
      </c>
      <c r="AX1090" s="27">
        <f t="shared" ref="AX1090:AX1153" si="212">AD1090+ROW(C1090)/1000000</f>
        <v>1.09E-3</v>
      </c>
      <c r="AY1090" s="27">
        <f t="shared" ref="AY1090:AY1153" si="213">AB1090+ROW(A1090)/1000000</f>
        <v>1.09E-3</v>
      </c>
      <c r="AZ1090" s="27">
        <f t="shared" ref="AZ1090:AZ1153" si="214">AP1090+ROW(A1090)/1000000</f>
        <v>1.09E-3</v>
      </c>
    </row>
    <row r="1091" spans="1:52" ht="15" customHeight="1" x14ac:dyDescent="0.25">
      <c r="A1091" s="13" t="e">
        <f>VLOOKUP(L1091,[1]VALIDAÇÃO!$D$13:$E$350,2,0)</f>
        <v>#N/A</v>
      </c>
      <c r="B1091" s="14" t="str">
        <f t="shared" si="204"/>
        <v>347</v>
      </c>
      <c r="C1091" s="15">
        <f t="shared" ref="C1091:C1154" si="215">1+SUMPRODUCT(($J$2:$J$1437=J1091)*($AW$2:$AW$1437&gt;AW1091))</f>
        <v>347</v>
      </c>
      <c r="D1091" s="16" t="str">
        <f t="shared" si="205"/>
        <v>347</v>
      </c>
      <c r="E1091" s="17">
        <f t="shared" si="208"/>
        <v>347</v>
      </c>
      <c r="F1091" s="18" t="str">
        <f t="shared" si="206"/>
        <v>347</v>
      </c>
      <c r="G1091" s="18">
        <f t="shared" si="209"/>
        <v>347</v>
      </c>
      <c r="H1091" s="19" t="str">
        <f t="shared" si="207"/>
        <v>347</v>
      </c>
      <c r="I1091" s="19">
        <f t="shared" si="210"/>
        <v>347</v>
      </c>
      <c r="J1091" s="30"/>
      <c r="K1091" s="30"/>
      <c r="L1091" s="30"/>
      <c r="M1091" s="30"/>
      <c r="N1091" s="33"/>
      <c r="O1091" s="30"/>
      <c r="P1091" s="29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c r="AJ1091" s="25"/>
      <c r="AK1091" s="30"/>
      <c r="AL1091" s="30"/>
      <c r="AM1091" s="30"/>
      <c r="AN1091" s="30"/>
      <c r="AO1091" s="30"/>
      <c r="AP1091" s="30"/>
      <c r="AQ1091" s="30"/>
      <c r="AR1091" s="30"/>
      <c r="AS1091" s="30"/>
      <c r="AT1091" s="30"/>
      <c r="AU1091" s="30"/>
      <c r="AW1091" s="27">
        <f t="shared" si="211"/>
        <v>1.091E-3</v>
      </c>
      <c r="AX1091" s="27">
        <f t="shared" si="212"/>
        <v>1.091E-3</v>
      </c>
      <c r="AY1091" s="27">
        <f t="shared" si="213"/>
        <v>1.091E-3</v>
      </c>
      <c r="AZ1091" s="27">
        <f t="shared" si="214"/>
        <v>1.091E-3</v>
      </c>
    </row>
    <row r="1092" spans="1:52" ht="15" customHeight="1" x14ac:dyDescent="0.25">
      <c r="A1092" s="13" t="e">
        <f>VLOOKUP(L1092,[1]VALIDAÇÃO!$D$13:$E$350,2,0)</f>
        <v>#N/A</v>
      </c>
      <c r="B1092" s="14" t="str">
        <f t="shared" si="204"/>
        <v>346</v>
      </c>
      <c r="C1092" s="15">
        <f t="shared" si="215"/>
        <v>346</v>
      </c>
      <c r="D1092" s="16" t="str">
        <f t="shared" si="205"/>
        <v>346</v>
      </c>
      <c r="E1092" s="17">
        <f t="shared" si="208"/>
        <v>346</v>
      </c>
      <c r="F1092" s="18" t="str">
        <f t="shared" si="206"/>
        <v>346</v>
      </c>
      <c r="G1092" s="18">
        <f t="shared" si="209"/>
        <v>346</v>
      </c>
      <c r="H1092" s="19" t="str">
        <f t="shared" si="207"/>
        <v>346</v>
      </c>
      <c r="I1092" s="19">
        <f t="shared" si="210"/>
        <v>346</v>
      </c>
      <c r="J1092" s="30"/>
      <c r="K1092" s="30"/>
      <c r="L1092" s="30"/>
      <c r="M1092" s="30"/>
      <c r="N1092" s="33"/>
      <c r="O1092" s="30"/>
      <c r="P1092" s="29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c r="AJ1092" s="25"/>
      <c r="AK1092" s="30"/>
      <c r="AL1092" s="30"/>
      <c r="AM1092" s="30"/>
      <c r="AN1092" s="30"/>
      <c r="AO1092" s="30"/>
      <c r="AP1092" s="30"/>
      <c r="AQ1092" s="30"/>
      <c r="AR1092" s="30"/>
      <c r="AS1092" s="30"/>
      <c r="AT1092" s="30"/>
      <c r="AU1092" s="30"/>
      <c r="AW1092" s="27">
        <f t="shared" si="211"/>
        <v>1.0920000000000001E-3</v>
      </c>
      <c r="AX1092" s="27">
        <f t="shared" si="212"/>
        <v>1.0920000000000001E-3</v>
      </c>
      <c r="AY1092" s="27">
        <f t="shared" si="213"/>
        <v>1.0920000000000001E-3</v>
      </c>
      <c r="AZ1092" s="27">
        <f t="shared" si="214"/>
        <v>1.0920000000000001E-3</v>
      </c>
    </row>
    <row r="1093" spans="1:52" ht="15" customHeight="1" x14ac:dyDescent="0.25">
      <c r="A1093" s="13" t="e">
        <f>VLOOKUP(L1093,[1]VALIDAÇÃO!$D$13:$E$350,2,0)</f>
        <v>#N/A</v>
      </c>
      <c r="B1093" s="14" t="str">
        <f t="shared" si="204"/>
        <v>345</v>
      </c>
      <c r="C1093" s="15">
        <f t="shared" si="215"/>
        <v>345</v>
      </c>
      <c r="D1093" s="16" t="str">
        <f t="shared" si="205"/>
        <v>345</v>
      </c>
      <c r="E1093" s="17">
        <f t="shared" si="208"/>
        <v>345</v>
      </c>
      <c r="F1093" s="18" t="str">
        <f t="shared" si="206"/>
        <v>345</v>
      </c>
      <c r="G1093" s="18">
        <f t="shared" si="209"/>
        <v>345</v>
      </c>
      <c r="H1093" s="19" t="str">
        <f t="shared" si="207"/>
        <v>345</v>
      </c>
      <c r="I1093" s="19">
        <f t="shared" si="210"/>
        <v>345</v>
      </c>
      <c r="J1093" s="30"/>
      <c r="K1093" s="30"/>
      <c r="L1093" s="30"/>
      <c r="M1093" s="30"/>
      <c r="N1093" s="30"/>
      <c r="O1093" s="30"/>
      <c r="P1093" s="29"/>
      <c r="Q1093" s="29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c r="AJ1093" s="25"/>
      <c r="AK1093" s="30"/>
      <c r="AL1093" s="30"/>
      <c r="AM1093" s="30"/>
      <c r="AN1093" s="30"/>
      <c r="AO1093" s="30"/>
      <c r="AP1093" s="30"/>
      <c r="AQ1093" s="30"/>
      <c r="AR1093" s="30"/>
      <c r="AS1093" s="30"/>
      <c r="AT1093" s="30"/>
      <c r="AU1093" s="30"/>
      <c r="AW1093" s="27">
        <f t="shared" si="211"/>
        <v>1.093E-3</v>
      </c>
      <c r="AX1093" s="27">
        <f t="shared" si="212"/>
        <v>1.093E-3</v>
      </c>
      <c r="AY1093" s="27">
        <f t="shared" si="213"/>
        <v>1.093E-3</v>
      </c>
      <c r="AZ1093" s="27">
        <f t="shared" si="214"/>
        <v>1.093E-3</v>
      </c>
    </row>
    <row r="1094" spans="1:52" ht="15" customHeight="1" x14ac:dyDescent="0.25">
      <c r="A1094" s="13" t="e">
        <f>VLOOKUP(L1094,[1]VALIDAÇÃO!$D$13:$E$350,2,0)</f>
        <v>#N/A</v>
      </c>
      <c r="B1094" s="14" t="str">
        <f t="shared" si="204"/>
        <v>344</v>
      </c>
      <c r="C1094" s="15">
        <f t="shared" si="215"/>
        <v>344</v>
      </c>
      <c r="D1094" s="16" t="str">
        <f t="shared" si="205"/>
        <v>344</v>
      </c>
      <c r="E1094" s="17">
        <f t="shared" si="208"/>
        <v>344</v>
      </c>
      <c r="F1094" s="18" t="str">
        <f t="shared" si="206"/>
        <v>344</v>
      </c>
      <c r="G1094" s="18">
        <f t="shared" si="209"/>
        <v>344</v>
      </c>
      <c r="H1094" s="19" t="str">
        <f t="shared" si="207"/>
        <v>344</v>
      </c>
      <c r="I1094" s="19">
        <f t="shared" si="210"/>
        <v>344</v>
      </c>
      <c r="J1094" s="30"/>
      <c r="K1094" s="30"/>
      <c r="L1094" s="30"/>
      <c r="M1094" s="30"/>
      <c r="N1094" s="30"/>
      <c r="O1094" s="30"/>
      <c r="P1094" s="29"/>
      <c r="Q1094" s="29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25"/>
      <c r="AK1094" s="30"/>
      <c r="AL1094" s="30"/>
      <c r="AM1094" s="30"/>
      <c r="AN1094" s="30"/>
      <c r="AO1094" s="30"/>
      <c r="AP1094" s="30"/>
      <c r="AQ1094" s="30"/>
      <c r="AR1094" s="30"/>
      <c r="AS1094" s="30"/>
      <c r="AT1094" s="30"/>
      <c r="AU1094" s="30"/>
      <c r="AW1094" s="27">
        <f t="shared" si="211"/>
        <v>1.0939999999999999E-3</v>
      </c>
      <c r="AX1094" s="27">
        <f t="shared" si="212"/>
        <v>1.0939999999999999E-3</v>
      </c>
      <c r="AY1094" s="27">
        <f t="shared" si="213"/>
        <v>1.0939999999999999E-3</v>
      </c>
      <c r="AZ1094" s="27">
        <f t="shared" si="214"/>
        <v>1.0939999999999999E-3</v>
      </c>
    </row>
    <row r="1095" spans="1:52" ht="15" customHeight="1" x14ac:dyDescent="0.25">
      <c r="A1095" s="13" t="e">
        <f>VLOOKUP(L1095,[1]VALIDAÇÃO!$D$13:$E$350,2,0)</f>
        <v>#N/A</v>
      </c>
      <c r="B1095" s="14" t="str">
        <f t="shared" si="204"/>
        <v>343</v>
      </c>
      <c r="C1095" s="15">
        <f t="shared" si="215"/>
        <v>343</v>
      </c>
      <c r="D1095" s="16" t="str">
        <f t="shared" si="205"/>
        <v>343</v>
      </c>
      <c r="E1095" s="17">
        <f t="shared" si="208"/>
        <v>343</v>
      </c>
      <c r="F1095" s="18" t="str">
        <f t="shared" si="206"/>
        <v>343</v>
      </c>
      <c r="G1095" s="18">
        <f t="shared" si="209"/>
        <v>343</v>
      </c>
      <c r="H1095" s="19" t="str">
        <f t="shared" si="207"/>
        <v>343</v>
      </c>
      <c r="I1095" s="19">
        <f t="shared" si="210"/>
        <v>343</v>
      </c>
      <c r="J1095" s="30"/>
      <c r="K1095" s="30"/>
      <c r="L1095" s="30"/>
      <c r="M1095" s="30"/>
      <c r="N1095" s="33"/>
      <c r="O1095" s="30"/>
      <c r="P1095" s="29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25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30"/>
      <c r="AW1095" s="27">
        <f t="shared" si="211"/>
        <v>1.0950000000000001E-3</v>
      </c>
      <c r="AX1095" s="27">
        <f t="shared" si="212"/>
        <v>1.0950000000000001E-3</v>
      </c>
      <c r="AY1095" s="27">
        <f t="shared" si="213"/>
        <v>1.0950000000000001E-3</v>
      </c>
      <c r="AZ1095" s="27">
        <f t="shared" si="214"/>
        <v>1.0950000000000001E-3</v>
      </c>
    </row>
    <row r="1096" spans="1:52" ht="15" customHeight="1" x14ac:dyDescent="0.25">
      <c r="A1096" s="13" t="e">
        <f>VLOOKUP(L1096,[1]VALIDAÇÃO!$D$13:$E$350,2,0)</f>
        <v>#N/A</v>
      </c>
      <c r="B1096" s="14" t="str">
        <f t="shared" si="204"/>
        <v>342</v>
      </c>
      <c r="C1096" s="15">
        <f t="shared" si="215"/>
        <v>342</v>
      </c>
      <c r="D1096" s="16" t="str">
        <f t="shared" si="205"/>
        <v>342</v>
      </c>
      <c r="E1096" s="17">
        <f t="shared" si="208"/>
        <v>342</v>
      </c>
      <c r="F1096" s="18" t="str">
        <f t="shared" si="206"/>
        <v>342</v>
      </c>
      <c r="G1096" s="18">
        <f t="shared" si="209"/>
        <v>342</v>
      </c>
      <c r="H1096" s="19" t="str">
        <f t="shared" si="207"/>
        <v>342</v>
      </c>
      <c r="I1096" s="19">
        <f t="shared" si="210"/>
        <v>342</v>
      </c>
      <c r="J1096" s="30"/>
      <c r="K1096" s="30"/>
      <c r="L1096" s="30"/>
      <c r="M1096" s="30"/>
      <c r="N1096" s="30"/>
      <c r="O1096" s="30"/>
      <c r="P1096" s="29"/>
      <c r="Q1096" s="29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25"/>
      <c r="AK1096" s="30"/>
      <c r="AL1096" s="30"/>
      <c r="AM1096" s="30"/>
      <c r="AN1096" s="30"/>
      <c r="AO1096" s="30"/>
      <c r="AP1096" s="30"/>
      <c r="AQ1096" s="30"/>
      <c r="AR1096" s="30"/>
      <c r="AS1096" s="30"/>
      <c r="AT1096" s="30"/>
      <c r="AU1096" s="30"/>
      <c r="AW1096" s="27">
        <f t="shared" si="211"/>
        <v>1.096E-3</v>
      </c>
      <c r="AX1096" s="27">
        <f t="shared" si="212"/>
        <v>1.096E-3</v>
      </c>
      <c r="AY1096" s="27">
        <f t="shared" si="213"/>
        <v>1.096E-3</v>
      </c>
      <c r="AZ1096" s="27">
        <f t="shared" si="214"/>
        <v>1.096E-3</v>
      </c>
    </row>
    <row r="1097" spans="1:52" ht="15" customHeight="1" x14ac:dyDescent="0.25">
      <c r="A1097" s="13" t="e">
        <f>VLOOKUP(L1097,[1]VALIDAÇÃO!$D$13:$E$350,2,0)</f>
        <v>#N/A</v>
      </c>
      <c r="B1097" s="14" t="str">
        <f t="shared" si="204"/>
        <v>341</v>
      </c>
      <c r="C1097" s="15">
        <f t="shared" si="215"/>
        <v>341</v>
      </c>
      <c r="D1097" s="16" t="str">
        <f t="shared" si="205"/>
        <v>341</v>
      </c>
      <c r="E1097" s="17">
        <f t="shared" si="208"/>
        <v>341</v>
      </c>
      <c r="F1097" s="18" t="str">
        <f t="shared" si="206"/>
        <v>341</v>
      </c>
      <c r="G1097" s="18">
        <f t="shared" si="209"/>
        <v>341</v>
      </c>
      <c r="H1097" s="19" t="str">
        <f t="shared" si="207"/>
        <v>341</v>
      </c>
      <c r="I1097" s="19">
        <f t="shared" si="210"/>
        <v>341</v>
      </c>
      <c r="J1097" s="30"/>
      <c r="K1097" s="30"/>
      <c r="L1097" s="30"/>
      <c r="M1097" s="30"/>
      <c r="N1097" s="33"/>
      <c r="O1097" s="30"/>
      <c r="P1097" s="29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25"/>
      <c r="AK1097" s="30"/>
      <c r="AL1097" s="30"/>
      <c r="AM1097" s="30"/>
      <c r="AN1097" s="30"/>
      <c r="AO1097" s="30"/>
      <c r="AP1097" s="30"/>
      <c r="AQ1097" s="30"/>
      <c r="AR1097" s="30"/>
      <c r="AS1097" s="30"/>
      <c r="AT1097" s="30"/>
      <c r="AU1097" s="30"/>
      <c r="AW1097" s="27">
        <f t="shared" si="211"/>
        <v>1.0970000000000001E-3</v>
      </c>
      <c r="AX1097" s="27">
        <f t="shared" si="212"/>
        <v>1.0970000000000001E-3</v>
      </c>
      <c r="AY1097" s="27">
        <f t="shared" si="213"/>
        <v>1.0970000000000001E-3</v>
      </c>
      <c r="AZ1097" s="27">
        <f t="shared" si="214"/>
        <v>1.0970000000000001E-3</v>
      </c>
    </row>
    <row r="1098" spans="1:52" ht="15" customHeight="1" x14ac:dyDescent="0.25">
      <c r="A1098" s="13" t="e">
        <f>VLOOKUP(L1098,[1]VALIDAÇÃO!$D$13:$E$350,2,0)</f>
        <v>#N/A</v>
      </c>
      <c r="B1098" s="14" t="str">
        <f t="shared" si="204"/>
        <v>340</v>
      </c>
      <c r="C1098" s="15">
        <f t="shared" si="215"/>
        <v>340</v>
      </c>
      <c r="D1098" s="16" t="str">
        <f t="shared" si="205"/>
        <v>340</v>
      </c>
      <c r="E1098" s="17">
        <f t="shared" si="208"/>
        <v>340</v>
      </c>
      <c r="F1098" s="18" t="str">
        <f t="shared" si="206"/>
        <v>340</v>
      </c>
      <c r="G1098" s="18">
        <f t="shared" si="209"/>
        <v>340</v>
      </c>
      <c r="H1098" s="19" t="str">
        <f t="shared" si="207"/>
        <v>340</v>
      </c>
      <c r="I1098" s="19">
        <f t="shared" si="210"/>
        <v>340</v>
      </c>
      <c r="J1098" s="30"/>
      <c r="K1098" s="30"/>
      <c r="L1098" s="30"/>
      <c r="M1098" s="30"/>
      <c r="N1098" s="33"/>
      <c r="O1098" s="30"/>
      <c r="P1098" s="29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25"/>
      <c r="AK1098" s="30"/>
      <c r="AL1098" s="30"/>
      <c r="AM1098" s="30"/>
      <c r="AN1098" s="30"/>
      <c r="AO1098" s="30"/>
      <c r="AP1098" s="30"/>
      <c r="AQ1098" s="30"/>
      <c r="AR1098" s="30"/>
      <c r="AS1098" s="30"/>
      <c r="AT1098" s="30"/>
      <c r="AU1098" s="30"/>
      <c r="AW1098" s="27">
        <f t="shared" si="211"/>
        <v>1.098E-3</v>
      </c>
      <c r="AX1098" s="27">
        <f t="shared" si="212"/>
        <v>1.098E-3</v>
      </c>
      <c r="AY1098" s="27">
        <f t="shared" si="213"/>
        <v>1.098E-3</v>
      </c>
      <c r="AZ1098" s="27">
        <f t="shared" si="214"/>
        <v>1.098E-3</v>
      </c>
    </row>
    <row r="1099" spans="1:52" ht="15" customHeight="1" x14ac:dyDescent="0.25">
      <c r="A1099" s="13" t="e">
        <f>VLOOKUP(L1099,[1]VALIDAÇÃO!$D$13:$E$350,2,0)</f>
        <v>#N/A</v>
      </c>
      <c r="B1099" s="14" t="str">
        <f t="shared" si="204"/>
        <v>339</v>
      </c>
      <c r="C1099" s="15">
        <f t="shared" si="215"/>
        <v>339</v>
      </c>
      <c r="D1099" s="16" t="str">
        <f t="shared" si="205"/>
        <v>339</v>
      </c>
      <c r="E1099" s="17">
        <f t="shared" si="208"/>
        <v>339</v>
      </c>
      <c r="F1099" s="18" t="str">
        <f t="shared" si="206"/>
        <v>339</v>
      </c>
      <c r="G1099" s="18">
        <f t="shared" si="209"/>
        <v>339</v>
      </c>
      <c r="H1099" s="19" t="str">
        <f t="shared" si="207"/>
        <v>339</v>
      </c>
      <c r="I1099" s="19">
        <f t="shared" si="210"/>
        <v>339</v>
      </c>
      <c r="J1099" s="30"/>
      <c r="K1099" s="30"/>
      <c r="L1099" s="30"/>
      <c r="M1099" s="30"/>
      <c r="N1099" s="30"/>
      <c r="O1099" s="30"/>
      <c r="P1099" s="29"/>
      <c r="Q1099" s="29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25"/>
      <c r="AK1099" s="30"/>
      <c r="AL1099" s="30"/>
      <c r="AM1099" s="30"/>
      <c r="AN1099" s="30"/>
      <c r="AO1099" s="30"/>
      <c r="AP1099" s="30"/>
      <c r="AQ1099" s="30"/>
      <c r="AR1099" s="30"/>
      <c r="AS1099" s="30"/>
      <c r="AT1099" s="30"/>
      <c r="AU1099" s="30"/>
      <c r="AW1099" s="27">
        <f t="shared" si="211"/>
        <v>1.0989999999999999E-3</v>
      </c>
      <c r="AX1099" s="27">
        <f t="shared" si="212"/>
        <v>1.0989999999999999E-3</v>
      </c>
      <c r="AY1099" s="27">
        <f t="shared" si="213"/>
        <v>1.0989999999999999E-3</v>
      </c>
      <c r="AZ1099" s="27">
        <f t="shared" si="214"/>
        <v>1.0989999999999999E-3</v>
      </c>
    </row>
    <row r="1100" spans="1:52" ht="15" customHeight="1" x14ac:dyDescent="0.25">
      <c r="A1100" s="13" t="e">
        <f>VLOOKUP(L1100,[1]VALIDAÇÃO!$D$13:$E$350,2,0)</f>
        <v>#N/A</v>
      </c>
      <c r="B1100" s="14" t="str">
        <f t="shared" si="204"/>
        <v>338</v>
      </c>
      <c r="C1100" s="15">
        <f t="shared" si="215"/>
        <v>338</v>
      </c>
      <c r="D1100" s="16" t="str">
        <f t="shared" si="205"/>
        <v>338</v>
      </c>
      <c r="E1100" s="17">
        <f t="shared" si="208"/>
        <v>338</v>
      </c>
      <c r="F1100" s="18" t="str">
        <f t="shared" si="206"/>
        <v>338</v>
      </c>
      <c r="G1100" s="18">
        <f t="shared" si="209"/>
        <v>338</v>
      </c>
      <c r="H1100" s="19" t="str">
        <f t="shared" si="207"/>
        <v>338</v>
      </c>
      <c r="I1100" s="19">
        <f t="shared" si="210"/>
        <v>338</v>
      </c>
      <c r="J1100" s="30"/>
      <c r="K1100" s="30"/>
      <c r="L1100" s="30"/>
      <c r="M1100" s="30"/>
      <c r="N1100" s="33"/>
      <c r="O1100" s="30"/>
      <c r="P1100" s="29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25"/>
      <c r="AK1100" s="30"/>
      <c r="AL1100" s="30"/>
      <c r="AM1100" s="30"/>
      <c r="AN1100" s="30"/>
      <c r="AO1100" s="30"/>
      <c r="AP1100" s="30"/>
      <c r="AQ1100" s="30"/>
      <c r="AR1100" s="30"/>
      <c r="AS1100" s="30"/>
      <c r="AT1100" s="30"/>
      <c r="AU1100" s="30"/>
      <c r="AW1100" s="27">
        <f t="shared" si="211"/>
        <v>1.1000000000000001E-3</v>
      </c>
      <c r="AX1100" s="27">
        <f t="shared" si="212"/>
        <v>1.1000000000000001E-3</v>
      </c>
      <c r="AY1100" s="27">
        <f t="shared" si="213"/>
        <v>1.1000000000000001E-3</v>
      </c>
      <c r="AZ1100" s="27">
        <f t="shared" si="214"/>
        <v>1.1000000000000001E-3</v>
      </c>
    </row>
    <row r="1101" spans="1:52" ht="15" customHeight="1" x14ac:dyDescent="0.25">
      <c r="A1101" s="13" t="e">
        <f>VLOOKUP(L1101,[1]VALIDAÇÃO!$D$13:$E$350,2,0)</f>
        <v>#N/A</v>
      </c>
      <c r="B1101" s="14" t="str">
        <f t="shared" si="204"/>
        <v>337</v>
      </c>
      <c r="C1101" s="15">
        <f t="shared" si="215"/>
        <v>337</v>
      </c>
      <c r="D1101" s="16" t="str">
        <f t="shared" si="205"/>
        <v>337</v>
      </c>
      <c r="E1101" s="17">
        <f t="shared" si="208"/>
        <v>337</v>
      </c>
      <c r="F1101" s="18" t="str">
        <f t="shared" si="206"/>
        <v>337</v>
      </c>
      <c r="G1101" s="18">
        <f t="shared" si="209"/>
        <v>337</v>
      </c>
      <c r="H1101" s="19" t="str">
        <f t="shared" si="207"/>
        <v>337</v>
      </c>
      <c r="I1101" s="19">
        <f t="shared" si="210"/>
        <v>337</v>
      </c>
      <c r="J1101" s="30"/>
      <c r="K1101" s="30"/>
      <c r="L1101" s="30"/>
      <c r="M1101" s="30"/>
      <c r="N1101" s="33"/>
      <c r="O1101" s="30"/>
      <c r="P1101" s="29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25"/>
      <c r="AK1101" s="30"/>
      <c r="AL1101" s="30"/>
      <c r="AM1101" s="30"/>
      <c r="AN1101" s="30"/>
      <c r="AO1101" s="30"/>
      <c r="AP1101" s="30"/>
      <c r="AQ1101" s="30"/>
      <c r="AR1101" s="30"/>
      <c r="AS1101" s="30"/>
      <c r="AT1101" s="30"/>
      <c r="AU1101" s="30"/>
      <c r="AW1101" s="27">
        <f t="shared" si="211"/>
        <v>1.101E-3</v>
      </c>
      <c r="AX1101" s="27">
        <f t="shared" si="212"/>
        <v>1.101E-3</v>
      </c>
      <c r="AY1101" s="27">
        <f t="shared" si="213"/>
        <v>1.101E-3</v>
      </c>
      <c r="AZ1101" s="27">
        <f t="shared" si="214"/>
        <v>1.101E-3</v>
      </c>
    </row>
    <row r="1102" spans="1:52" ht="15" customHeight="1" x14ac:dyDescent="0.25">
      <c r="A1102" s="13" t="e">
        <f>VLOOKUP(L1102,[1]VALIDAÇÃO!$D$13:$E$350,2,0)</f>
        <v>#N/A</v>
      </c>
      <c r="B1102" s="14" t="str">
        <f t="shared" si="204"/>
        <v>336</v>
      </c>
      <c r="C1102" s="15">
        <f t="shared" si="215"/>
        <v>336</v>
      </c>
      <c r="D1102" s="16" t="str">
        <f t="shared" si="205"/>
        <v>336</v>
      </c>
      <c r="E1102" s="17">
        <f t="shared" si="208"/>
        <v>336</v>
      </c>
      <c r="F1102" s="18" t="str">
        <f t="shared" si="206"/>
        <v>336</v>
      </c>
      <c r="G1102" s="18">
        <f t="shared" si="209"/>
        <v>336</v>
      </c>
      <c r="H1102" s="19" t="str">
        <f t="shared" si="207"/>
        <v>336</v>
      </c>
      <c r="I1102" s="19">
        <f t="shared" si="210"/>
        <v>336</v>
      </c>
      <c r="J1102" s="30"/>
      <c r="K1102" s="30"/>
      <c r="L1102" s="30"/>
      <c r="M1102" s="30"/>
      <c r="N1102" s="33"/>
      <c r="O1102" s="30"/>
      <c r="P1102" s="29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c r="AJ1102" s="25"/>
      <c r="AK1102" s="30"/>
      <c r="AL1102" s="30"/>
      <c r="AM1102" s="30"/>
      <c r="AN1102" s="30"/>
      <c r="AO1102" s="30"/>
      <c r="AP1102" s="30"/>
      <c r="AQ1102" s="30"/>
      <c r="AR1102" s="30"/>
      <c r="AS1102" s="30"/>
      <c r="AT1102" s="30"/>
      <c r="AU1102" s="30"/>
      <c r="AW1102" s="27">
        <f t="shared" si="211"/>
        <v>1.1019999999999999E-3</v>
      </c>
      <c r="AX1102" s="27">
        <f t="shared" si="212"/>
        <v>1.1019999999999999E-3</v>
      </c>
      <c r="AY1102" s="27">
        <f t="shared" si="213"/>
        <v>1.1019999999999999E-3</v>
      </c>
      <c r="AZ1102" s="27">
        <f t="shared" si="214"/>
        <v>1.1019999999999999E-3</v>
      </c>
    </row>
    <row r="1103" spans="1:52" ht="15" customHeight="1" x14ac:dyDescent="0.25">
      <c r="A1103" s="13" t="e">
        <f>VLOOKUP(L1103,[1]VALIDAÇÃO!$D$13:$E$350,2,0)</f>
        <v>#N/A</v>
      </c>
      <c r="B1103" s="14" t="str">
        <f t="shared" si="204"/>
        <v>335</v>
      </c>
      <c r="C1103" s="15">
        <f t="shared" si="215"/>
        <v>335</v>
      </c>
      <c r="D1103" s="16" t="str">
        <f t="shared" si="205"/>
        <v>335</v>
      </c>
      <c r="E1103" s="17">
        <f t="shared" si="208"/>
        <v>335</v>
      </c>
      <c r="F1103" s="18" t="str">
        <f t="shared" si="206"/>
        <v>335</v>
      </c>
      <c r="G1103" s="18">
        <f t="shared" si="209"/>
        <v>335</v>
      </c>
      <c r="H1103" s="19" t="str">
        <f t="shared" si="207"/>
        <v>335</v>
      </c>
      <c r="I1103" s="19">
        <f t="shared" si="210"/>
        <v>335</v>
      </c>
      <c r="J1103" s="30"/>
      <c r="K1103" s="30"/>
      <c r="L1103" s="30"/>
      <c r="M1103" s="30"/>
      <c r="N1103" s="30"/>
      <c r="O1103" s="30"/>
      <c r="P1103" s="29"/>
      <c r="Q1103" s="29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c r="AJ1103" s="25"/>
      <c r="AK1103" s="30"/>
      <c r="AL1103" s="30"/>
      <c r="AM1103" s="30"/>
      <c r="AN1103" s="30"/>
      <c r="AO1103" s="30"/>
      <c r="AP1103" s="30"/>
      <c r="AQ1103" s="30"/>
      <c r="AR1103" s="30"/>
      <c r="AS1103" s="30"/>
      <c r="AT1103" s="30"/>
      <c r="AU1103" s="30"/>
      <c r="AW1103" s="27">
        <f t="shared" si="211"/>
        <v>1.103E-3</v>
      </c>
      <c r="AX1103" s="27">
        <f t="shared" si="212"/>
        <v>1.103E-3</v>
      </c>
      <c r="AY1103" s="27">
        <f t="shared" si="213"/>
        <v>1.103E-3</v>
      </c>
      <c r="AZ1103" s="27">
        <f t="shared" si="214"/>
        <v>1.103E-3</v>
      </c>
    </row>
    <row r="1104" spans="1:52" ht="15" customHeight="1" x14ac:dyDescent="0.25">
      <c r="A1104" s="13" t="e">
        <f>VLOOKUP(L1104,[1]VALIDAÇÃO!$D$13:$E$350,2,0)</f>
        <v>#N/A</v>
      </c>
      <c r="B1104" s="14" t="str">
        <f t="shared" si="204"/>
        <v>334</v>
      </c>
      <c r="C1104" s="15">
        <f t="shared" si="215"/>
        <v>334</v>
      </c>
      <c r="D1104" s="16" t="str">
        <f t="shared" si="205"/>
        <v>334</v>
      </c>
      <c r="E1104" s="17">
        <f t="shared" si="208"/>
        <v>334</v>
      </c>
      <c r="F1104" s="18" t="str">
        <f t="shared" si="206"/>
        <v>334</v>
      </c>
      <c r="G1104" s="18">
        <f t="shared" si="209"/>
        <v>334</v>
      </c>
      <c r="H1104" s="19" t="str">
        <f t="shared" si="207"/>
        <v>334</v>
      </c>
      <c r="I1104" s="19">
        <f t="shared" si="210"/>
        <v>334</v>
      </c>
      <c r="J1104" s="30"/>
      <c r="K1104" s="30"/>
      <c r="L1104" s="30"/>
      <c r="M1104" s="30"/>
      <c r="N1104" s="30"/>
      <c r="O1104" s="30"/>
      <c r="P1104" s="29"/>
      <c r="Q1104" s="29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25"/>
      <c r="AK1104" s="30"/>
      <c r="AL1104" s="30"/>
      <c r="AM1104" s="30"/>
      <c r="AN1104" s="30"/>
      <c r="AO1104" s="30"/>
      <c r="AP1104" s="30"/>
      <c r="AQ1104" s="30"/>
      <c r="AR1104" s="30"/>
      <c r="AS1104" s="30"/>
      <c r="AT1104" s="30"/>
      <c r="AU1104" s="30"/>
      <c r="AW1104" s="27">
        <f t="shared" si="211"/>
        <v>1.1039999999999999E-3</v>
      </c>
      <c r="AX1104" s="27">
        <f t="shared" si="212"/>
        <v>1.1039999999999999E-3</v>
      </c>
      <c r="AY1104" s="27">
        <f t="shared" si="213"/>
        <v>1.1039999999999999E-3</v>
      </c>
      <c r="AZ1104" s="27">
        <f t="shared" si="214"/>
        <v>1.1039999999999999E-3</v>
      </c>
    </row>
    <row r="1105" spans="1:52" ht="15" customHeight="1" x14ac:dyDescent="0.25">
      <c r="A1105" s="13" t="e">
        <f>VLOOKUP(L1105,[1]VALIDAÇÃO!$D$13:$E$350,2,0)</f>
        <v>#N/A</v>
      </c>
      <c r="B1105" s="14" t="str">
        <f t="shared" si="204"/>
        <v>333</v>
      </c>
      <c r="C1105" s="15">
        <f t="shared" si="215"/>
        <v>333</v>
      </c>
      <c r="D1105" s="16" t="str">
        <f t="shared" si="205"/>
        <v>333</v>
      </c>
      <c r="E1105" s="17">
        <f t="shared" si="208"/>
        <v>333</v>
      </c>
      <c r="F1105" s="18" t="str">
        <f t="shared" si="206"/>
        <v>333</v>
      </c>
      <c r="G1105" s="18">
        <f t="shared" si="209"/>
        <v>333</v>
      </c>
      <c r="H1105" s="19" t="str">
        <f t="shared" si="207"/>
        <v>333</v>
      </c>
      <c r="I1105" s="19">
        <f t="shared" si="210"/>
        <v>333</v>
      </c>
      <c r="J1105" s="30"/>
      <c r="K1105" s="30"/>
      <c r="L1105" s="30"/>
      <c r="M1105" s="30"/>
      <c r="N1105" s="33"/>
      <c r="O1105" s="30"/>
      <c r="P1105" s="29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25"/>
      <c r="AK1105" s="30"/>
      <c r="AL1105" s="30"/>
      <c r="AM1105" s="30"/>
      <c r="AN1105" s="30"/>
      <c r="AO1105" s="30"/>
      <c r="AP1105" s="30"/>
      <c r="AQ1105" s="30"/>
      <c r="AR1105" s="30"/>
      <c r="AS1105" s="30"/>
      <c r="AT1105" s="30"/>
      <c r="AU1105" s="30"/>
      <c r="AW1105" s="27">
        <f t="shared" si="211"/>
        <v>1.1050000000000001E-3</v>
      </c>
      <c r="AX1105" s="27">
        <f t="shared" si="212"/>
        <v>1.1050000000000001E-3</v>
      </c>
      <c r="AY1105" s="27">
        <f t="shared" si="213"/>
        <v>1.1050000000000001E-3</v>
      </c>
      <c r="AZ1105" s="27">
        <f t="shared" si="214"/>
        <v>1.1050000000000001E-3</v>
      </c>
    </row>
    <row r="1106" spans="1:52" ht="15" customHeight="1" x14ac:dyDescent="0.25">
      <c r="A1106" s="13" t="e">
        <f>VLOOKUP(L1106,[1]VALIDAÇÃO!$D$13:$E$350,2,0)</f>
        <v>#N/A</v>
      </c>
      <c r="B1106" s="14" t="str">
        <f t="shared" si="204"/>
        <v>332</v>
      </c>
      <c r="C1106" s="15">
        <f t="shared" si="215"/>
        <v>332</v>
      </c>
      <c r="D1106" s="16" t="str">
        <f t="shared" si="205"/>
        <v>332</v>
      </c>
      <c r="E1106" s="17">
        <f t="shared" si="208"/>
        <v>332</v>
      </c>
      <c r="F1106" s="18" t="str">
        <f t="shared" si="206"/>
        <v>332</v>
      </c>
      <c r="G1106" s="18">
        <f t="shared" si="209"/>
        <v>332</v>
      </c>
      <c r="H1106" s="19" t="str">
        <f t="shared" si="207"/>
        <v>332</v>
      </c>
      <c r="I1106" s="19">
        <f t="shared" si="210"/>
        <v>332</v>
      </c>
      <c r="J1106" s="30"/>
      <c r="K1106" s="30"/>
      <c r="L1106" s="30"/>
      <c r="M1106" s="30"/>
      <c r="N1106" s="30"/>
      <c r="O1106" s="30"/>
      <c r="P1106" s="29"/>
      <c r="Q1106" s="29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c r="AJ1106" s="25"/>
      <c r="AK1106" s="30"/>
      <c r="AL1106" s="30"/>
      <c r="AM1106" s="30"/>
      <c r="AN1106" s="30"/>
      <c r="AO1106" s="30"/>
      <c r="AP1106" s="30"/>
      <c r="AQ1106" s="30"/>
      <c r="AR1106" s="30"/>
      <c r="AS1106" s="30"/>
      <c r="AT1106" s="30"/>
      <c r="AU1106" s="30"/>
      <c r="AW1106" s="27">
        <f t="shared" si="211"/>
        <v>1.106E-3</v>
      </c>
      <c r="AX1106" s="27">
        <f t="shared" si="212"/>
        <v>1.106E-3</v>
      </c>
      <c r="AY1106" s="27">
        <f t="shared" si="213"/>
        <v>1.106E-3</v>
      </c>
      <c r="AZ1106" s="27">
        <f t="shared" si="214"/>
        <v>1.106E-3</v>
      </c>
    </row>
    <row r="1107" spans="1:52" ht="15" customHeight="1" x14ac:dyDescent="0.25">
      <c r="A1107" s="13" t="e">
        <f>VLOOKUP(L1107,[1]VALIDAÇÃO!$D$13:$E$350,2,0)</f>
        <v>#N/A</v>
      </c>
      <c r="B1107" s="14" t="str">
        <f t="shared" si="204"/>
        <v>331</v>
      </c>
      <c r="C1107" s="15">
        <f t="shared" si="215"/>
        <v>331</v>
      </c>
      <c r="D1107" s="16" t="str">
        <f t="shared" si="205"/>
        <v>331</v>
      </c>
      <c r="E1107" s="17">
        <f t="shared" si="208"/>
        <v>331</v>
      </c>
      <c r="F1107" s="18" t="str">
        <f t="shared" si="206"/>
        <v>331</v>
      </c>
      <c r="G1107" s="18">
        <f t="shared" si="209"/>
        <v>331</v>
      </c>
      <c r="H1107" s="19" t="str">
        <f t="shared" si="207"/>
        <v>331</v>
      </c>
      <c r="I1107" s="19">
        <f t="shared" si="210"/>
        <v>331</v>
      </c>
      <c r="J1107" s="30"/>
      <c r="K1107" s="30"/>
      <c r="L1107" s="30"/>
      <c r="M1107" s="30"/>
      <c r="N1107" s="33"/>
      <c r="O1107" s="30"/>
      <c r="P1107" s="29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c r="AJ1107" s="25"/>
      <c r="AK1107" s="30"/>
      <c r="AL1107" s="30"/>
      <c r="AM1107" s="30"/>
      <c r="AN1107" s="30"/>
      <c r="AO1107" s="30"/>
      <c r="AP1107" s="30"/>
      <c r="AQ1107" s="30"/>
      <c r="AR1107" s="30"/>
      <c r="AS1107" s="30"/>
      <c r="AT1107" s="30"/>
      <c r="AU1107" s="30"/>
      <c r="AW1107" s="27">
        <f t="shared" si="211"/>
        <v>1.1069999999999999E-3</v>
      </c>
      <c r="AX1107" s="27">
        <f t="shared" si="212"/>
        <v>1.1069999999999999E-3</v>
      </c>
      <c r="AY1107" s="27">
        <f t="shared" si="213"/>
        <v>1.1069999999999999E-3</v>
      </c>
      <c r="AZ1107" s="27">
        <f t="shared" si="214"/>
        <v>1.1069999999999999E-3</v>
      </c>
    </row>
    <row r="1108" spans="1:52" ht="15" customHeight="1" x14ac:dyDescent="0.25">
      <c r="A1108" s="13" t="e">
        <f>VLOOKUP(L1108,[1]VALIDAÇÃO!$D$13:$E$350,2,0)</f>
        <v>#N/A</v>
      </c>
      <c r="B1108" s="14" t="str">
        <f t="shared" ref="B1108:B1171" si="216">C1108&amp;J1108</f>
        <v>330</v>
      </c>
      <c r="C1108" s="15">
        <f t="shared" si="215"/>
        <v>330</v>
      </c>
      <c r="D1108" s="16" t="str">
        <f t="shared" ref="D1108:D1171" si="217">E1108&amp;J1108</f>
        <v>330</v>
      </c>
      <c r="E1108" s="17">
        <f t="shared" si="208"/>
        <v>330</v>
      </c>
      <c r="F1108" s="18" t="str">
        <f t="shared" ref="F1108:F1171" si="218">G1108&amp;J1108</f>
        <v>330</v>
      </c>
      <c r="G1108" s="18">
        <f t="shared" si="209"/>
        <v>330</v>
      </c>
      <c r="H1108" s="19" t="str">
        <f t="shared" ref="H1108:H1171" si="219">I1108&amp;J1108</f>
        <v>330</v>
      </c>
      <c r="I1108" s="19">
        <f t="shared" si="210"/>
        <v>330</v>
      </c>
      <c r="J1108" s="30"/>
      <c r="K1108" s="30"/>
      <c r="L1108" s="30"/>
      <c r="M1108" s="30"/>
      <c r="N1108" s="30"/>
      <c r="O1108" s="30"/>
      <c r="P1108" s="29"/>
      <c r="Q1108" s="29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25"/>
      <c r="AK1108" s="30"/>
      <c r="AL1108" s="30"/>
      <c r="AM1108" s="30"/>
      <c r="AN1108" s="30"/>
      <c r="AO1108" s="30"/>
      <c r="AP1108" s="30"/>
      <c r="AQ1108" s="30"/>
      <c r="AR1108" s="30"/>
      <c r="AS1108" s="30"/>
      <c r="AT1108" s="30"/>
      <c r="AU1108" s="30"/>
      <c r="AW1108" s="27">
        <f t="shared" si="211"/>
        <v>1.108E-3</v>
      </c>
      <c r="AX1108" s="27">
        <f t="shared" si="212"/>
        <v>1.108E-3</v>
      </c>
      <c r="AY1108" s="27">
        <f t="shared" si="213"/>
        <v>1.108E-3</v>
      </c>
      <c r="AZ1108" s="27">
        <f t="shared" si="214"/>
        <v>1.108E-3</v>
      </c>
    </row>
    <row r="1109" spans="1:52" ht="15" customHeight="1" x14ac:dyDescent="0.25">
      <c r="A1109" s="13" t="e">
        <f>VLOOKUP(L1109,[1]VALIDAÇÃO!$D$13:$E$350,2,0)</f>
        <v>#N/A</v>
      </c>
      <c r="B1109" s="14" t="str">
        <f t="shared" si="216"/>
        <v>329</v>
      </c>
      <c r="C1109" s="15">
        <f t="shared" si="215"/>
        <v>329</v>
      </c>
      <c r="D1109" s="16" t="str">
        <f t="shared" si="217"/>
        <v>329</v>
      </c>
      <c r="E1109" s="17">
        <f t="shared" si="208"/>
        <v>329</v>
      </c>
      <c r="F1109" s="18" t="str">
        <f t="shared" si="218"/>
        <v>329</v>
      </c>
      <c r="G1109" s="18">
        <f t="shared" si="209"/>
        <v>329</v>
      </c>
      <c r="H1109" s="19" t="str">
        <f t="shared" si="219"/>
        <v>329</v>
      </c>
      <c r="I1109" s="19">
        <f t="shared" si="210"/>
        <v>329</v>
      </c>
      <c r="J1109" s="30"/>
      <c r="K1109" s="30"/>
      <c r="L1109" s="30"/>
      <c r="M1109" s="30"/>
      <c r="N1109" s="30"/>
      <c r="O1109" s="30"/>
      <c r="P1109" s="29"/>
      <c r="Q1109" s="29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25"/>
      <c r="AK1109" s="30"/>
      <c r="AL1109" s="30"/>
      <c r="AM1109" s="30"/>
      <c r="AN1109" s="30"/>
      <c r="AO1109" s="30"/>
      <c r="AP1109" s="30"/>
      <c r="AQ1109" s="30"/>
      <c r="AR1109" s="30"/>
      <c r="AS1109" s="30"/>
      <c r="AT1109" s="30"/>
      <c r="AU1109" s="30"/>
      <c r="AW1109" s="27">
        <f t="shared" si="211"/>
        <v>1.109E-3</v>
      </c>
      <c r="AX1109" s="27">
        <f t="shared" si="212"/>
        <v>1.109E-3</v>
      </c>
      <c r="AY1109" s="27">
        <f t="shared" si="213"/>
        <v>1.109E-3</v>
      </c>
      <c r="AZ1109" s="27">
        <f t="shared" si="214"/>
        <v>1.109E-3</v>
      </c>
    </row>
    <row r="1110" spans="1:52" ht="15" customHeight="1" x14ac:dyDescent="0.25">
      <c r="A1110" s="13" t="e">
        <f>VLOOKUP(L1110,[1]VALIDAÇÃO!$D$13:$E$350,2,0)</f>
        <v>#N/A</v>
      </c>
      <c r="B1110" s="14" t="str">
        <f t="shared" si="216"/>
        <v>328</v>
      </c>
      <c r="C1110" s="15">
        <f t="shared" si="215"/>
        <v>328</v>
      </c>
      <c r="D1110" s="16" t="str">
        <f t="shared" si="217"/>
        <v>328</v>
      </c>
      <c r="E1110" s="17">
        <f t="shared" si="208"/>
        <v>328</v>
      </c>
      <c r="F1110" s="18" t="str">
        <f t="shared" si="218"/>
        <v>328</v>
      </c>
      <c r="G1110" s="18">
        <f t="shared" si="209"/>
        <v>328</v>
      </c>
      <c r="H1110" s="19" t="str">
        <f t="shared" si="219"/>
        <v>328</v>
      </c>
      <c r="I1110" s="19">
        <f t="shared" si="210"/>
        <v>328</v>
      </c>
      <c r="J1110" s="30"/>
      <c r="K1110" s="30"/>
      <c r="L1110" s="30"/>
      <c r="M1110" s="30"/>
      <c r="N1110" s="33"/>
      <c r="O1110" s="30"/>
      <c r="P1110" s="29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25"/>
      <c r="AK1110" s="30"/>
      <c r="AL1110" s="30"/>
      <c r="AM1110" s="30"/>
      <c r="AN1110" s="30"/>
      <c r="AO1110" s="30"/>
      <c r="AP1110" s="30"/>
      <c r="AQ1110" s="30"/>
      <c r="AR1110" s="30"/>
      <c r="AS1110" s="30"/>
      <c r="AT1110" s="30"/>
      <c r="AU1110" s="30"/>
      <c r="AW1110" s="27">
        <f t="shared" si="211"/>
        <v>1.1100000000000001E-3</v>
      </c>
      <c r="AX1110" s="27">
        <f t="shared" si="212"/>
        <v>1.1100000000000001E-3</v>
      </c>
      <c r="AY1110" s="27">
        <f t="shared" si="213"/>
        <v>1.1100000000000001E-3</v>
      </c>
      <c r="AZ1110" s="27">
        <f t="shared" si="214"/>
        <v>1.1100000000000001E-3</v>
      </c>
    </row>
    <row r="1111" spans="1:52" ht="15" customHeight="1" x14ac:dyDescent="0.25">
      <c r="A1111" s="13" t="e">
        <f>VLOOKUP(L1111,[1]VALIDAÇÃO!$D$13:$E$350,2,0)</f>
        <v>#N/A</v>
      </c>
      <c r="B1111" s="14" t="str">
        <f t="shared" si="216"/>
        <v>327</v>
      </c>
      <c r="C1111" s="15">
        <f t="shared" si="215"/>
        <v>327</v>
      </c>
      <c r="D1111" s="16" t="str">
        <f t="shared" si="217"/>
        <v>327</v>
      </c>
      <c r="E1111" s="17">
        <f t="shared" si="208"/>
        <v>327</v>
      </c>
      <c r="F1111" s="18" t="str">
        <f t="shared" si="218"/>
        <v>327</v>
      </c>
      <c r="G1111" s="18">
        <f t="shared" si="209"/>
        <v>327</v>
      </c>
      <c r="H1111" s="19" t="str">
        <f t="shared" si="219"/>
        <v>327</v>
      </c>
      <c r="I1111" s="19">
        <f t="shared" si="210"/>
        <v>327</v>
      </c>
      <c r="J1111" s="30"/>
      <c r="K1111" s="30"/>
      <c r="L1111" s="30"/>
      <c r="M1111" s="30"/>
      <c r="N1111" s="30"/>
      <c r="O1111" s="30"/>
      <c r="P1111" s="29"/>
      <c r="Q1111" s="29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25"/>
      <c r="AK1111" s="30"/>
      <c r="AL1111" s="30"/>
      <c r="AM1111" s="30"/>
      <c r="AN1111" s="30"/>
      <c r="AO1111" s="30"/>
      <c r="AP1111" s="30"/>
      <c r="AQ1111" s="30"/>
      <c r="AR1111" s="30"/>
      <c r="AS1111" s="30"/>
      <c r="AT1111" s="30"/>
      <c r="AU1111" s="30"/>
      <c r="AW1111" s="27">
        <f t="shared" si="211"/>
        <v>1.111E-3</v>
      </c>
      <c r="AX1111" s="27">
        <f t="shared" si="212"/>
        <v>1.111E-3</v>
      </c>
      <c r="AY1111" s="27">
        <f t="shared" si="213"/>
        <v>1.111E-3</v>
      </c>
      <c r="AZ1111" s="27">
        <f t="shared" si="214"/>
        <v>1.111E-3</v>
      </c>
    </row>
    <row r="1112" spans="1:52" ht="15" customHeight="1" x14ac:dyDescent="0.25">
      <c r="A1112" s="13" t="e">
        <f>VLOOKUP(L1112,[1]VALIDAÇÃO!$D$13:$E$350,2,0)</f>
        <v>#N/A</v>
      </c>
      <c r="B1112" s="14" t="str">
        <f t="shared" si="216"/>
        <v>326</v>
      </c>
      <c r="C1112" s="15">
        <f t="shared" si="215"/>
        <v>326</v>
      </c>
      <c r="D1112" s="16" t="str">
        <f t="shared" si="217"/>
        <v>326</v>
      </c>
      <c r="E1112" s="17">
        <f t="shared" si="208"/>
        <v>326</v>
      </c>
      <c r="F1112" s="18" t="str">
        <f t="shared" si="218"/>
        <v>326</v>
      </c>
      <c r="G1112" s="18">
        <f t="shared" si="209"/>
        <v>326</v>
      </c>
      <c r="H1112" s="19" t="str">
        <f t="shared" si="219"/>
        <v>326</v>
      </c>
      <c r="I1112" s="19">
        <f t="shared" si="210"/>
        <v>326</v>
      </c>
      <c r="J1112" s="30"/>
      <c r="K1112" s="30"/>
      <c r="L1112" s="30"/>
      <c r="M1112" s="30"/>
      <c r="N1112" s="30"/>
      <c r="O1112" s="30"/>
      <c r="P1112" s="29"/>
      <c r="Q1112" s="29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25"/>
      <c r="AK1112" s="30"/>
      <c r="AL1112" s="30"/>
      <c r="AM1112" s="30"/>
      <c r="AN1112" s="30"/>
      <c r="AO1112" s="30"/>
      <c r="AP1112" s="30"/>
      <c r="AQ1112" s="30"/>
      <c r="AR1112" s="30"/>
      <c r="AS1112" s="30"/>
      <c r="AT1112" s="30"/>
      <c r="AU1112" s="30"/>
      <c r="AW1112" s="27">
        <f t="shared" si="211"/>
        <v>1.1119999999999999E-3</v>
      </c>
      <c r="AX1112" s="27">
        <f t="shared" si="212"/>
        <v>1.1119999999999999E-3</v>
      </c>
      <c r="AY1112" s="27">
        <f t="shared" si="213"/>
        <v>1.1119999999999999E-3</v>
      </c>
      <c r="AZ1112" s="27">
        <f t="shared" si="214"/>
        <v>1.1119999999999999E-3</v>
      </c>
    </row>
    <row r="1113" spans="1:52" ht="15" customHeight="1" x14ac:dyDescent="0.25">
      <c r="A1113" s="13" t="e">
        <f>VLOOKUP(L1113,[1]VALIDAÇÃO!$D$13:$E$350,2,0)</f>
        <v>#N/A</v>
      </c>
      <c r="B1113" s="14" t="str">
        <f t="shared" si="216"/>
        <v>325</v>
      </c>
      <c r="C1113" s="15">
        <f t="shared" si="215"/>
        <v>325</v>
      </c>
      <c r="D1113" s="16" t="str">
        <f t="shared" si="217"/>
        <v>325</v>
      </c>
      <c r="E1113" s="17">
        <f t="shared" si="208"/>
        <v>325</v>
      </c>
      <c r="F1113" s="18" t="str">
        <f t="shared" si="218"/>
        <v>325</v>
      </c>
      <c r="G1113" s="18">
        <f t="shared" si="209"/>
        <v>325</v>
      </c>
      <c r="H1113" s="19" t="str">
        <f t="shared" si="219"/>
        <v>325</v>
      </c>
      <c r="I1113" s="19">
        <f t="shared" si="210"/>
        <v>325</v>
      </c>
      <c r="J1113" s="30"/>
      <c r="K1113" s="30"/>
      <c r="L1113" s="30"/>
      <c r="M1113" s="30"/>
      <c r="N1113" s="30"/>
      <c r="O1113" s="30"/>
      <c r="P1113" s="29"/>
      <c r="Q1113" s="29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25"/>
      <c r="AK1113" s="30"/>
      <c r="AL1113" s="30"/>
      <c r="AM1113" s="30"/>
      <c r="AN1113" s="30"/>
      <c r="AO1113" s="30"/>
      <c r="AP1113" s="30"/>
      <c r="AQ1113" s="30"/>
      <c r="AR1113" s="30"/>
      <c r="AS1113" s="30"/>
      <c r="AT1113" s="30"/>
      <c r="AU1113" s="30"/>
      <c r="AW1113" s="27">
        <f t="shared" si="211"/>
        <v>1.1130000000000001E-3</v>
      </c>
      <c r="AX1113" s="27">
        <f t="shared" si="212"/>
        <v>1.1130000000000001E-3</v>
      </c>
      <c r="AY1113" s="27">
        <f t="shared" si="213"/>
        <v>1.1130000000000001E-3</v>
      </c>
      <c r="AZ1113" s="27">
        <f t="shared" si="214"/>
        <v>1.1130000000000001E-3</v>
      </c>
    </row>
    <row r="1114" spans="1:52" ht="15" customHeight="1" x14ac:dyDescent="0.25">
      <c r="A1114" s="13" t="e">
        <f>VLOOKUP(L1114,[1]VALIDAÇÃO!$D$13:$E$350,2,0)</f>
        <v>#N/A</v>
      </c>
      <c r="B1114" s="14" t="str">
        <f t="shared" si="216"/>
        <v>324</v>
      </c>
      <c r="C1114" s="15">
        <f t="shared" si="215"/>
        <v>324</v>
      </c>
      <c r="D1114" s="16" t="str">
        <f t="shared" si="217"/>
        <v>324</v>
      </c>
      <c r="E1114" s="17">
        <f t="shared" si="208"/>
        <v>324</v>
      </c>
      <c r="F1114" s="18" t="str">
        <f t="shared" si="218"/>
        <v>324</v>
      </c>
      <c r="G1114" s="18">
        <f t="shared" si="209"/>
        <v>324</v>
      </c>
      <c r="H1114" s="19" t="str">
        <f t="shared" si="219"/>
        <v>324</v>
      </c>
      <c r="I1114" s="19">
        <f t="shared" si="210"/>
        <v>324</v>
      </c>
      <c r="J1114" s="30"/>
      <c r="K1114" s="30"/>
      <c r="L1114" s="30"/>
      <c r="M1114" s="30"/>
      <c r="N1114" s="33"/>
      <c r="O1114" s="30"/>
      <c r="P1114" s="29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25"/>
      <c r="AK1114" s="30"/>
      <c r="AL1114" s="30"/>
      <c r="AM1114" s="30"/>
      <c r="AN1114" s="30"/>
      <c r="AO1114" s="30"/>
      <c r="AP1114" s="30"/>
      <c r="AQ1114" s="30"/>
      <c r="AR1114" s="30"/>
      <c r="AS1114" s="30"/>
      <c r="AT1114" s="30"/>
      <c r="AU1114" s="30"/>
      <c r="AW1114" s="27">
        <f t="shared" si="211"/>
        <v>1.114E-3</v>
      </c>
      <c r="AX1114" s="27">
        <f t="shared" si="212"/>
        <v>1.114E-3</v>
      </c>
      <c r="AY1114" s="27">
        <f t="shared" si="213"/>
        <v>1.114E-3</v>
      </c>
      <c r="AZ1114" s="27">
        <f t="shared" si="214"/>
        <v>1.114E-3</v>
      </c>
    </row>
    <row r="1115" spans="1:52" ht="15" customHeight="1" x14ac:dyDescent="0.25">
      <c r="A1115" s="13" t="e">
        <f>VLOOKUP(L1115,[1]VALIDAÇÃO!$D$13:$E$350,2,0)</f>
        <v>#N/A</v>
      </c>
      <c r="B1115" s="14" t="str">
        <f t="shared" si="216"/>
        <v>323</v>
      </c>
      <c r="C1115" s="15">
        <f t="shared" si="215"/>
        <v>323</v>
      </c>
      <c r="D1115" s="16" t="str">
        <f t="shared" si="217"/>
        <v>323</v>
      </c>
      <c r="E1115" s="17">
        <f t="shared" si="208"/>
        <v>323</v>
      </c>
      <c r="F1115" s="18" t="str">
        <f t="shared" si="218"/>
        <v>323</v>
      </c>
      <c r="G1115" s="18">
        <f t="shared" si="209"/>
        <v>323</v>
      </c>
      <c r="H1115" s="19" t="str">
        <f t="shared" si="219"/>
        <v>323</v>
      </c>
      <c r="I1115" s="19">
        <f t="shared" si="210"/>
        <v>323</v>
      </c>
      <c r="J1115" s="30"/>
      <c r="K1115" s="30"/>
      <c r="L1115" s="30"/>
      <c r="M1115" s="30"/>
      <c r="N1115" s="33"/>
      <c r="O1115" s="30"/>
      <c r="P1115" s="29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25"/>
      <c r="AK1115" s="30"/>
      <c r="AL1115" s="30"/>
      <c r="AM1115" s="30"/>
      <c r="AN1115" s="30"/>
      <c r="AO1115" s="30"/>
      <c r="AP1115" s="30"/>
      <c r="AQ1115" s="30"/>
      <c r="AR1115" s="30"/>
      <c r="AS1115" s="30"/>
      <c r="AT1115" s="30"/>
      <c r="AU1115" s="30"/>
      <c r="AW1115" s="27">
        <f t="shared" si="211"/>
        <v>1.1150000000000001E-3</v>
      </c>
      <c r="AX1115" s="27">
        <f t="shared" si="212"/>
        <v>1.1150000000000001E-3</v>
      </c>
      <c r="AY1115" s="27">
        <f t="shared" si="213"/>
        <v>1.1150000000000001E-3</v>
      </c>
      <c r="AZ1115" s="27">
        <f t="shared" si="214"/>
        <v>1.1150000000000001E-3</v>
      </c>
    </row>
    <row r="1116" spans="1:52" ht="15" customHeight="1" x14ac:dyDescent="0.25">
      <c r="A1116" s="13" t="e">
        <f>VLOOKUP(L1116,[1]VALIDAÇÃO!$D$13:$E$350,2,0)</f>
        <v>#N/A</v>
      </c>
      <c r="B1116" s="14" t="str">
        <f t="shared" si="216"/>
        <v>322</v>
      </c>
      <c r="C1116" s="15">
        <f t="shared" si="215"/>
        <v>322</v>
      </c>
      <c r="D1116" s="16" t="str">
        <f t="shared" si="217"/>
        <v>322</v>
      </c>
      <c r="E1116" s="17">
        <f t="shared" si="208"/>
        <v>322</v>
      </c>
      <c r="F1116" s="18" t="str">
        <f t="shared" si="218"/>
        <v>322</v>
      </c>
      <c r="G1116" s="18">
        <f t="shared" si="209"/>
        <v>322</v>
      </c>
      <c r="H1116" s="19" t="str">
        <f t="shared" si="219"/>
        <v>322</v>
      </c>
      <c r="I1116" s="19">
        <f t="shared" si="210"/>
        <v>322</v>
      </c>
      <c r="J1116" s="30"/>
      <c r="K1116" s="30"/>
      <c r="L1116" s="30"/>
      <c r="M1116" s="30"/>
      <c r="N1116" s="33"/>
      <c r="O1116" s="30"/>
      <c r="P1116" s="29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25"/>
      <c r="AK1116" s="30"/>
      <c r="AL1116" s="30"/>
      <c r="AM1116" s="30"/>
      <c r="AN1116" s="30"/>
      <c r="AO1116" s="30"/>
      <c r="AP1116" s="30"/>
      <c r="AQ1116" s="30"/>
      <c r="AR1116" s="30"/>
      <c r="AS1116" s="30"/>
      <c r="AT1116" s="30"/>
      <c r="AU1116" s="30"/>
      <c r="AW1116" s="27">
        <f t="shared" si="211"/>
        <v>1.116E-3</v>
      </c>
      <c r="AX1116" s="27">
        <f t="shared" si="212"/>
        <v>1.116E-3</v>
      </c>
      <c r="AY1116" s="27">
        <f t="shared" si="213"/>
        <v>1.116E-3</v>
      </c>
      <c r="AZ1116" s="27">
        <f t="shared" si="214"/>
        <v>1.116E-3</v>
      </c>
    </row>
    <row r="1117" spans="1:52" ht="15" customHeight="1" x14ac:dyDescent="0.25">
      <c r="A1117" s="13" t="e">
        <f>VLOOKUP(L1117,[1]VALIDAÇÃO!$D$13:$E$350,2,0)</f>
        <v>#N/A</v>
      </c>
      <c r="B1117" s="14" t="str">
        <f t="shared" si="216"/>
        <v>321</v>
      </c>
      <c r="C1117" s="15">
        <f t="shared" si="215"/>
        <v>321</v>
      </c>
      <c r="D1117" s="16" t="str">
        <f t="shared" si="217"/>
        <v>321</v>
      </c>
      <c r="E1117" s="17">
        <f t="shared" si="208"/>
        <v>321</v>
      </c>
      <c r="F1117" s="18" t="str">
        <f t="shared" si="218"/>
        <v>321</v>
      </c>
      <c r="G1117" s="18">
        <f t="shared" si="209"/>
        <v>321</v>
      </c>
      <c r="H1117" s="19" t="str">
        <f t="shared" si="219"/>
        <v>321</v>
      </c>
      <c r="I1117" s="19">
        <f t="shared" si="210"/>
        <v>321</v>
      </c>
      <c r="J1117" s="30"/>
      <c r="K1117" s="30"/>
      <c r="L1117" s="30"/>
      <c r="M1117" s="30"/>
      <c r="N1117" s="33"/>
      <c r="O1117" s="30"/>
      <c r="P1117" s="29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25"/>
      <c r="AK1117" s="30"/>
      <c r="AL1117" s="30"/>
      <c r="AM1117" s="30"/>
      <c r="AN1117" s="30"/>
      <c r="AO1117" s="30"/>
      <c r="AP1117" s="30"/>
      <c r="AQ1117" s="30"/>
      <c r="AR1117" s="30"/>
      <c r="AS1117" s="30"/>
      <c r="AT1117" s="30"/>
      <c r="AU1117" s="30"/>
      <c r="AW1117" s="27">
        <f t="shared" si="211"/>
        <v>1.1169999999999999E-3</v>
      </c>
      <c r="AX1117" s="27">
        <f t="shared" si="212"/>
        <v>1.1169999999999999E-3</v>
      </c>
      <c r="AY1117" s="27">
        <f t="shared" si="213"/>
        <v>1.1169999999999999E-3</v>
      </c>
      <c r="AZ1117" s="27">
        <f t="shared" si="214"/>
        <v>1.1169999999999999E-3</v>
      </c>
    </row>
    <row r="1118" spans="1:52" ht="15" customHeight="1" x14ac:dyDescent="0.25">
      <c r="A1118" s="13" t="e">
        <f>VLOOKUP(L1118,[1]VALIDAÇÃO!$D$13:$E$350,2,0)</f>
        <v>#N/A</v>
      </c>
      <c r="B1118" s="14" t="str">
        <f t="shared" si="216"/>
        <v>320</v>
      </c>
      <c r="C1118" s="15">
        <f t="shared" si="215"/>
        <v>320</v>
      </c>
      <c r="D1118" s="16" t="str">
        <f t="shared" si="217"/>
        <v>320</v>
      </c>
      <c r="E1118" s="17">
        <f t="shared" si="208"/>
        <v>320</v>
      </c>
      <c r="F1118" s="18" t="str">
        <f t="shared" si="218"/>
        <v>320</v>
      </c>
      <c r="G1118" s="18">
        <f t="shared" si="209"/>
        <v>320</v>
      </c>
      <c r="H1118" s="19" t="str">
        <f t="shared" si="219"/>
        <v>320</v>
      </c>
      <c r="I1118" s="19">
        <f t="shared" si="210"/>
        <v>320</v>
      </c>
      <c r="J1118" s="30"/>
      <c r="K1118" s="30"/>
      <c r="L1118" s="30"/>
      <c r="M1118" s="30"/>
      <c r="N1118" s="30"/>
      <c r="O1118" s="30"/>
      <c r="P1118" s="29"/>
      <c r="Q1118" s="29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25"/>
      <c r="AK1118" s="30"/>
      <c r="AL1118" s="30"/>
      <c r="AM1118" s="30"/>
      <c r="AN1118" s="30"/>
      <c r="AO1118" s="30"/>
      <c r="AP1118" s="30"/>
      <c r="AQ1118" s="30"/>
      <c r="AR1118" s="30"/>
      <c r="AS1118" s="30"/>
      <c r="AT1118" s="30"/>
      <c r="AU1118" s="30"/>
      <c r="AW1118" s="27">
        <f t="shared" si="211"/>
        <v>1.1180000000000001E-3</v>
      </c>
      <c r="AX1118" s="27">
        <f t="shared" si="212"/>
        <v>1.1180000000000001E-3</v>
      </c>
      <c r="AY1118" s="27">
        <f t="shared" si="213"/>
        <v>1.1180000000000001E-3</v>
      </c>
      <c r="AZ1118" s="27">
        <f t="shared" si="214"/>
        <v>1.1180000000000001E-3</v>
      </c>
    </row>
    <row r="1119" spans="1:52" ht="15" customHeight="1" x14ac:dyDescent="0.25">
      <c r="A1119" s="13" t="e">
        <f>VLOOKUP(L1119,[1]VALIDAÇÃO!$D$13:$E$350,2,0)</f>
        <v>#N/A</v>
      </c>
      <c r="B1119" s="14" t="str">
        <f t="shared" si="216"/>
        <v>319</v>
      </c>
      <c r="C1119" s="15">
        <f t="shared" si="215"/>
        <v>319</v>
      </c>
      <c r="D1119" s="16" t="str">
        <f t="shared" si="217"/>
        <v>319</v>
      </c>
      <c r="E1119" s="17">
        <f t="shared" si="208"/>
        <v>319</v>
      </c>
      <c r="F1119" s="18" t="str">
        <f t="shared" si="218"/>
        <v>319</v>
      </c>
      <c r="G1119" s="18">
        <f t="shared" si="209"/>
        <v>319</v>
      </c>
      <c r="H1119" s="19" t="str">
        <f t="shared" si="219"/>
        <v>319</v>
      </c>
      <c r="I1119" s="19">
        <f t="shared" si="210"/>
        <v>319</v>
      </c>
      <c r="J1119" s="30"/>
      <c r="K1119" s="30"/>
      <c r="L1119" s="30"/>
      <c r="M1119" s="30"/>
      <c r="N1119" s="33"/>
      <c r="O1119" s="30"/>
      <c r="P1119" s="29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25"/>
      <c r="AK1119" s="30"/>
      <c r="AL1119" s="30"/>
      <c r="AM1119" s="30"/>
      <c r="AN1119" s="30"/>
      <c r="AO1119" s="30"/>
      <c r="AP1119" s="30"/>
      <c r="AQ1119" s="30"/>
      <c r="AR1119" s="30"/>
      <c r="AS1119" s="30"/>
      <c r="AT1119" s="30"/>
      <c r="AU1119" s="30"/>
      <c r="AW1119" s="27">
        <f t="shared" si="211"/>
        <v>1.119E-3</v>
      </c>
      <c r="AX1119" s="27">
        <f t="shared" si="212"/>
        <v>1.119E-3</v>
      </c>
      <c r="AY1119" s="27">
        <f t="shared" si="213"/>
        <v>1.119E-3</v>
      </c>
      <c r="AZ1119" s="27">
        <f t="shared" si="214"/>
        <v>1.119E-3</v>
      </c>
    </row>
    <row r="1120" spans="1:52" ht="15" customHeight="1" x14ac:dyDescent="0.25">
      <c r="A1120" s="13" t="e">
        <f>VLOOKUP(L1120,[1]VALIDAÇÃO!$D$13:$E$350,2,0)</f>
        <v>#N/A</v>
      </c>
      <c r="B1120" s="14" t="str">
        <f t="shared" si="216"/>
        <v>318</v>
      </c>
      <c r="C1120" s="15">
        <f t="shared" si="215"/>
        <v>318</v>
      </c>
      <c r="D1120" s="16" t="str">
        <f t="shared" si="217"/>
        <v>318</v>
      </c>
      <c r="E1120" s="17">
        <f t="shared" si="208"/>
        <v>318</v>
      </c>
      <c r="F1120" s="18" t="str">
        <f t="shared" si="218"/>
        <v>318</v>
      </c>
      <c r="G1120" s="18">
        <f t="shared" si="209"/>
        <v>318</v>
      </c>
      <c r="H1120" s="19" t="str">
        <f t="shared" si="219"/>
        <v>318</v>
      </c>
      <c r="I1120" s="19">
        <f t="shared" si="210"/>
        <v>318</v>
      </c>
      <c r="J1120" s="30"/>
      <c r="K1120" s="30"/>
      <c r="L1120" s="30"/>
      <c r="M1120" s="30"/>
      <c r="N1120" s="30"/>
      <c r="O1120" s="30"/>
      <c r="P1120" s="29"/>
      <c r="Q1120" s="29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25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W1120" s="27">
        <f t="shared" si="211"/>
        <v>1.1199999999999999E-3</v>
      </c>
      <c r="AX1120" s="27">
        <f t="shared" si="212"/>
        <v>1.1199999999999999E-3</v>
      </c>
      <c r="AY1120" s="27">
        <f t="shared" si="213"/>
        <v>1.1199999999999999E-3</v>
      </c>
      <c r="AZ1120" s="27">
        <f t="shared" si="214"/>
        <v>1.1199999999999999E-3</v>
      </c>
    </row>
    <row r="1121" spans="1:52" ht="15" customHeight="1" x14ac:dyDescent="0.25">
      <c r="A1121" s="13" t="e">
        <f>VLOOKUP(L1121,[1]VALIDAÇÃO!$D$13:$E$350,2,0)</f>
        <v>#N/A</v>
      </c>
      <c r="B1121" s="14" t="str">
        <f t="shared" si="216"/>
        <v>317</v>
      </c>
      <c r="C1121" s="15">
        <f t="shared" si="215"/>
        <v>317</v>
      </c>
      <c r="D1121" s="16" t="str">
        <f t="shared" si="217"/>
        <v>317</v>
      </c>
      <c r="E1121" s="17">
        <f t="shared" si="208"/>
        <v>317</v>
      </c>
      <c r="F1121" s="18" t="str">
        <f t="shared" si="218"/>
        <v>317</v>
      </c>
      <c r="G1121" s="18">
        <f t="shared" si="209"/>
        <v>317</v>
      </c>
      <c r="H1121" s="19" t="str">
        <f t="shared" si="219"/>
        <v>317</v>
      </c>
      <c r="I1121" s="19">
        <f t="shared" si="210"/>
        <v>317</v>
      </c>
      <c r="J1121" s="30"/>
      <c r="K1121" s="30"/>
      <c r="L1121" s="30"/>
      <c r="M1121" s="30"/>
      <c r="N1121" s="30"/>
      <c r="O1121" s="30"/>
      <c r="P1121" s="29"/>
      <c r="Q1121" s="29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c r="AJ1121" s="25"/>
      <c r="AK1121" s="30"/>
      <c r="AL1121" s="30"/>
      <c r="AM1121" s="30"/>
      <c r="AN1121" s="30"/>
      <c r="AO1121" s="30"/>
      <c r="AP1121" s="30"/>
      <c r="AQ1121" s="30"/>
      <c r="AR1121" s="30"/>
      <c r="AS1121" s="30"/>
      <c r="AT1121" s="30"/>
      <c r="AU1121" s="30"/>
      <c r="AW1121" s="27">
        <f t="shared" si="211"/>
        <v>1.121E-3</v>
      </c>
      <c r="AX1121" s="27">
        <f t="shared" si="212"/>
        <v>1.121E-3</v>
      </c>
      <c r="AY1121" s="27">
        <f t="shared" si="213"/>
        <v>1.121E-3</v>
      </c>
      <c r="AZ1121" s="27">
        <f t="shared" si="214"/>
        <v>1.121E-3</v>
      </c>
    </row>
    <row r="1122" spans="1:52" ht="15" customHeight="1" x14ac:dyDescent="0.25">
      <c r="A1122" s="13" t="e">
        <f>VLOOKUP(L1122,[1]VALIDAÇÃO!$D$13:$E$350,2,0)</f>
        <v>#N/A</v>
      </c>
      <c r="B1122" s="14" t="str">
        <f t="shared" si="216"/>
        <v>316</v>
      </c>
      <c r="C1122" s="15">
        <f t="shared" si="215"/>
        <v>316</v>
      </c>
      <c r="D1122" s="16" t="str">
        <f t="shared" si="217"/>
        <v>316</v>
      </c>
      <c r="E1122" s="17">
        <f t="shared" si="208"/>
        <v>316</v>
      </c>
      <c r="F1122" s="18" t="str">
        <f t="shared" si="218"/>
        <v>316</v>
      </c>
      <c r="G1122" s="18">
        <f t="shared" si="209"/>
        <v>316</v>
      </c>
      <c r="H1122" s="19" t="str">
        <f t="shared" si="219"/>
        <v>316</v>
      </c>
      <c r="I1122" s="19">
        <f t="shared" si="210"/>
        <v>316</v>
      </c>
      <c r="J1122" s="30"/>
      <c r="K1122" s="30"/>
      <c r="L1122" s="30"/>
      <c r="M1122" s="30"/>
      <c r="N1122" s="30"/>
      <c r="O1122" s="30"/>
      <c r="P1122" s="29"/>
      <c r="Q1122" s="29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c r="AJ1122" s="25"/>
      <c r="AK1122" s="30"/>
      <c r="AL1122" s="30"/>
      <c r="AM1122" s="30"/>
      <c r="AN1122" s="30"/>
      <c r="AO1122" s="30"/>
      <c r="AP1122" s="30"/>
      <c r="AQ1122" s="30"/>
      <c r="AR1122" s="30"/>
      <c r="AS1122" s="30"/>
      <c r="AT1122" s="30"/>
      <c r="AU1122" s="30"/>
      <c r="AW1122" s="27">
        <f t="shared" si="211"/>
        <v>1.122E-3</v>
      </c>
      <c r="AX1122" s="27">
        <f t="shared" si="212"/>
        <v>1.122E-3</v>
      </c>
      <c r="AY1122" s="27">
        <f t="shared" si="213"/>
        <v>1.122E-3</v>
      </c>
      <c r="AZ1122" s="27">
        <f t="shared" si="214"/>
        <v>1.122E-3</v>
      </c>
    </row>
    <row r="1123" spans="1:52" ht="15" customHeight="1" x14ac:dyDescent="0.25">
      <c r="A1123" s="13" t="e">
        <f>VLOOKUP(L1123,[1]VALIDAÇÃO!$D$13:$E$350,2,0)</f>
        <v>#N/A</v>
      </c>
      <c r="B1123" s="14" t="str">
        <f t="shared" si="216"/>
        <v>315</v>
      </c>
      <c r="C1123" s="15">
        <f t="shared" si="215"/>
        <v>315</v>
      </c>
      <c r="D1123" s="16" t="str">
        <f t="shared" si="217"/>
        <v>315</v>
      </c>
      <c r="E1123" s="17">
        <f t="shared" si="208"/>
        <v>315</v>
      </c>
      <c r="F1123" s="18" t="str">
        <f t="shared" si="218"/>
        <v>315</v>
      </c>
      <c r="G1123" s="18">
        <f t="shared" si="209"/>
        <v>315</v>
      </c>
      <c r="H1123" s="19" t="str">
        <f t="shared" si="219"/>
        <v>315</v>
      </c>
      <c r="I1123" s="19">
        <f t="shared" si="210"/>
        <v>315</v>
      </c>
      <c r="J1123" s="30"/>
      <c r="K1123" s="30"/>
      <c r="L1123" s="30"/>
      <c r="M1123" s="30"/>
      <c r="N1123" s="30"/>
      <c r="O1123" s="30"/>
      <c r="P1123" s="29"/>
      <c r="Q1123" s="29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25"/>
      <c r="AK1123" s="30"/>
      <c r="AL1123" s="30"/>
      <c r="AM1123" s="30"/>
      <c r="AN1123" s="30"/>
      <c r="AO1123" s="30"/>
      <c r="AP1123" s="30"/>
      <c r="AQ1123" s="30"/>
      <c r="AR1123" s="30"/>
      <c r="AS1123" s="30"/>
      <c r="AT1123" s="30"/>
      <c r="AU1123" s="30"/>
      <c r="AW1123" s="27">
        <f t="shared" si="211"/>
        <v>1.1230000000000001E-3</v>
      </c>
      <c r="AX1123" s="27">
        <f t="shared" si="212"/>
        <v>1.1230000000000001E-3</v>
      </c>
      <c r="AY1123" s="27">
        <f t="shared" si="213"/>
        <v>1.1230000000000001E-3</v>
      </c>
      <c r="AZ1123" s="27">
        <f t="shared" si="214"/>
        <v>1.1230000000000001E-3</v>
      </c>
    </row>
    <row r="1124" spans="1:52" ht="15" customHeight="1" x14ac:dyDescent="0.25">
      <c r="A1124" s="13" t="e">
        <f>VLOOKUP(L1124,[1]VALIDAÇÃO!$D$13:$E$350,2,0)</f>
        <v>#N/A</v>
      </c>
      <c r="B1124" s="14" t="str">
        <f t="shared" si="216"/>
        <v>314</v>
      </c>
      <c r="C1124" s="15">
        <f t="shared" si="215"/>
        <v>314</v>
      </c>
      <c r="D1124" s="16" t="str">
        <f t="shared" si="217"/>
        <v>314</v>
      </c>
      <c r="E1124" s="17">
        <f t="shared" si="208"/>
        <v>314</v>
      </c>
      <c r="F1124" s="18" t="str">
        <f t="shared" si="218"/>
        <v>314</v>
      </c>
      <c r="G1124" s="18">
        <f t="shared" si="209"/>
        <v>314</v>
      </c>
      <c r="H1124" s="19" t="str">
        <f t="shared" si="219"/>
        <v>314</v>
      </c>
      <c r="I1124" s="19">
        <f t="shared" si="210"/>
        <v>314</v>
      </c>
      <c r="J1124" s="30"/>
      <c r="K1124" s="30"/>
      <c r="L1124" s="30"/>
      <c r="M1124" s="30"/>
      <c r="N1124" s="33"/>
      <c r="O1124" s="30"/>
      <c r="P1124" s="29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25"/>
      <c r="AK1124" s="30"/>
      <c r="AL1124" s="30"/>
      <c r="AM1124" s="30"/>
      <c r="AN1124" s="30"/>
      <c r="AO1124" s="30"/>
      <c r="AP1124" s="30"/>
      <c r="AQ1124" s="30"/>
      <c r="AR1124" s="30"/>
      <c r="AS1124" s="30"/>
      <c r="AT1124" s="30"/>
      <c r="AU1124" s="30"/>
      <c r="AW1124" s="27">
        <f t="shared" si="211"/>
        <v>1.124E-3</v>
      </c>
      <c r="AX1124" s="27">
        <f t="shared" si="212"/>
        <v>1.124E-3</v>
      </c>
      <c r="AY1124" s="27">
        <f t="shared" si="213"/>
        <v>1.124E-3</v>
      </c>
      <c r="AZ1124" s="27">
        <f t="shared" si="214"/>
        <v>1.124E-3</v>
      </c>
    </row>
    <row r="1125" spans="1:52" ht="15" customHeight="1" x14ac:dyDescent="0.25">
      <c r="A1125" s="13" t="e">
        <f>VLOOKUP(L1125,[1]VALIDAÇÃO!$D$13:$E$350,2,0)</f>
        <v>#N/A</v>
      </c>
      <c r="B1125" s="14" t="str">
        <f t="shared" si="216"/>
        <v>313</v>
      </c>
      <c r="C1125" s="15">
        <f t="shared" si="215"/>
        <v>313</v>
      </c>
      <c r="D1125" s="16" t="str">
        <f t="shared" si="217"/>
        <v>313</v>
      </c>
      <c r="E1125" s="17">
        <f t="shared" si="208"/>
        <v>313</v>
      </c>
      <c r="F1125" s="18" t="str">
        <f t="shared" si="218"/>
        <v>313</v>
      </c>
      <c r="G1125" s="18">
        <f t="shared" si="209"/>
        <v>313</v>
      </c>
      <c r="H1125" s="19" t="str">
        <f t="shared" si="219"/>
        <v>313</v>
      </c>
      <c r="I1125" s="19">
        <f t="shared" si="210"/>
        <v>313</v>
      </c>
      <c r="J1125" s="30"/>
      <c r="K1125" s="30"/>
      <c r="L1125" s="30"/>
      <c r="M1125" s="30"/>
      <c r="N1125" s="30"/>
      <c r="O1125" s="30"/>
      <c r="P1125" s="29"/>
      <c r="Q1125" s="29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25"/>
      <c r="AK1125" s="30"/>
      <c r="AL1125" s="30"/>
      <c r="AM1125" s="30"/>
      <c r="AN1125" s="30"/>
      <c r="AO1125" s="30"/>
      <c r="AP1125" s="30"/>
      <c r="AQ1125" s="30"/>
      <c r="AR1125" s="30"/>
      <c r="AS1125" s="30"/>
      <c r="AT1125" s="30"/>
      <c r="AU1125" s="30"/>
      <c r="AW1125" s="27">
        <f t="shared" si="211"/>
        <v>1.1249999999999999E-3</v>
      </c>
      <c r="AX1125" s="27">
        <f t="shared" si="212"/>
        <v>1.1249999999999999E-3</v>
      </c>
      <c r="AY1125" s="27">
        <f t="shared" si="213"/>
        <v>1.1249999999999999E-3</v>
      </c>
      <c r="AZ1125" s="27">
        <f t="shared" si="214"/>
        <v>1.1249999999999999E-3</v>
      </c>
    </row>
    <row r="1126" spans="1:52" ht="15" customHeight="1" x14ac:dyDescent="0.25">
      <c r="A1126" s="13" t="e">
        <f>VLOOKUP(L1126,[1]VALIDAÇÃO!$D$13:$E$350,2,0)</f>
        <v>#N/A</v>
      </c>
      <c r="B1126" s="14" t="str">
        <f t="shared" si="216"/>
        <v>312</v>
      </c>
      <c r="C1126" s="15">
        <f t="shared" si="215"/>
        <v>312</v>
      </c>
      <c r="D1126" s="16" t="str">
        <f t="shared" si="217"/>
        <v>312</v>
      </c>
      <c r="E1126" s="17">
        <f t="shared" si="208"/>
        <v>312</v>
      </c>
      <c r="F1126" s="18" t="str">
        <f t="shared" si="218"/>
        <v>312</v>
      </c>
      <c r="G1126" s="18">
        <f t="shared" si="209"/>
        <v>312</v>
      </c>
      <c r="H1126" s="19" t="str">
        <f t="shared" si="219"/>
        <v>312</v>
      </c>
      <c r="I1126" s="19">
        <f t="shared" si="210"/>
        <v>312</v>
      </c>
      <c r="J1126" s="30"/>
      <c r="K1126" s="30"/>
      <c r="L1126" s="30"/>
      <c r="M1126" s="30"/>
      <c r="N1126" s="33"/>
      <c r="O1126" s="30"/>
      <c r="P1126" s="29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25"/>
      <c r="AK1126" s="30"/>
      <c r="AL1126" s="30"/>
      <c r="AM1126" s="30"/>
      <c r="AN1126" s="30"/>
      <c r="AO1126" s="30"/>
      <c r="AP1126" s="30"/>
      <c r="AQ1126" s="30"/>
      <c r="AR1126" s="30"/>
      <c r="AS1126" s="30"/>
      <c r="AT1126" s="30"/>
      <c r="AU1126" s="30"/>
      <c r="AW1126" s="27">
        <f t="shared" si="211"/>
        <v>1.126E-3</v>
      </c>
      <c r="AX1126" s="27">
        <f t="shared" si="212"/>
        <v>1.126E-3</v>
      </c>
      <c r="AY1126" s="27">
        <f t="shared" si="213"/>
        <v>1.126E-3</v>
      </c>
      <c r="AZ1126" s="27">
        <f t="shared" si="214"/>
        <v>1.126E-3</v>
      </c>
    </row>
    <row r="1127" spans="1:52" ht="15" customHeight="1" x14ac:dyDescent="0.25">
      <c r="A1127" s="13" t="e">
        <f>VLOOKUP(L1127,[1]VALIDAÇÃO!$D$13:$E$350,2,0)</f>
        <v>#N/A</v>
      </c>
      <c r="B1127" s="14" t="str">
        <f t="shared" si="216"/>
        <v>311</v>
      </c>
      <c r="C1127" s="15">
        <f t="shared" si="215"/>
        <v>311</v>
      </c>
      <c r="D1127" s="16" t="str">
        <f t="shared" si="217"/>
        <v>311</v>
      </c>
      <c r="E1127" s="17">
        <f t="shared" si="208"/>
        <v>311</v>
      </c>
      <c r="F1127" s="18" t="str">
        <f t="shared" si="218"/>
        <v>311</v>
      </c>
      <c r="G1127" s="18">
        <f t="shared" si="209"/>
        <v>311</v>
      </c>
      <c r="H1127" s="19" t="str">
        <f t="shared" si="219"/>
        <v>311</v>
      </c>
      <c r="I1127" s="19">
        <f t="shared" si="210"/>
        <v>311</v>
      </c>
      <c r="J1127" s="30"/>
      <c r="K1127" s="30"/>
      <c r="L1127" s="30"/>
      <c r="M1127" s="30"/>
      <c r="N1127" s="30"/>
      <c r="O1127" s="30"/>
      <c r="P1127" s="29"/>
      <c r="Q1127" s="29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25"/>
      <c r="AK1127" s="30"/>
      <c r="AL1127" s="30"/>
      <c r="AM1127" s="30"/>
      <c r="AN1127" s="30"/>
      <c r="AO1127" s="30"/>
      <c r="AP1127" s="30"/>
      <c r="AQ1127" s="30"/>
      <c r="AR1127" s="30"/>
      <c r="AS1127" s="30"/>
      <c r="AT1127" s="30"/>
      <c r="AU1127" s="30"/>
      <c r="AW1127" s="27">
        <f t="shared" si="211"/>
        <v>1.127E-3</v>
      </c>
      <c r="AX1127" s="27">
        <f t="shared" si="212"/>
        <v>1.127E-3</v>
      </c>
      <c r="AY1127" s="27">
        <f t="shared" si="213"/>
        <v>1.127E-3</v>
      </c>
      <c r="AZ1127" s="27">
        <f t="shared" si="214"/>
        <v>1.127E-3</v>
      </c>
    </row>
    <row r="1128" spans="1:52" ht="15" customHeight="1" x14ac:dyDescent="0.25">
      <c r="A1128" s="13" t="e">
        <f>VLOOKUP(L1128,[1]VALIDAÇÃO!$D$13:$E$350,2,0)</f>
        <v>#N/A</v>
      </c>
      <c r="B1128" s="14" t="str">
        <f t="shared" si="216"/>
        <v>310</v>
      </c>
      <c r="C1128" s="15">
        <f t="shared" si="215"/>
        <v>310</v>
      </c>
      <c r="D1128" s="16" t="str">
        <f t="shared" si="217"/>
        <v>310</v>
      </c>
      <c r="E1128" s="17">
        <f t="shared" si="208"/>
        <v>310</v>
      </c>
      <c r="F1128" s="18" t="str">
        <f t="shared" si="218"/>
        <v>310</v>
      </c>
      <c r="G1128" s="18">
        <f t="shared" si="209"/>
        <v>310</v>
      </c>
      <c r="H1128" s="19" t="str">
        <f t="shared" si="219"/>
        <v>310</v>
      </c>
      <c r="I1128" s="19">
        <f t="shared" si="210"/>
        <v>310</v>
      </c>
      <c r="J1128" s="30"/>
      <c r="K1128" s="30"/>
      <c r="L1128" s="30"/>
      <c r="M1128" s="30"/>
      <c r="N1128" s="33"/>
      <c r="O1128" s="30"/>
      <c r="P1128" s="29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25"/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30"/>
      <c r="AW1128" s="27">
        <f t="shared" si="211"/>
        <v>1.1280000000000001E-3</v>
      </c>
      <c r="AX1128" s="27">
        <f t="shared" si="212"/>
        <v>1.1280000000000001E-3</v>
      </c>
      <c r="AY1128" s="27">
        <f t="shared" si="213"/>
        <v>1.1280000000000001E-3</v>
      </c>
      <c r="AZ1128" s="27">
        <f t="shared" si="214"/>
        <v>1.1280000000000001E-3</v>
      </c>
    </row>
    <row r="1129" spans="1:52" ht="15" customHeight="1" x14ac:dyDescent="0.25">
      <c r="A1129" s="13" t="e">
        <f>VLOOKUP(L1129,[1]VALIDAÇÃO!$D$13:$E$350,2,0)</f>
        <v>#N/A</v>
      </c>
      <c r="B1129" s="14" t="str">
        <f t="shared" si="216"/>
        <v>309</v>
      </c>
      <c r="C1129" s="15">
        <f t="shared" si="215"/>
        <v>309</v>
      </c>
      <c r="D1129" s="16" t="str">
        <f t="shared" si="217"/>
        <v>309</v>
      </c>
      <c r="E1129" s="17">
        <f t="shared" si="208"/>
        <v>309</v>
      </c>
      <c r="F1129" s="18" t="str">
        <f t="shared" si="218"/>
        <v>309</v>
      </c>
      <c r="G1129" s="18">
        <f t="shared" si="209"/>
        <v>309</v>
      </c>
      <c r="H1129" s="19" t="str">
        <f t="shared" si="219"/>
        <v>309</v>
      </c>
      <c r="I1129" s="19">
        <f t="shared" si="210"/>
        <v>309</v>
      </c>
      <c r="J1129" s="30"/>
      <c r="K1129" s="30"/>
      <c r="L1129" s="30"/>
      <c r="M1129" s="30"/>
      <c r="N1129" s="33"/>
      <c r="O1129" s="30"/>
      <c r="P1129" s="29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25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W1129" s="27">
        <f t="shared" si="211"/>
        <v>1.129E-3</v>
      </c>
      <c r="AX1129" s="27">
        <f t="shared" si="212"/>
        <v>1.129E-3</v>
      </c>
      <c r="AY1129" s="27">
        <f t="shared" si="213"/>
        <v>1.129E-3</v>
      </c>
      <c r="AZ1129" s="27">
        <f t="shared" si="214"/>
        <v>1.129E-3</v>
      </c>
    </row>
    <row r="1130" spans="1:52" ht="15" customHeight="1" x14ac:dyDescent="0.25">
      <c r="A1130" s="13" t="e">
        <f>VLOOKUP(L1130,[1]VALIDAÇÃO!$D$13:$E$350,2,0)</f>
        <v>#N/A</v>
      </c>
      <c r="B1130" s="14" t="str">
        <f t="shared" si="216"/>
        <v>308</v>
      </c>
      <c r="C1130" s="15">
        <f t="shared" si="215"/>
        <v>308</v>
      </c>
      <c r="D1130" s="16" t="str">
        <f t="shared" si="217"/>
        <v>308</v>
      </c>
      <c r="E1130" s="17">
        <f t="shared" si="208"/>
        <v>308</v>
      </c>
      <c r="F1130" s="18" t="str">
        <f t="shared" si="218"/>
        <v>308</v>
      </c>
      <c r="G1130" s="18">
        <f t="shared" si="209"/>
        <v>308</v>
      </c>
      <c r="H1130" s="19" t="str">
        <f t="shared" si="219"/>
        <v>308</v>
      </c>
      <c r="I1130" s="19">
        <f t="shared" si="210"/>
        <v>308</v>
      </c>
      <c r="J1130" s="30"/>
      <c r="K1130" s="30"/>
      <c r="L1130" s="30"/>
      <c r="M1130" s="30"/>
      <c r="N1130" s="33"/>
      <c r="O1130" s="30"/>
      <c r="P1130" s="29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25"/>
      <c r="AK1130" s="30"/>
      <c r="AL1130" s="30"/>
      <c r="AM1130" s="30"/>
      <c r="AN1130" s="30"/>
      <c r="AO1130" s="30"/>
      <c r="AP1130" s="30"/>
      <c r="AQ1130" s="30"/>
      <c r="AR1130" s="30"/>
      <c r="AS1130" s="30"/>
      <c r="AT1130" s="30"/>
      <c r="AU1130" s="30"/>
      <c r="AW1130" s="27">
        <f t="shared" si="211"/>
        <v>1.1299999999999999E-3</v>
      </c>
      <c r="AX1130" s="27">
        <f t="shared" si="212"/>
        <v>1.1299999999999999E-3</v>
      </c>
      <c r="AY1130" s="27">
        <f t="shared" si="213"/>
        <v>1.1299999999999999E-3</v>
      </c>
      <c r="AZ1130" s="27">
        <f t="shared" si="214"/>
        <v>1.1299999999999999E-3</v>
      </c>
    </row>
    <row r="1131" spans="1:52" ht="15" customHeight="1" x14ac:dyDescent="0.25">
      <c r="A1131" s="13" t="e">
        <f>VLOOKUP(L1131,[1]VALIDAÇÃO!$D$13:$E$350,2,0)</f>
        <v>#N/A</v>
      </c>
      <c r="B1131" s="14" t="str">
        <f t="shared" si="216"/>
        <v>307</v>
      </c>
      <c r="C1131" s="15">
        <f t="shared" si="215"/>
        <v>307</v>
      </c>
      <c r="D1131" s="16" t="str">
        <f t="shared" si="217"/>
        <v>307</v>
      </c>
      <c r="E1131" s="17">
        <f t="shared" si="208"/>
        <v>307</v>
      </c>
      <c r="F1131" s="18" t="str">
        <f t="shared" si="218"/>
        <v>307</v>
      </c>
      <c r="G1131" s="18">
        <f t="shared" si="209"/>
        <v>307</v>
      </c>
      <c r="H1131" s="19" t="str">
        <f t="shared" si="219"/>
        <v>307</v>
      </c>
      <c r="I1131" s="19">
        <f t="shared" si="210"/>
        <v>307</v>
      </c>
      <c r="J1131" s="30"/>
      <c r="K1131" s="30"/>
      <c r="L1131" s="30"/>
      <c r="M1131" s="30"/>
      <c r="N1131" s="30"/>
      <c r="O1131" s="30"/>
      <c r="P1131" s="29"/>
      <c r="Q1131" s="29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25"/>
      <c r="AK1131" s="30"/>
      <c r="AL1131" s="30"/>
      <c r="AM1131" s="30"/>
      <c r="AN1131" s="30"/>
      <c r="AO1131" s="30"/>
      <c r="AP1131" s="30"/>
      <c r="AQ1131" s="30"/>
      <c r="AR1131" s="30"/>
      <c r="AS1131" s="30"/>
      <c r="AT1131" s="30"/>
      <c r="AU1131" s="30"/>
      <c r="AW1131" s="27">
        <f t="shared" si="211"/>
        <v>1.1310000000000001E-3</v>
      </c>
      <c r="AX1131" s="27">
        <f t="shared" si="212"/>
        <v>1.1310000000000001E-3</v>
      </c>
      <c r="AY1131" s="27">
        <f t="shared" si="213"/>
        <v>1.1310000000000001E-3</v>
      </c>
      <c r="AZ1131" s="27">
        <f t="shared" si="214"/>
        <v>1.1310000000000001E-3</v>
      </c>
    </row>
    <row r="1132" spans="1:52" ht="15" customHeight="1" x14ac:dyDescent="0.25">
      <c r="A1132" s="13" t="e">
        <f>VLOOKUP(L1132,[1]VALIDAÇÃO!$D$13:$E$350,2,0)</f>
        <v>#N/A</v>
      </c>
      <c r="B1132" s="14" t="str">
        <f t="shared" si="216"/>
        <v>306</v>
      </c>
      <c r="C1132" s="15">
        <f t="shared" si="215"/>
        <v>306</v>
      </c>
      <c r="D1132" s="16" t="str">
        <f t="shared" si="217"/>
        <v>306</v>
      </c>
      <c r="E1132" s="17">
        <f t="shared" si="208"/>
        <v>306</v>
      </c>
      <c r="F1132" s="18" t="str">
        <f t="shared" si="218"/>
        <v>306</v>
      </c>
      <c r="G1132" s="18">
        <f t="shared" si="209"/>
        <v>306</v>
      </c>
      <c r="H1132" s="19" t="str">
        <f t="shared" si="219"/>
        <v>306</v>
      </c>
      <c r="I1132" s="19">
        <f t="shared" si="210"/>
        <v>306</v>
      </c>
      <c r="J1132" s="30"/>
      <c r="K1132" s="30"/>
      <c r="L1132" s="30"/>
      <c r="M1132" s="30"/>
      <c r="N1132" s="30"/>
      <c r="O1132" s="30"/>
      <c r="P1132" s="29"/>
      <c r="Q1132" s="29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25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W1132" s="27">
        <f t="shared" si="211"/>
        <v>1.132E-3</v>
      </c>
      <c r="AX1132" s="27">
        <f t="shared" si="212"/>
        <v>1.132E-3</v>
      </c>
      <c r="AY1132" s="27">
        <f t="shared" si="213"/>
        <v>1.132E-3</v>
      </c>
      <c r="AZ1132" s="27">
        <f t="shared" si="214"/>
        <v>1.132E-3</v>
      </c>
    </row>
    <row r="1133" spans="1:52" ht="15" customHeight="1" x14ac:dyDescent="0.25">
      <c r="A1133" s="13" t="e">
        <f>VLOOKUP(L1133,[1]VALIDAÇÃO!$D$13:$E$350,2,0)</f>
        <v>#N/A</v>
      </c>
      <c r="B1133" s="14" t="str">
        <f t="shared" si="216"/>
        <v>305</v>
      </c>
      <c r="C1133" s="15">
        <f t="shared" si="215"/>
        <v>305</v>
      </c>
      <c r="D1133" s="16" t="str">
        <f t="shared" si="217"/>
        <v>305</v>
      </c>
      <c r="E1133" s="17">
        <f t="shared" si="208"/>
        <v>305</v>
      </c>
      <c r="F1133" s="18" t="str">
        <f t="shared" si="218"/>
        <v>305</v>
      </c>
      <c r="G1133" s="18">
        <f t="shared" si="209"/>
        <v>305</v>
      </c>
      <c r="H1133" s="19" t="str">
        <f t="shared" si="219"/>
        <v>305</v>
      </c>
      <c r="I1133" s="19">
        <f t="shared" si="210"/>
        <v>305</v>
      </c>
      <c r="J1133" s="30"/>
      <c r="K1133" s="30"/>
      <c r="L1133" s="30"/>
      <c r="M1133" s="30"/>
      <c r="N1133" s="30"/>
      <c r="O1133" s="30"/>
      <c r="P1133" s="29"/>
      <c r="Q1133" s="29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25"/>
      <c r="AK1133" s="30"/>
      <c r="AL1133" s="30"/>
      <c r="AM1133" s="30"/>
      <c r="AN1133" s="30"/>
      <c r="AO1133" s="30"/>
      <c r="AP1133" s="30"/>
      <c r="AQ1133" s="30"/>
      <c r="AR1133" s="30"/>
      <c r="AS1133" s="30"/>
      <c r="AT1133" s="30"/>
      <c r="AU1133" s="30"/>
      <c r="AW1133" s="27">
        <f t="shared" si="211"/>
        <v>1.1329999999999999E-3</v>
      </c>
      <c r="AX1133" s="27">
        <f t="shared" si="212"/>
        <v>1.1329999999999999E-3</v>
      </c>
      <c r="AY1133" s="27">
        <f t="shared" si="213"/>
        <v>1.1329999999999999E-3</v>
      </c>
      <c r="AZ1133" s="27">
        <f t="shared" si="214"/>
        <v>1.1329999999999999E-3</v>
      </c>
    </row>
    <row r="1134" spans="1:52" ht="15" customHeight="1" x14ac:dyDescent="0.25">
      <c r="A1134" s="13" t="e">
        <f>VLOOKUP(L1134,[1]VALIDAÇÃO!$D$13:$E$350,2,0)</f>
        <v>#N/A</v>
      </c>
      <c r="B1134" s="14" t="str">
        <f t="shared" si="216"/>
        <v>304</v>
      </c>
      <c r="C1134" s="15">
        <f t="shared" si="215"/>
        <v>304</v>
      </c>
      <c r="D1134" s="16" t="str">
        <f t="shared" si="217"/>
        <v>304</v>
      </c>
      <c r="E1134" s="17">
        <f t="shared" si="208"/>
        <v>304</v>
      </c>
      <c r="F1134" s="18" t="str">
        <f t="shared" si="218"/>
        <v>304</v>
      </c>
      <c r="G1134" s="18">
        <f t="shared" si="209"/>
        <v>304</v>
      </c>
      <c r="H1134" s="19" t="str">
        <f t="shared" si="219"/>
        <v>304</v>
      </c>
      <c r="I1134" s="19">
        <f t="shared" si="210"/>
        <v>304</v>
      </c>
      <c r="J1134" s="30"/>
      <c r="K1134" s="30"/>
      <c r="L1134" s="30"/>
      <c r="M1134" s="30"/>
      <c r="N1134" s="30"/>
      <c r="O1134" s="30"/>
      <c r="P1134" s="29"/>
      <c r="Q1134" s="29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25"/>
      <c r="AK1134" s="30"/>
      <c r="AL1134" s="30"/>
      <c r="AM1134" s="30"/>
      <c r="AN1134" s="30"/>
      <c r="AO1134" s="30"/>
      <c r="AP1134" s="30"/>
      <c r="AQ1134" s="30"/>
      <c r="AR1134" s="30"/>
      <c r="AS1134" s="30"/>
      <c r="AT1134" s="30"/>
      <c r="AU1134" s="30"/>
      <c r="AW1134" s="27">
        <f t="shared" si="211"/>
        <v>1.134E-3</v>
      </c>
      <c r="AX1134" s="27">
        <f t="shared" si="212"/>
        <v>1.134E-3</v>
      </c>
      <c r="AY1134" s="27">
        <f t="shared" si="213"/>
        <v>1.134E-3</v>
      </c>
      <c r="AZ1134" s="27">
        <f t="shared" si="214"/>
        <v>1.134E-3</v>
      </c>
    </row>
    <row r="1135" spans="1:52" ht="15" customHeight="1" x14ac:dyDescent="0.25">
      <c r="A1135" s="13" t="e">
        <f>VLOOKUP(L1135,[1]VALIDAÇÃO!$D$13:$E$350,2,0)</f>
        <v>#N/A</v>
      </c>
      <c r="B1135" s="14" t="str">
        <f t="shared" si="216"/>
        <v>303</v>
      </c>
      <c r="C1135" s="15">
        <f t="shared" si="215"/>
        <v>303</v>
      </c>
      <c r="D1135" s="16" t="str">
        <f t="shared" si="217"/>
        <v>303</v>
      </c>
      <c r="E1135" s="17">
        <f t="shared" si="208"/>
        <v>303</v>
      </c>
      <c r="F1135" s="18" t="str">
        <f t="shared" si="218"/>
        <v>303</v>
      </c>
      <c r="G1135" s="18">
        <f t="shared" si="209"/>
        <v>303</v>
      </c>
      <c r="H1135" s="19" t="str">
        <f t="shared" si="219"/>
        <v>303</v>
      </c>
      <c r="I1135" s="19">
        <f t="shared" si="210"/>
        <v>303</v>
      </c>
      <c r="J1135" s="30"/>
      <c r="K1135" s="30"/>
      <c r="L1135" s="30"/>
      <c r="M1135" s="30"/>
      <c r="N1135" s="33"/>
      <c r="O1135" s="30"/>
      <c r="P1135" s="29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25"/>
      <c r="AK1135" s="30"/>
      <c r="AL1135" s="30"/>
      <c r="AM1135" s="30"/>
      <c r="AN1135" s="30"/>
      <c r="AO1135" s="30"/>
      <c r="AP1135" s="30"/>
      <c r="AQ1135" s="30"/>
      <c r="AR1135" s="30"/>
      <c r="AS1135" s="30"/>
      <c r="AT1135" s="30"/>
      <c r="AU1135" s="30"/>
      <c r="AW1135" s="27">
        <f t="shared" si="211"/>
        <v>1.1349999999999999E-3</v>
      </c>
      <c r="AX1135" s="27">
        <f t="shared" si="212"/>
        <v>1.1349999999999999E-3</v>
      </c>
      <c r="AY1135" s="27">
        <f t="shared" si="213"/>
        <v>1.1349999999999999E-3</v>
      </c>
      <c r="AZ1135" s="27">
        <f t="shared" si="214"/>
        <v>1.1349999999999999E-3</v>
      </c>
    </row>
    <row r="1136" spans="1:52" ht="15" customHeight="1" x14ac:dyDescent="0.25">
      <c r="A1136" s="13" t="e">
        <f>VLOOKUP(L1136,[1]VALIDAÇÃO!$D$13:$E$350,2,0)</f>
        <v>#N/A</v>
      </c>
      <c r="B1136" s="14" t="str">
        <f t="shared" si="216"/>
        <v>302</v>
      </c>
      <c r="C1136" s="15">
        <f t="shared" si="215"/>
        <v>302</v>
      </c>
      <c r="D1136" s="16" t="str">
        <f t="shared" si="217"/>
        <v>302</v>
      </c>
      <c r="E1136" s="17">
        <f t="shared" si="208"/>
        <v>302</v>
      </c>
      <c r="F1136" s="18" t="str">
        <f t="shared" si="218"/>
        <v>302</v>
      </c>
      <c r="G1136" s="18">
        <f t="shared" si="209"/>
        <v>302</v>
      </c>
      <c r="H1136" s="19" t="str">
        <f t="shared" si="219"/>
        <v>302</v>
      </c>
      <c r="I1136" s="19">
        <f t="shared" si="210"/>
        <v>302</v>
      </c>
      <c r="J1136" s="30"/>
      <c r="K1136" s="30"/>
      <c r="L1136" s="30"/>
      <c r="M1136" s="30"/>
      <c r="N1136" s="30"/>
      <c r="O1136" s="30"/>
      <c r="P1136" s="29"/>
      <c r="Q1136" s="29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25"/>
      <c r="AK1136" s="30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30"/>
      <c r="AW1136" s="27">
        <f t="shared" si="211"/>
        <v>1.1360000000000001E-3</v>
      </c>
      <c r="AX1136" s="27">
        <f t="shared" si="212"/>
        <v>1.1360000000000001E-3</v>
      </c>
      <c r="AY1136" s="27">
        <f t="shared" si="213"/>
        <v>1.1360000000000001E-3</v>
      </c>
      <c r="AZ1136" s="27">
        <f t="shared" si="214"/>
        <v>1.1360000000000001E-3</v>
      </c>
    </row>
    <row r="1137" spans="1:52" ht="15" customHeight="1" x14ac:dyDescent="0.25">
      <c r="A1137" s="13" t="e">
        <f>VLOOKUP(L1137,[1]VALIDAÇÃO!$D$13:$E$350,2,0)</f>
        <v>#N/A</v>
      </c>
      <c r="B1137" s="14" t="str">
        <f t="shared" si="216"/>
        <v>301</v>
      </c>
      <c r="C1137" s="15">
        <f t="shared" si="215"/>
        <v>301</v>
      </c>
      <c r="D1137" s="16" t="str">
        <f t="shared" si="217"/>
        <v>301</v>
      </c>
      <c r="E1137" s="17">
        <f t="shared" si="208"/>
        <v>301</v>
      </c>
      <c r="F1137" s="18" t="str">
        <f t="shared" si="218"/>
        <v>301</v>
      </c>
      <c r="G1137" s="18">
        <f t="shared" si="209"/>
        <v>301</v>
      </c>
      <c r="H1137" s="19" t="str">
        <f t="shared" si="219"/>
        <v>301</v>
      </c>
      <c r="I1137" s="19">
        <f t="shared" si="210"/>
        <v>301</v>
      </c>
      <c r="J1137" s="30"/>
      <c r="K1137" s="30"/>
      <c r="L1137" s="30"/>
      <c r="M1137" s="30"/>
      <c r="N1137" s="33"/>
      <c r="O1137" s="30"/>
      <c r="P1137" s="29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25"/>
      <c r="AK1137" s="30"/>
      <c r="AL1137" s="30"/>
      <c r="AM1137" s="30"/>
      <c r="AN1137" s="30"/>
      <c r="AO1137" s="30"/>
      <c r="AP1137" s="30"/>
      <c r="AQ1137" s="30"/>
      <c r="AR1137" s="30"/>
      <c r="AS1137" s="30"/>
      <c r="AT1137" s="30"/>
      <c r="AU1137" s="30"/>
      <c r="AW1137" s="27">
        <f t="shared" si="211"/>
        <v>1.137E-3</v>
      </c>
      <c r="AX1137" s="27">
        <f t="shared" si="212"/>
        <v>1.137E-3</v>
      </c>
      <c r="AY1137" s="27">
        <f t="shared" si="213"/>
        <v>1.137E-3</v>
      </c>
      <c r="AZ1137" s="27">
        <f t="shared" si="214"/>
        <v>1.137E-3</v>
      </c>
    </row>
    <row r="1138" spans="1:52" ht="15" customHeight="1" x14ac:dyDescent="0.25">
      <c r="A1138" s="13" t="e">
        <f>VLOOKUP(L1138,[1]VALIDAÇÃO!$D$13:$E$350,2,0)</f>
        <v>#N/A</v>
      </c>
      <c r="B1138" s="14" t="str">
        <f t="shared" si="216"/>
        <v>300</v>
      </c>
      <c r="C1138" s="15">
        <f t="shared" si="215"/>
        <v>300</v>
      </c>
      <c r="D1138" s="16" t="str">
        <f t="shared" si="217"/>
        <v>300</v>
      </c>
      <c r="E1138" s="17">
        <f t="shared" si="208"/>
        <v>300</v>
      </c>
      <c r="F1138" s="18" t="str">
        <f t="shared" si="218"/>
        <v>300</v>
      </c>
      <c r="G1138" s="18">
        <f t="shared" si="209"/>
        <v>300</v>
      </c>
      <c r="H1138" s="19" t="str">
        <f t="shared" si="219"/>
        <v>300</v>
      </c>
      <c r="I1138" s="19">
        <f t="shared" si="210"/>
        <v>300</v>
      </c>
      <c r="J1138" s="30"/>
      <c r="K1138" s="30"/>
      <c r="L1138" s="30"/>
      <c r="M1138" s="30"/>
      <c r="N1138" s="30"/>
      <c r="O1138" s="30"/>
      <c r="P1138" s="29"/>
      <c r="Q1138" s="29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25"/>
      <c r="AK1138" s="30"/>
      <c r="AL1138" s="30"/>
      <c r="AM1138" s="30"/>
      <c r="AN1138" s="30"/>
      <c r="AO1138" s="30"/>
      <c r="AP1138" s="30"/>
      <c r="AQ1138" s="30"/>
      <c r="AR1138" s="30"/>
      <c r="AS1138" s="30"/>
      <c r="AT1138" s="30"/>
      <c r="AU1138" s="30"/>
      <c r="AW1138" s="27">
        <f t="shared" si="211"/>
        <v>1.1379999999999999E-3</v>
      </c>
      <c r="AX1138" s="27">
        <f t="shared" si="212"/>
        <v>1.1379999999999999E-3</v>
      </c>
      <c r="AY1138" s="27">
        <f t="shared" si="213"/>
        <v>1.1379999999999999E-3</v>
      </c>
      <c r="AZ1138" s="27">
        <f t="shared" si="214"/>
        <v>1.1379999999999999E-3</v>
      </c>
    </row>
    <row r="1139" spans="1:52" ht="15" customHeight="1" x14ac:dyDescent="0.25">
      <c r="A1139" s="13" t="e">
        <f>VLOOKUP(L1139,[1]VALIDAÇÃO!$D$13:$E$350,2,0)</f>
        <v>#N/A</v>
      </c>
      <c r="B1139" s="14" t="str">
        <f t="shared" si="216"/>
        <v>299</v>
      </c>
      <c r="C1139" s="15">
        <f t="shared" si="215"/>
        <v>299</v>
      </c>
      <c r="D1139" s="16" t="str">
        <f t="shared" si="217"/>
        <v>299</v>
      </c>
      <c r="E1139" s="17">
        <f t="shared" si="208"/>
        <v>299</v>
      </c>
      <c r="F1139" s="18" t="str">
        <f t="shared" si="218"/>
        <v>299</v>
      </c>
      <c r="G1139" s="18">
        <f t="shared" si="209"/>
        <v>299</v>
      </c>
      <c r="H1139" s="19" t="str">
        <f t="shared" si="219"/>
        <v>299</v>
      </c>
      <c r="I1139" s="19">
        <f t="shared" si="210"/>
        <v>299</v>
      </c>
      <c r="J1139" s="30"/>
      <c r="K1139" s="30"/>
      <c r="L1139" s="30"/>
      <c r="M1139" s="30"/>
      <c r="N1139" s="33"/>
      <c r="O1139" s="30"/>
      <c r="P1139" s="29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25"/>
      <c r="AK1139" s="30"/>
      <c r="AL1139" s="30"/>
      <c r="AM1139" s="30"/>
      <c r="AN1139" s="30"/>
      <c r="AO1139" s="30"/>
      <c r="AP1139" s="30"/>
      <c r="AQ1139" s="30"/>
      <c r="AR1139" s="30"/>
      <c r="AS1139" s="30"/>
      <c r="AT1139" s="30"/>
      <c r="AU1139" s="30"/>
      <c r="AW1139" s="27">
        <f t="shared" si="211"/>
        <v>1.139E-3</v>
      </c>
      <c r="AX1139" s="27">
        <f t="shared" si="212"/>
        <v>1.139E-3</v>
      </c>
      <c r="AY1139" s="27">
        <f t="shared" si="213"/>
        <v>1.139E-3</v>
      </c>
      <c r="AZ1139" s="27">
        <f t="shared" si="214"/>
        <v>1.139E-3</v>
      </c>
    </row>
    <row r="1140" spans="1:52" ht="15" customHeight="1" x14ac:dyDescent="0.25">
      <c r="A1140" s="13" t="e">
        <f>VLOOKUP(L1140,[1]VALIDAÇÃO!$D$13:$E$350,2,0)</f>
        <v>#N/A</v>
      </c>
      <c r="B1140" s="14" t="str">
        <f t="shared" si="216"/>
        <v>298</v>
      </c>
      <c r="C1140" s="15">
        <f t="shared" si="215"/>
        <v>298</v>
      </c>
      <c r="D1140" s="16" t="str">
        <f t="shared" si="217"/>
        <v>298</v>
      </c>
      <c r="E1140" s="17">
        <f t="shared" si="208"/>
        <v>298</v>
      </c>
      <c r="F1140" s="18" t="str">
        <f t="shared" si="218"/>
        <v>298</v>
      </c>
      <c r="G1140" s="18">
        <f t="shared" si="209"/>
        <v>298</v>
      </c>
      <c r="H1140" s="19" t="str">
        <f t="shared" si="219"/>
        <v>298</v>
      </c>
      <c r="I1140" s="19">
        <f t="shared" si="210"/>
        <v>298</v>
      </c>
      <c r="J1140" s="30"/>
      <c r="K1140" s="30"/>
      <c r="L1140" s="30"/>
      <c r="M1140" s="30"/>
      <c r="N1140" s="30"/>
      <c r="O1140" s="30"/>
      <c r="P1140" s="29"/>
      <c r="Q1140" s="29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25"/>
      <c r="AK1140" s="30"/>
      <c r="AL1140" s="30"/>
      <c r="AM1140" s="30"/>
      <c r="AN1140" s="30"/>
      <c r="AO1140" s="30"/>
      <c r="AP1140" s="30"/>
      <c r="AQ1140" s="30"/>
      <c r="AR1140" s="30"/>
      <c r="AS1140" s="30"/>
      <c r="AT1140" s="30"/>
      <c r="AU1140" s="30"/>
      <c r="AW1140" s="27">
        <f t="shared" si="211"/>
        <v>1.14E-3</v>
      </c>
      <c r="AX1140" s="27">
        <f t="shared" si="212"/>
        <v>1.14E-3</v>
      </c>
      <c r="AY1140" s="27">
        <f t="shared" si="213"/>
        <v>1.14E-3</v>
      </c>
      <c r="AZ1140" s="27">
        <f t="shared" si="214"/>
        <v>1.14E-3</v>
      </c>
    </row>
    <row r="1141" spans="1:52" ht="15" customHeight="1" x14ac:dyDescent="0.25">
      <c r="A1141" s="13" t="e">
        <f>VLOOKUP(L1141,[1]VALIDAÇÃO!$D$13:$E$350,2,0)</f>
        <v>#N/A</v>
      </c>
      <c r="B1141" s="14" t="str">
        <f t="shared" si="216"/>
        <v>297</v>
      </c>
      <c r="C1141" s="15">
        <f t="shared" si="215"/>
        <v>297</v>
      </c>
      <c r="D1141" s="16" t="str">
        <f t="shared" si="217"/>
        <v>297</v>
      </c>
      <c r="E1141" s="17">
        <f t="shared" si="208"/>
        <v>297</v>
      </c>
      <c r="F1141" s="18" t="str">
        <f t="shared" si="218"/>
        <v>297</v>
      </c>
      <c r="G1141" s="18">
        <f t="shared" si="209"/>
        <v>297</v>
      </c>
      <c r="H1141" s="19" t="str">
        <f t="shared" si="219"/>
        <v>297</v>
      </c>
      <c r="I1141" s="19">
        <f t="shared" si="210"/>
        <v>297</v>
      </c>
      <c r="J1141" s="30"/>
      <c r="K1141" s="30"/>
      <c r="L1141" s="30"/>
      <c r="M1141" s="30"/>
      <c r="N1141" s="33"/>
      <c r="O1141" s="30"/>
      <c r="P1141" s="29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25"/>
      <c r="AK1141" s="30"/>
      <c r="AL1141" s="30"/>
      <c r="AM1141" s="30"/>
      <c r="AN1141" s="30"/>
      <c r="AO1141" s="30"/>
      <c r="AP1141" s="30"/>
      <c r="AQ1141" s="30"/>
      <c r="AR1141" s="30"/>
      <c r="AS1141" s="30"/>
      <c r="AT1141" s="30"/>
      <c r="AU1141" s="30"/>
      <c r="AW1141" s="27">
        <f t="shared" si="211"/>
        <v>1.1410000000000001E-3</v>
      </c>
      <c r="AX1141" s="27">
        <f t="shared" si="212"/>
        <v>1.1410000000000001E-3</v>
      </c>
      <c r="AY1141" s="27">
        <f t="shared" si="213"/>
        <v>1.1410000000000001E-3</v>
      </c>
      <c r="AZ1141" s="27">
        <f t="shared" si="214"/>
        <v>1.1410000000000001E-3</v>
      </c>
    </row>
    <row r="1142" spans="1:52" ht="15" customHeight="1" x14ac:dyDescent="0.25">
      <c r="A1142" s="13" t="e">
        <f>VLOOKUP(L1142,[1]VALIDAÇÃO!$D$13:$E$350,2,0)</f>
        <v>#N/A</v>
      </c>
      <c r="B1142" s="14" t="str">
        <f t="shared" si="216"/>
        <v>296</v>
      </c>
      <c r="C1142" s="15">
        <f t="shared" si="215"/>
        <v>296</v>
      </c>
      <c r="D1142" s="16" t="str">
        <f t="shared" si="217"/>
        <v>296</v>
      </c>
      <c r="E1142" s="17">
        <f t="shared" si="208"/>
        <v>296</v>
      </c>
      <c r="F1142" s="18" t="str">
        <f t="shared" si="218"/>
        <v>296</v>
      </c>
      <c r="G1142" s="18">
        <f t="shared" si="209"/>
        <v>296</v>
      </c>
      <c r="H1142" s="19" t="str">
        <f t="shared" si="219"/>
        <v>296</v>
      </c>
      <c r="I1142" s="19">
        <f t="shared" si="210"/>
        <v>296</v>
      </c>
      <c r="J1142" s="30"/>
      <c r="K1142" s="30"/>
      <c r="L1142" s="30"/>
      <c r="M1142" s="30"/>
      <c r="N1142" s="33"/>
      <c r="O1142" s="30"/>
      <c r="P1142" s="29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25"/>
      <c r="AK1142" s="30"/>
      <c r="AL1142" s="30"/>
      <c r="AM1142" s="30"/>
      <c r="AN1142" s="30"/>
      <c r="AO1142" s="30"/>
      <c r="AP1142" s="30"/>
      <c r="AQ1142" s="30"/>
      <c r="AR1142" s="30"/>
      <c r="AS1142" s="30"/>
      <c r="AT1142" s="30"/>
      <c r="AU1142" s="30"/>
      <c r="AW1142" s="27">
        <f t="shared" si="211"/>
        <v>1.142E-3</v>
      </c>
      <c r="AX1142" s="27">
        <f t="shared" si="212"/>
        <v>1.142E-3</v>
      </c>
      <c r="AY1142" s="27">
        <f t="shared" si="213"/>
        <v>1.142E-3</v>
      </c>
      <c r="AZ1142" s="27">
        <f t="shared" si="214"/>
        <v>1.142E-3</v>
      </c>
    </row>
    <row r="1143" spans="1:52" ht="15" customHeight="1" x14ac:dyDescent="0.25">
      <c r="A1143" s="13" t="e">
        <f>VLOOKUP(L1143,[1]VALIDAÇÃO!$D$13:$E$350,2,0)</f>
        <v>#N/A</v>
      </c>
      <c r="B1143" s="14" t="str">
        <f t="shared" si="216"/>
        <v>295</v>
      </c>
      <c r="C1143" s="15">
        <f t="shared" si="215"/>
        <v>295</v>
      </c>
      <c r="D1143" s="16" t="str">
        <f t="shared" si="217"/>
        <v>295</v>
      </c>
      <c r="E1143" s="17">
        <f t="shared" si="208"/>
        <v>295</v>
      </c>
      <c r="F1143" s="18" t="str">
        <f t="shared" si="218"/>
        <v>295</v>
      </c>
      <c r="G1143" s="18">
        <f t="shared" si="209"/>
        <v>295</v>
      </c>
      <c r="H1143" s="19" t="str">
        <f t="shared" si="219"/>
        <v>295</v>
      </c>
      <c r="I1143" s="19">
        <f t="shared" si="210"/>
        <v>295</v>
      </c>
      <c r="J1143" s="30"/>
      <c r="K1143" s="30"/>
      <c r="L1143" s="30"/>
      <c r="M1143" s="30"/>
      <c r="N1143" s="30"/>
      <c r="O1143" s="30"/>
      <c r="P1143" s="29"/>
      <c r="Q1143" s="29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25"/>
      <c r="AK1143" s="30"/>
      <c r="AL1143" s="30"/>
      <c r="AM1143" s="30"/>
      <c r="AN1143" s="30"/>
      <c r="AO1143" s="30"/>
      <c r="AP1143" s="30"/>
      <c r="AQ1143" s="30"/>
      <c r="AR1143" s="30"/>
      <c r="AS1143" s="30"/>
      <c r="AT1143" s="30"/>
      <c r="AU1143" s="30"/>
      <c r="AW1143" s="27">
        <f t="shared" si="211"/>
        <v>1.1429999999999999E-3</v>
      </c>
      <c r="AX1143" s="27">
        <f t="shared" si="212"/>
        <v>1.1429999999999999E-3</v>
      </c>
      <c r="AY1143" s="27">
        <f t="shared" si="213"/>
        <v>1.1429999999999999E-3</v>
      </c>
      <c r="AZ1143" s="27">
        <f t="shared" si="214"/>
        <v>1.1429999999999999E-3</v>
      </c>
    </row>
    <row r="1144" spans="1:52" ht="15" customHeight="1" x14ac:dyDescent="0.25">
      <c r="A1144" s="13" t="e">
        <f>VLOOKUP(L1144,[1]VALIDAÇÃO!$D$13:$E$350,2,0)</f>
        <v>#N/A</v>
      </c>
      <c r="B1144" s="14" t="str">
        <f t="shared" si="216"/>
        <v>294</v>
      </c>
      <c r="C1144" s="15">
        <f t="shared" si="215"/>
        <v>294</v>
      </c>
      <c r="D1144" s="16" t="str">
        <f t="shared" si="217"/>
        <v>294</v>
      </c>
      <c r="E1144" s="17">
        <f t="shared" si="208"/>
        <v>294</v>
      </c>
      <c r="F1144" s="18" t="str">
        <f t="shared" si="218"/>
        <v>294</v>
      </c>
      <c r="G1144" s="18">
        <f t="shared" si="209"/>
        <v>294</v>
      </c>
      <c r="H1144" s="19" t="str">
        <f t="shared" si="219"/>
        <v>294</v>
      </c>
      <c r="I1144" s="19">
        <f t="shared" si="210"/>
        <v>294</v>
      </c>
      <c r="J1144" s="30"/>
      <c r="K1144" s="30"/>
      <c r="L1144" s="30"/>
      <c r="M1144" s="30"/>
      <c r="N1144" s="30"/>
      <c r="O1144" s="30"/>
      <c r="P1144" s="29"/>
      <c r="Q1144" s="29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25"/>
      <c r="AK1144" s="30"/>
      <c r="AL1144" s="30"/>
      <c r="AM1144" s="30"/>
      <c r="AN1144" s="30"/>
      <c r="AO1144" s="30"/>
      <c r="AP1144" s="30"/>
      <c r="AQ1144" s="30"/>
      <c r="AR1144" s="30"/>
      <c r="AS1144" s="30"/>
      <c r="AT1144" s="30"/>
      <c r="AU1144" s="30"/>
      <c r="AW1144" s="27">
        <f t="shared" si="211"/>
        <v>1.1440000000000001E-3</v>
      </c>
      <c r="AX1144" s="27">
        <f t="shared" si="212"/>
        <v>1.1440000000000001E-3</v>
      </c>
      <c r="AY1144" s="27">
        <f t="shared" si="213"/>
        <v>1.1440000000000001E-3</v>
      </c>
      <c r="AZ1144" s="27">
        <f t="shared" si="214"/>
        <v>1.1440000000000001E-3</v>
      </c>
    </row>
    <row r="1145" spans="1:52" ht="15" customHeight="1" x14ac:dyDescent="0.25">
      <c r="A1145" s="13" t="e">
        <f>VLOOKUP(L1145,[1]VALIDAÇÃO!$D$13:$E$350,2,0)</f>
        <v>#N/A</v>
      </c>
      <c r="B1145" s="14" t="str">
        <f t="shared" si="216"/>
        <v>293</v>
      </c>
      <c r="C1145" s="15">
        <f t="shared" si="215"/>
        <v>293</v>
      </c>
      <c r="D1145" s="16" t="str">
        <f t="shared" si="217"/>
        <v>293</v>
      </c>
      <c r="E1145" s="17">
        <f t="shared" si="208"/>
        <v>293</v>
      </c>
      <c r="F1145" s="18" t="str">
        <f t="shared" si="218"/>
        <v>293</v>
      </c>
      <c r="G1145" s="18">
        <f t="shared" si="209"/>
        <v>293</v>
      </c>
      <c r="H1145" s="19" t="str">
        <f t="shared" si="219"/>
        <v>293</v>
      </c>
      <c r="I1145" s="19">
        <f t="shared" si="210"/>
        <v>293</v>
      </c>
      <c r="J1145" s="30"/>
      <c r="K1145" s="30"/>
      <c r="L1145" s="30"/>
      <c r="M1145" s="30"/>
      <c r="N1145" s="30"/>
      <c r="O1145" s="30"/>
      <c r="P1145" s="29"/>
      <c r="Q1145" s="29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25"/>
      <c r="AK1145" s="30"/>
      <c r="AL1145" s="30"/>
      <c r="AM1145" s="30"/>
      <c r="AN1145" s="30"/>
      <c r="AO1145" s="30"/>
      <c r="AP1145" s="30"/>
      <c r="AQ1145" s="30"/>
      <c r="AR1145" s="30"/>
      <c r="AS1145" s="30"/>
      <c r="AT1145" s="30"/>
      <c r="AU1145" s="30"/>
      <c r="AW1145" s="27">
        <f t="shared" si="211"/>
        <v>1.145E-3</v>
      </c>
      <c r="AX1145" s="27">
        <f t="shared" si="212"/>
        <v>1.145E-3</v>
      </c>
      <c r="AY1145" s="27">
        <f t="shared" si="213"/>
        <v>1.145E-3</v>
      </c>
      <c r="AZ1145" s="27">
        <f t="shared" si="214"/>
        <v>1.145E-3</v>
      </c>
    </row>
    <row r="1146" spans="1:52" ht="15" customHeight="1" x14ac:dyDescent="0.25">
      <c r="A1146" s="13" t="e">
        <f>VLOOKUP(L1146,[1]VALIDAÇÃO!$D$13:$E$350,2,0)</f>
        <v>#N/A</v>
      </c>
      <c r="B1146" s="14" t="str">
        <f t="shared" si="216"/>
        <v>292</v>
      </c>
      <c r="C1146" s="15">
        <f t="shared" si="215"/>
        <v>292</v>
      </c>
      <c r="D1146" s="16" t="str">
        <f t="shared" si="217"/>
        <v>292</v>
      </c>
      <c r="E1146" s="17">
        <f t="shared" si="208"/>
        <v>292</v>
      </c>
      <c r="F1146" s="18" t="str">
        <f t="shared" si="218"/>
        <v>292</v>
      </c>
      <c r="G1146" s="18">
        <f t="shared" si="209"/>
        <v>292</v>
      </c>
      <c r="H1146" s="19" t="str">
        <f t="shared" si="219"/>
        <v>292</v>
      </c>
      <c r="I1146" s="19">
        <f t="shared" si="210"/>
        <v>292</v>
      </c>
      <c r="J1146" s="30"/>
      <c r="K1146" s="30"/>
      <c r="L1146" s="30"/>
      <c r="M1146" s="30"/>
      <c r="N1146" s="30"/>
      <c r="O1146" s="30"/>
      <c r="P1146" s="29"/>
      <c r="Q1146" s="29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25"/>
      <c r="AK1146" s="30"/>
      <c r="AL1146" s="30"/>
      <c r="AM1146" s="30"/>
      <c r="AN1146" s="30"/>
      <c r="AO1146" s="30"/>
      <c r="AP1146" s="30"/>
      <c r="AQ1146" s="30"/>
      <c r="AR1146" s="30"/>
      <c r="AS1146" s="30"/>
      <c r="AT1146" s="30"/>
      <c r="AU1146" s="30"/>
      <c r="AW1146" s="27">
        <f t="shared" si="211"/>
        <v>1.1460000000000001E-3</v>
      </c>
      <c r="AX1146" s="27">
        <f t="shared" si="212"/>
        <v>1.1460000000000001E-3</v>
      </c>
      <c r="AY1146" s="27">
        <f t="shared" si="213"/>
        <v>1.1460000000000001E-3</v>
      </c>
      <c r="AZ1146" s="27">
        <f t="shared" si="214"/>
        <v>1.1460000000000001E-3</v>
      </c>
    </row>
    <row r="1147" spans="1:52" ht="15" customHeight="1" x14ac:dyDescent="0.25">
      <c r="A1147" s="13" t="e">
        <f>VLOOKUP(L1147,[1]VALIDAÇÃO!$D$13:$E$350,2,0)</f>
        <v>#N/A</v>
      </c>
      <c r="B1147" s="14" t="str">
        <f t="shared" si="216"/>
        <v>291</v>
      </c>
      <c r="C1147" s="15">
        <f t="shared" si="215"/>
        <v>291</v>
      </c>
      <c r="D1147" s="16" t="str">
        <f t="shared" si="217"/>
        <v>291</v>
      </c>
      <c r="E1147" s="17">
        <f t="shared" si="208"/>
        <v>291</v>
      </c>
      <c r="F1147" s="18" t="str">
        <f t="shared" si="218"/>
        <v>291</v>
      </c>
      <c r="G1147" s="18">
        <f t="shared" si="209"/>
        <v>291</v>
      </c>
      <c r="H1147" s="19" t="str">
        <f t="shared" si="219"/>
        <v>291</v>
      </c>
      <c r="I1147" s="19">
        <f t="shared" si="210"/>
        <v>291</v>
      </c>
      <c r="J1147" s="30"/>
      <c r="K1147" s="30"/>
      <c r="L1147" s="30"/>
      <c r="M1147" s="30"/>
      <c r="N1147" s="30"/>
      <c r="O1147" s="30"/>
      <c r="P1147" s="29"/>
      <c r="Q1147" s="29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25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W1147" s="27">
        <f t="shared" si="211"/>
        <v>1.147E-3</v>
      </c>
      <c r="AX1147" s="27">
        <f t="shared" si="212"/>
        <v>1.147E-3</v>
      </c>
      <c r="AY1147" s="27">
        <f t="shared" si="213"/>
        <v>1.147E-3</v>
      </c>
      <c r="AZ1147" s="27">
        <f t="shared" si="214"/>
        <v>1.147E-3</v>
      </c>
    </row>
    <row r="1148" spans="1:52" ht="15" customHeight="1" x14ac:dyDescent="0.25">
      <c r="A1148" s="13" t="e">
        <f>VLOOKUP(L1148,[1]VALIDAÇÃO!$D$13:$E$350,2,0)</f>
        <v>#N/A</v>
      </c>
      <c r="B1148" s="14" t="str">
        <f t="shared" si="216"/>
        <v>290</v>
      </c>
      <c r="C1148" s="15">
        <f t="shared" si="215"/>
        <v>290</v>
      </c>
      <c r="D1148" s="16" t="str">
        <f t="shared" si="217"/>
        <v>290</v>
      </c>
      <c r="E1148" s="17">
        <f t="shared" si="208"/>
        <v>290</v>
      </c>
      <c r="F1148" s="18" t="str">
        <f t="shared" si="218"/>
        <v>290</v>
      </c>
      <c r="G1148" s="18">
        <f t="shared" si="209"/>
        <v>290</v>
      </c>
      <c r="H1148" s="19" t="str">
        <f t="shared" si="219"/>
        <v>290</v>
      </c>
      <c r="I1148" s="19">
        <f t="shared" si="210"/>
        <v>290</v>
      </c>
      <c r="J1148" s="30"/>
      <c r="K1148" s="30"/>
      <c r="L1148" s="30"/>
      <c r="M1148" s="30"/>
      <c r="N1148" s="33"/>
      <c r="O1148" s="30"/>
      <c r="P1148" s="29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25"/>
      <c r="AK1148" s="30"/>
      <c r="AL1148" s="30"/>
      <c r="AM1148" s="30"/>
      <c r="AN1148" s="30"/>
      <c r="AO1148" s="30"/>
      <c r="AP1148" s="30"/>
      <c r="AQ1148" s="30"/>
      <c r="AR1148" s="30"/>
      <c r="AS1148" s="30"/>
      <c r="AT1148" s="30"/>
      <c r="AU1148" s="30"/>
      <c r="AW1148" s="27">
        <f t="shared" si="211"/>
        <v>1.1479999999999999E-3</v>
      </c>
      <c r="AX1148" s="27">
        <f t="shared" si="212"/>
        <v>1.1479999999999999E-3</v>
      </c>
      <c r="AY1148" s="27">
        <f t="shared" si="213"/>
        <v>1.1479999999999999E-3</v>
      </c>
      <c r="AZ1148" s="27">
        <f t="shared" si="214"/>
        <v>1.1479999999999999E-3</v>
      </c>
    </row>
    <row r="1149" spans="1:52" ht="15" customHeight="1" x14ac:dyDescent="0.25">
      <c r="A1149" s="13" t="e">
        <f>VLOOKUP(L1149,[1]VALIDAÇÃO!$D$13:$E$350,2,0)</f>
        <v>#N/A</v>
      </c>
      <c r="B1149" s="14" t="str">
        <f t="shared" si="216"/>
        <v>289</v>
      </c>
      <c r="C1149" s="15">
        <f t="shared" si="215"/>
        <v>289</v>
      </c>
      <c r="D1149" s="16" t="str">
        <f t="shared" si="217"/>
        <v>289</v>
      </c>
      <c r="E1149" s="17">
        <f t="shared" si="208"/>
        <v>289</v>
      </c>
      <c r="F1149" s="18" t="str">
        <f t="shared" si="218"/>
        <v>289</v>
      </c>
      <c r="G1149" s="18">
        <f t="shared" si="209"/>
        <v>289</v>
      </c>
      <c r="H1149" s="19" t="str">
        <f t="shared" si="219"/>
        <v>289</v>
      </c>
      <c r="I1149" s="19">
        <f t="shared" si="210"/>
        <v>289</v>
      </c>
      <c r="J1149" s="30"/>
      <c r="K1149" s="30"/>
      <c r="L1149" s="30"/>
      <c r="M1149" s="30"/>
      <c r="N1149" s="33"/>
      <c r="O1149" s="30"/>
      <c r="P1149" s="29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25"/>
      <c r="AK1149" s="30"/>
      <c r="AL1149" s="30"/>
      <c r="AM1149" s="30"/>
      <c r="AN1149" s="30"/>
      <c r="AO1149" s="30"/>
      <c r="AP1149" s="30"/>
      <c r="AQ1149" s="30"/>
      <c r="AR1149" s="30"/>
      <c r="AS1149" s="30"/>
      <c r="AT1149" s="30"/>
      <c r="AU1149" s="30"/>
      <c r="AW1149" s="27">
        <f t="shared" si="211"/>
        <v>1.1490000000000001E-3</v>
      </c>
      <c r="AX1149" s="27">
        <f t="shared" si="212"/>
        <v>1.1490000000000001E-3</v>
      </c>
      <c r="AY1149" s="27">
        <f t="shared" si="213"/>
        <v>1.1490000000000001E-3</v>
      </c>
      <c r="AZ1149" s="27">
        <f t="shared" si="214"/>
        <v>1.1490000000000001E-3</v>
      </c>
    </row>
    <row r="1150" spans="1:52" ht="15" customHeight="1" x14ac:dyDescent="0.25">
      <c r="A1150" s="13" t="e">
        <f>VLOOKUP(L1150,[1]VALIDAÇÃO!$D$13:$E$350,2,0)</f>
        <v>#N/A</v>
      </c>
      <c r="B1150" s="14" t="str">
        <f t="shared" si="216"/>
        <v>288</v>
      </c>
      <c r="C1150" s="15">
        <f t="shared" si="215"/>
        <v>288</v>
      </c>
      <c r="D1150" s="16" t="str">
        <f t="shared" si="217"/>
        <v>288</v>
      </c>
      <c r="E1150" s="17">
        <f t="shared" si="208"/>
        <v>288</v>
      </c>
      <c r="F1150" s="18" t="str">
        <f t="shared" si="218"/>
        <v>288</v>
      </c>
      <c r="G1150" s="18">
        <f t="shared" si="209"/>
        <v>288</v>
      </c>
      <c r="H1150" s="19" t="str">
        <f t="shared" si="219"/>
        <v>288</v>
      </c>
      <c r="I1150" s="19">
        <f t="shared" si="210"/>
        <v>288</v>
      </c>
      <c r="J1150" s="30"/>
      <c r="K1150" s="30"/>
      <c r="L1150" s="30"/>
      <c r="M1150" s="30"/>
      <c r="N1150" s="33"/>
      <c r="O1150" s="30"/>
      <c r="P1150" s="29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25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W1150" s="27">
        <f t="shared" si="211"/>
        <v>1.15E-3</v>
      </c>
      <c r="AX1150" s="27">
        <f t="shared" si="212"/>
        <v>1.15E-3</v>
      </c>
      <c r="AY1150" s="27">
        <f t="shared" si="213"/>
        <v>1.15E-3</v>
      </c>
      <c r="AZ1150" s="27">
        <f t="shared" si="214"/>
        <v>1.15E-3</v>
      </c>
    </row>
    <row r="1151" spans="1:52" ht="15" customHeight="1" x14ac:dyDescent="0.25">
      <c r="A1151" s="13" t="e">
        <f>VLOOKUP(L1151,[1]VALIDAÇÃO!$D$13:$E$350,2,0)</f>
        <v>#N/A</v>
      </c>
      <c r="B1151" s="14" t="str">
        <f t="shared" si="216"/>
        <v>287</v>
      </c>
      <c r="C1151" s="15">
        <f t="shared" si="215"/>
        <v>287</v>
      </c>
      <c r="D1151" s="16" t="str">
        <f t="shared" si="217"/>
        <v>287</v>
      </c>
      <c r="E1151" s="17">
        <f t="shared" si="208"/>
        <v>287</v>
      </c>
      <c r="F1151" s="18" t="str">
        <f t="shared" si="218"/>
        <v>287</v>
      </c>
      <c r="G1151" s="18">
        <f t="shared" si="209"/>
        <v>287</v>
      </c>
      <c r="H1151" s="19" t="str">
        <f t="shared" si="219"/>
        <v>287</v>
      </c>
      <c r="I1151" s="19">
        <f t="shared" si="210"/>
        <v>287</v>
      </c>
      <c r="J1151" s="30"/>
      <c r="K1151" s="30"/>
      <c r="L1151" s="30"/>
      <c r="M1151" s="30"/>
      <c r="N1151" s="33"/>
      <c r="O1151" s="30"/>
      <c r="P1151" s="29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25"/>
      <c r="AK1151" s="30"/>
      <c r="AL1151" s="30"/>
      <c r="AM1151" s="30"/>
      <c r="AN1151" s="30"/>
      <c r="AO1151" s="30"/>
      <c r="AP1151" s="30"/>
      <c r="AQ1151" s="30"/>
      <c r="AR1151" s="30"/>
      <c r="AS1151" s="30"/>
      <c r="AT1151" s="30"/>
      <c r="AU1151" s="30"/>
      <c r="AW1151" s="27">
        <f t="shared" si="211"/>
        <v>1.1509999999999999E-3</v>
      </c>
      <c r="AX1151" s="27">
        <f t="shared" si="212"/>
        <v>1.1509999999999999E-3</v>
      </c>
      <c r="AY1151" s="27">
        <f t="shared" si="213"/>
        <v>1.1509999999999999E-3</v>
      </c>
      <c r="AZ1151" s="27">
        <f t="shared" si="214"/>
        <v>1.1509999999999999E-3</v>
      </c>
    </row>
    <row r="1152" spans="1:52" ht="15" customHeight="1" x14ac:dyDescent="0.25">
      <c r="A1152" s="13" t="e">
        <f>VLOOKUP(L1152,[1]VALIDAÇÃO!$D$13:$E$350,2,0)</f>
        <v>#N/A</v>
      </c>
      <c r="B1152" s="14" t="str">
        <f t="shared" si="216"/>
        <v>286</v>
      </c>
      <c r="C1152" s="15">
        <f t="shared" si="215"/>
        <v>286</v>
      </c>
      <c r="D1152" s="16" t="str">
        <f t="shared" si="217"/>
        <v>286</v>
      </c>
      <c r="E1152" s="17">
        <f t="shared" si="208"/>
        <v>286</v>
      </c>
      <c r="F1152" s="18" t="str">
        <f t="shared" si="218"/>
        <v>286</v>
      </c>
      <c r="G1152" s="18">
        <f t="shared" si="209"/>
        <v>286</v>
      </c>
      <c r="H1152" s="19" t="str">
        <f t="shared" si="219"/>
        <v>286</v>
      </c>
      <c r="I1152" s="19">
        <f t="shared" si="210"/>
        <v>286</v>
      </c>
      <c r="J1152" s="30"/>
      <c r="K1152" s="30"/>
      <c r="L1152" s="30"/>
      <c r="M1152" s="30"/>
      <c r="N1152" s="30"/>
      <c r="O1152" s="30"/>
      <c r="P1152" s="29"/>
      <c r="Q1152" s="29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25"/>
      <c r="AK1152" s="30"/>
      <c r="AL1152" s="30"/>
      <c r="AM1152" s="30"/>
      <c r="AN1152" s="30"/>
      <c r="AO1152" s="30"/>
      <c r="AP1152" s="30"/>
      <c r="AQ1152" s="30"/>
      <c r="AR1152" s="30"/>
      <c r="AS1152" s="30"/>
      <c r="AT1152" s="30"/>
      <c r="AU1152" s="30"/>
      <c r="AW1152" s="27">
        <f t="shared" si="211"/>
        <v>1.152E-3</v>
      </c>
      <c r="AX1152" s="27">
        <f t="shared" si="212"/>
        <v>1.152E-3</v>
      </c>
      <c r="AY1152" s="27">
        <f t="shared" si="213"/>
        <v>1.152E-3</v>
      </c>
      <c r="AZ1152" s="27">
        <f t="shared" si="214"/>
        <v>1.152E-3</v>
      </c>
    </row>
    <row r="1153" spans="1:52" ht="15" customHeight="1" x14ac:dyDescent="0.25">
      <c r="A1153" s="13" t="e">
        <f>VLOOKUP(L1153,[1]VALIDAÇÃO!$D$13:$E$350,2,0)</f>
        <v>#N/A</v>
      </c>
      <c r="B1153" s="14" t="str">
        <f t="shared" si="216"/>
        <v>285</v>
      </c>
      <c r="C1153" s="15">
        <f t="shared" si="215"/>
        <v>285</v>
      </c>
      <c r="D1153" s="16" t="str">
        <f t="shared" si="217"/>
        <v>285</v>
      </c>
      <c r="E1153" s="17">
        <f t="shared" si="208"/>
        <v>285</v>
      </c>
      <c r="F1153" s="18" t="str">
        <f t="shared" si="218"/>
        <v>285</v>
      </c>
      <c r="G1153" s="18">
        <f t="shared" si="209"/>
        <v>285</v>
      </c>
      <c r="H1153" s="19" t="str">
        <f t="shared" si="219"/>
        <v>285</v>
      </c>
      <c r="I1153" s="19">
        <f t="shared" si="210"/>
        <v>285</v>
      </c>
      <c r="J1153" s="30"/>
      <c r="K1153" s="30"/>
      <c r="L1153" s="30"/>
      <c r="M1153" s="30"/>
      <c r="N1153" s="33"/>
      <c r="O1153" s="30"/>
      <c r="P1153" s="29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25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W1153" s="27">
        <f t="shared" si="211"/>
        <v>1.1529999999999999E-3</v>
      </c>
      <c r="AX1153" s="27">
        <f t="shared" si="212"/>
        <v>1.1529999999999999E-3</v>
      </c>
      <c r="AY1153" s="27">
        <f t="shared" si="213"/>
        <v>1.1529999999999999E-3</v>
      </c>
      <c r="AZ1153" s="27">
        <f t="shared" si="214"/>
        <v>1.1529999999999999E-3</v>
      </c>
    </row>
    <row r="1154" spans="1:52" ht="15" customHeight="1" x14ac:dyDescent="0.25">
      <c r="A1154" s="13" t="e">
        <f>VLOOKUP(L1154,[1]VALIDAÇÃO!$D$13:$E$350,2,0)</f>
        <v>#N/A</v>
      </c>
      <c r="B1154" s="14" t="str">
        <f t="shared" si="216"/>
        <v>284</v>
      </c>
      <c r="C1154" s="15">
        <f t="shared" si="215"/>
        <v>284</v>
      </c>
      <c r="D1154" s="16" t="str">
        <f t="shared" si="217"/>
        <v>284</v>
      </c>
      <c r="E1154" s="17">
        <f t="shared" ref="E1154:E1217" si="220">1+SUMPRODUCT(($J$2:$J$1437=$J1154)*(AX$2:AX$1437&gt;AX1154))</f>
        <v>284</v>
      </c>
      <c r="F1154" s="18" t="str">
        <f t="shared" si="218"/>
        <v>284</v>
      </c>
      <c r="G1154" s="18">
        <f t="shared" ref="G1154:G1217" si="221">1+SUMPRODUCT(($J$2:$J$1437=$J1154)*(AY$2:AY$1437&gt;AY1154))</f>
        <v>284</v>
      </c>
      <c r="H1154" s="19" t="str">
        <f t="shared" si="219"/>
        <v>284</v>
      </c>
      <c r="I1154" s="19">
        <f t="shared" ref="I1154:I1217" si="222">1+SUMPRODUCT(($J$2:$J$1437=$J1154)*(AZ$2:AZ$1437&gt;AZ1154))</f>
        <v>284</v>
      </c>
      <c r="J1154" s="30"/>
      <c r="K1154" s="30"/>
      <c r="L1154" s="30"/>
      <c r="M1154" s="30"/>
      <c r="N1154" s="30"/>
      <c r="O1154" s="30"/>
      <c r="P1154" s="29"/>
      <c r="Q1154" s="29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25"/>
      <c r="AK1154" s="30"/>
      <c r="AL1154" s="30"/>
      <c r="AM1154" s="30"/>
      <c r="AN1154" s="30"/>
      <c r="AO1154" s="30"/>
      <c r="AP1154" s="30"/>
      <c r="AQ1154" s="30"/>
      <c r="AR1154" s="30"/>
      <c r="AS1154" s="30"/>
      <c r="AT1154" s="30"/>
      <c r="AU1154" s="30"/>
      <c r="AW1154" s="27">
        <f t="shared" ref="AW1154:AW1217" si="223">AJ1154+ROW(C1154)/1000000</f>
        <v>1.1540000000000001E-3</v>
      </c>
      <c r="AX1154" s="27">
        <f t="shared" ref="AX1154:AX1217" si="224">AD1154+ROW(C1154)/1000000</f>
        <v>1.1540000000000001E-3</v>
      </c>
      <c r="AY1154" s="27">
        <f t="shared" ref="AY1154:AY1217" si="225">AB1154+ROW(A1154)/1000000</f>
        <v>1.1540000000000001E-3</v>
      </c>
      <c r="AZ1154" s="27">
        <f t="shared" ref="AZ1154:AZ1217" si="226">AP1154+ROW(A1154)/1000000</f>
        <v>1.1540000000000001E-3</v>
      </c>
    </row>
    <row r="1155" spans="1:52" ht="15" customHeight="1" x14ac:dyDescent="0.25">
      <c r="A1155" s="13" t="e">
        <f>VLOOKUP(L1155,[1]VALIDAÇÃO!$D$13:$E$350,2,0)</f>
        <v>#N/A</v>
      </c>
      <c r="B1155" s="14" t="str">
        <f t="shared" si="216"/>
        <v>283</v>
      </c>
      <c r="C1155" s="15">
        <f t="shared" ref="C1155:C1218" si="227">1+SUMPRODUCT(($J$2:$J$1437=J1155)*($AW$2:$AW$1437&gt;AW1155))</f>
        <v>283</v>
      </c>
      <c r="D1155" s="16" t="str">
        <f t="shared" si="217"/>
        <v>283</v>
      </c>
      <c r="E1155" s="17">
        <f t="shared" si="220"/>
        <v>283</v>
      </c>
      <c r="F1155" s="18" t="str">
        <f t="shared" si="218"/>
        <v>283</v>
      </c>
      <c r="G1155" s="18">
        <f t="shared" si="221"/>
        <v>283</v>
      </c>
      <c r="H1155" s="19" t="str">
        <f t="shared" si="219"/>
        <v>283</v>
      </c>
      <c r="I1155" s="19">
        <f t="shared" si="222"/>
        <v>283</v>
      </c>
      <c r="J1155" s="30"/>
      <c r="K1155" s="30"/>
      <c r="L1155" s="30"/>
      <c r="M1155" s="30"/>
      <c r="N1155" s="30"/>
      <c r="O1155" s="30"/>
      <c r="P1155" s="29"/>
      <c r="Q1155" s="29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25"/>
      <c r="AK1155" s="30"/>
      <c r="AL1155" s="30"/>
      <c r="AM1155" s="30"/>
      <c r="AN1155" s="30"/>
      <c r="AO1155" s="30"/>
      <c r="AP1155" s="30"/>
      <c r="AQ1155" s="30"/>
      <c r="AR1155" s="30"/>
      <c r="AS1155" s="30"/>
      <c r="AT1155" s="30"/>
      <c r="AU1155" s="30"/>
      <c r="AW1155" s="27">
        <f t="shared" si="223"/>
        <v>1.155E-3</v>
      </c>
      <c r="AX1155" s="27">
        <f t="shared" si="224"/>
        <v>1.155E-3</v>
      </c>
      <c r="AY1155" s="27">
        <f t="shared" si="225"/>
        <v>1.155E-3</v>
      </c>
      <c r="AZ1155" s="27">
        <f t="shared" si="226"/>
        <v>1.155E-3</v>
      </c>
    </row>
    <row r="1156" spans="1:52" ht="15" customHeight="1" x14ac:dyDescent="0.25">
      <c r="A1156" s="13" t="e">
        <f>VLOOKUP(L1156,[1]VALIDAÇÃO!$D$13:$E$350,2,0)</f>
        <v>#N/A</v>
      </c>
      <c r="B1156" s="14" t="str">
        <f t="shared" si="216"/>
        <v>282</v>
      </c>
      <c r="C1156" s="15">
        <f t="shared" si="227"/>
        <v>282</v>
      </c>
      <c r="D1156" s="16" t="str">
        <f t="shared" si="217"/>
        <v>282</v>
      </c>
      <c r="E1156" s="17">
        <f t="shared" si="220"/>
        <v>282</v>
      </c>
      <c r="F1156" s="18" t="str">
        <f t="shared" si="218"/>
        <v>282</v>
      </c>
      <c r="G1156" s="18">
        <f t="shared" si="221"/>
        <v>282</v>
      </c>
      <c r="H1156" s="19" t="str">
        <f t="shared" si="219"/>
        <v>282</v>
      </c>
      <c r="I1156" s="19">
        <f t="shared" si="222"/>
        <v>282</v>
      </c>
      <c r="J1156" s="30"/>
      <c r="K1156" s="30"/>
      <c r="L1156" s="30"/>
      <c r="M1156" s="30"/>
      <c r="N1156" s="30"/>
      <c r="O1156" s="30"/>
      <c r="P1156" s="29"/>
      <c r="Q1156" s="29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25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W1156" s="27">
        <f t="shared" si="223"/>
        <v>1.1559999999999999E-3</v>
      </c>
      <c r="AX1156" s="27">
        <f t="shared" si="224"/>
        <v>1.1559999999999999E-3</v>
      </c>
      <c r="AY1156" s="27">
        <f t="shared" si="225"/>
        <v>1.1559999999999999E-3</v>
      </c>
      <c r="AZ1156" s="27">
        <f t="shared" si="226"/>
        <v>1.1559999999999999E-3</v>
      </c>
    </row>
    <row r="1157" spans="1:52" ht="15" customHeight="1" x14ac:dyDescent="0.25">
      <c r="A1157" s="13" t="e">
        <f>VLOOKUP(L1157,[1]VALIDAÇÃO!$D$13:$E$350,2,0)</f>
        <v>#N/A</v>
      </c>
      <c r="B1157" s="14" t="str">
        <f t="shared" si="216"/>
        <v>281</v>
      </c>
      <c r="C1157" s="15">
        <f t="shared" si="227"/>
        <v>281</v>
      </c>
      <c r="D1157" s="16" t="str">
        <f t="shared" si="217"/>
        <v>281</v>
      </c>
      <c r="E1157" s="17">
        <f t="shared" si="220"/>
        <v>281</v>
      </c>
      <c r="F1157" s="18" t="str">
        <f t="shared" si="218"/>
        <v>281</v>
      </c>
      <c r="G1157" s="18">
        <f t="shared" si="221"/>
        <v>281</v>
      </c>
      <c r="H1157" s="19" t="str">
        <f t="shared" si="219"/>
        <v>281</v>
      </c>
      <c r="I1157" s="19">
        <f t="shared" si="222"/>
        <v>281</v>
      </c>
      <c r="J1157" s="30"/>
      <c r="K1157" s="30"/>
      <c r="L1157" s="30"/>
      <c r="M1157" s="30"/>
      <c r="N1157" s="30"/>
      <c r="O1157" s="30"/>
      <c r="P1157" s="29"/>
      <c r="Q1157" s="29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25"/>
      <c r="AK1157" s="30"/>
      <c r="AL1157" s="30"/>
      <c r="AM1157" s="30"/>
      <c r="AN1157" s="30"/>
      <c r="AO1157" s="30"/>
      <c r="AP1157" s="30"/>
      <c r="AQ1157" s="30"/>
      <c r="AR1157" s="30"/>
      <c r="AS1157" s="30"/>
      <c r="AT1157" s="30"/>
      <c r="AU1157" s="30"/>
      <c r="AW1157" s="27">
        <f t="shared" si="223"/>
        <v>1.157E-3</v>
      </c>
      <c r="AX1157" s="27">
        <f t="shared" si="224"/>
        <v>1.157E-3</v>
      </c>
      <c r="AY1157" s="27">
        <f t="shared" si="225"/>
        <v>1.157E-3</v>
      </c>
      <c r="AZ1157" s="27">
        <f t="shared" si="226"/>
        <v>1.157E-3</v>
      </c>
    </row>
    <row r="1158" spans="1:52" ht="15" customHeight="1" x14ac:dyDescent="0.25">
      <c r="A1158" s="13" t="e">
        <f>VLOOKUP(L1158,[1]VALIDAÇÃO!$D$13:$E$350,2,0)</f>
        <v>#N/A</v>
      </c>
      <c r="B1158" s="14" t="str">
        <f t="shared" si="216"/>
        <v>280</v>
      </c>
      <c r="C1158" s="15">
        <f t="shared" si="227"/>
        <v>280</v>
      </c>
      <c r="D1158" s="16" t="str">
        <f t="shared" si="217"/>
        <v>280</v>
      </c>
      <c r="E1158" s="17">
        <f t="shared" si="220"/>
        <v>280</v>
      </c>
      <c r="F1158" s="18" t="str">
        <f t="shared" si="218"/>
        <v>280</v>
      </c>
      <c r="G1158" s="18">
        <f t="shared" si="221"/>
        <v>280</v>
      </c>
      <c r="H1158" s="19" t="str">
        <f t="shared" si="219"/>
        <v>280</v>
      </c>
      <c r="I1158" s="19">
        <f t="shared" si="222"/>
        <v>280</v>
      </c>
      <c r="J1158" s="30"/>
      <c r="K1158" s="30"/>
      <c r="L1158" s="30"/>
      <c r="M1158" s="30"/>
      <c r="N1158" s="30"/>
      <c r="O1158" s="30"/>
      <c r="P1158" s="29"/>
      <c r="Q1158" s="29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25"/>
      <c r="AK1158" s="30"/>
      <c r="AL1158" s="30"/>
      <c r="AM1158" s="30"/>
      <c r="AN1158" s="30"/>
      <c r="AO1158" s="30"/>
      <c r="AP1158" s="30"/>
      <c r="AQ1158" s="30"/>
      <c r="AR1158" s="30"/>
      <c r="AS1158" s="30"/>
      <c r="AT1158" s="30"/>
      <c r="AU1158" s="30"/>
      <c r="AW1158" s="27">
        <f t="shared" si="223"/>
        <v>1.158E-3</v>
      </c>
      <c r="AX1158" s="27">
        <f t="shared" si="224"/>
        <v>1.158E-3</v>
      </c>
      <c r="AY1158" s="27">
        <f t="shared" si="225"/>
        <v>1.158E-3</v>
      </c>
      <c r="AZ1158" s="27">
        <f t="shared" si="226"/>
        <v>1.158E-3</v>
      </c>
    </row>
    <row r="1159" spans="1:52" ht="15" customHeight="1" x14ac:dyDescent="0.25">
      <c r="A1159" s="13" t="e">
        <f>VLOOKUP(L1159,[1]VALIDAÇÃO!$D$13:$E$350,2,0)</f>
        <v>#N/A</v>
      </c>
      <c r="B1159" s="14" t="str">
        <f t="shared" si="216"/>
        <v>279</v>
      </c>
      <c r="C1159" s="15">
        <f t="shared" si="227"/>
        <v>279</v>
      </c>
      <c r="D1159" s="16" t="str">
        <f t="shared" si="217"/>
        <v>279</v>
      </c>
      <c r="E1159" s="17">
        <f t="shared" si="220"/>
        <v>279</v>
      </c>
      <c r="F1159" s="18" t="str">
        <f t="shared" si="218"/>
        <v>279</v>
      </c>
      <c r="G1159" s="18">
        <f t="shared" si="221"/>
        <v>279</v>
      </c>
      <c r="H1159" s="19" t="str">
        <f t="shared" si="219"/>
        <v>279</v>
      </c>
      <c r="I1159" s="19">
        <f t="shared" si="222"/>
        <v>279</v>
      </c>
      <c r="J1159" s="30"/>
      <c r="K1159" s="30"/>
      <c r="L1159" s="30"/>
      <c r="M1159" s="30"/>
      <c r="N1159" s="30"/>
      <c r="O1159" s="30"/>
      <c r="P1159" s="29"/>
      <c r="Q1159" s="29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25"/>
      <c r="AK1159" s="30"/>
      <c r="AL1159" s="30"/>
      <c r="AM1159" s="30"/>
      <c r="AN1159" s="30"/>
      <c r="AO1159" s="30"/>
      <c r="AP1159" s="30"/>
      <c r="AQ1159" s="30"/>
      <c r="AR1159" s="30"/>
      <c r="AS1159" s="30"/>
      <c r="AT1159" s="30"/>
      <c r="AU1159" s="30"/>
      <c r="AW1159" s="27">
        <f t="shared" si="223"/>
        <v>1.1590000000000001E-3</v>
      </c>
      <c r="AX1159" s="27">
        <f t="shared" si="224"/>
        <v>1.1590000000000001E-3</v>
      </c>
      <c r="AY1159" s="27">
        <f t="shared" si="225"/>
        <v>1.1590000000000001E-3</v>
      </c>
      <c r="AZ1159" s="27">
        <f t="shared" si="226"/>
        <v>1.1590000000000001E-3</v>
      </c>
    </row>
    <row r="1160" spans="1:52" ht="15" customHeight="1" x14ac:dyDescent="0.25">
      <c r="A1160" s="13" t="e">
        <f>VLOOKUP(L1160,[1]VALIDAÇÃO!$D$13:$E$350,2,0)</f>
        <v>#N/A</v>
      </c>
      <c r="B1160" s="14" t="str">
        <f t="shared" si="216"/>
        <v>278</v>
      </c>
      <c r="C1160" s="15">
        <f t="shared" si="227"/>
        <v>278</v>
      </c>
      <c r="D1160" s="16" t="str">
        <f t="shared" si="217"/>
        <v>278</v>
      </c>
      <c r="E1160" s="17">
        <f t="shared" si="220"/>
        <v>278</v>
      </c>
      <c r="F1160" s="18" t="str">
        <f t="shared" si="218"/>
        <v>278</v>
      </c>
      <c r="G1160" s="18">
        <f t="shared" si="221"/>
        <v>278</v>
      </c>
      <c r="H1160" s="19" t="str">
        <f t="shared" si="219"/>
        <v>278</v>
      </c>
      <c r="I1160" s="19">
        <f t="shared" si="222"/>
        <v>278</v>
      </c>
      <c r="J1160" s="30"/>
      <c r="K1160" s="30"/>
      <c r="L1160" s="30"/>
      <c r="M1160" s="30"/>
      <c r="N1160" s="33"/>
      <c r="O1160" s="30"/>
      <c r="P1160" s="29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c r="AJ1160" s="25"/>
      <c r="AK1160" s="30"/>
      <c r="AL1160" s="30"/>
      <c r="AM1160" s="30"/>
      <c r="AN1160" s="30"/>
      <c r="AO1160" s="30"/>
      <c r="AP1160" s="30"/>
      <c r="AQ1160" s="30"/>
      <c r="AR1160" s="30"/>
      <c r="AS1160" s="30"/>
      <c r="AT1160" s="30"/>
      <c r="AU1160" s="30"/>
      <c r="AW1160" s="27">
        <f t="shared" si="223"/>
        <v>1.16E-3</v>
      </c>
      <c r="AX1160" s="27">
        <f t="shared" si="224"/>
        <v>1.16E-3</v>
      </c>
      <c r="AY1160" s="27">
        <f t="shared" si="225"/>
        <v>1.16E-3</v>
      </c>
      <c r="AZ1160" s="27">
        <f t="shared" si="226"/>
        <v>1.16E-3</v>
      </c>
    </row>
    <row r="1161" spans="1:52" ht="15" customHeight="1" x14ac:dyDescent="0.25">
      <c r="A1161" s="13" t="e">
        <f>VLOOKUP(L1161,[1]VALIDAÇÃO!$D$13:$E$350,2,0)</f>
        <v>#N/A</v>
      </c>
      <c r="B1161" s="14" t="str">
        <f t="shared" si="216"/>
        <v>277</v>
      </c>
      <c r="C1161" s="15">
        <f t="shared" si="227"/>
        <v>277</v>
      </c>
      <c r="D1161" s="16" t="str">
        <f t="shared" si="217"/>
        <v>277</v>
      </c>
      <c r="E1161" s="17">
        <f t="shared" si="220"/>
        <v>277</v>
      </c>
      <c r="F1161" s="18" t="str">
        <f t="shared" si="218"/>
        <v>277</v>
      </c>
      <c r="G1161" s="18">
        <f t="shared" si="221"/>
        <v>277</v>
      </c>
      <c r="H1161" s="19" t="str">
        <f t="shared" si="219"/>
        <v>277</v>
      </c>
      <c r="I1161" s="19">
        <f t="shared" si="222"/>
        <v>277</v>
      </c>
      <c r="J1161" s="30"/>
      <c r="K1161" s="30"/>
      <c r="L1161" s="30"/>
      <c r="M1161" s="30"/>
      <c r="N1161" s="33"/>
      <c r="O1161" s="30"/>
      <c r="P1161" s="29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c r="AJ1161" s="25"/>
      <c r="AK1161" s="30"/>
      <c r="AL1161" s="30"/>
      <c r="AM1161" s="30"/>
      <c r="AN1161" s="30"/>
      <c r="AO1161" s="30"/>
      <c r="AP1161" s="30"/>
      <c r="AQ1161" s="30"/>
      <c r="AR1161" s="30"/>
      <c r="AS1161" s="30"/>
      <c r="AT1161" s="30"/>
      <c r="AU1161" s="30"/>
      <c r="AW1161" s="27">
        <f t="shared" si="223"/>
        <v>1.1609999999999999E-3</v>
      </c>
      <c r="AX1161" s="27">
        <f t="shared" si="224"/>
        <v>1.1609999999999999E-3</v>
      </c>
      <c r="AY1161" s="27">
        <f t="shared" si="225"/>
        <v>1.1609999999999999E-3</v>
      </c>
      <c r="AZ1161" s="27">
        <f t="shared" si="226"/>
        <v>1.1609999999999999E-3</v>
      </c>
    </row>
    <row r="1162" spans="1:52" ht="15" customHeight="1" x14ac:dyDescent="0.25">
      <c r="A1162" s="13" t="e">
        <f>VLOOKUP(L1162,[1]VALIDAÇÃO!$D$13:$E$350,2,0)</f>
        <v>#N/A</v>
      </c>
      <c r="B1162" s="14" t="str">
        <f t="shared" si="216"/>
        <v>276</v>
      </c>
      <c r="C1162" s="15">
        <f t="shared" si="227"/>
        <v>276</v>
      </c>
      <c r="D1162" s="16" t="str">
        <f t="shared" si="217"/>
        <v>276</v>
      </c>
      <c r="E1162" s="17">
        <f t="shared" si="220"/>
        <v>276</v>
      </c>
      <c r="F1162" s="18" t="str">
        <f t="shared" si="218"/>
        <v>276</v>
      </c>
      <c r="G1162" s="18">
        <f t="shared" si="221"/>
        <v>276</v>
      </c>
      <c r="H1162" s="19" t="str">
        <f t="shared" si="219"/>
        <v>276</v>
      </c>
      <c r="I1162" s="19">
        <f t="shared" si="222"/>
        <v>276</v>
      </c>
      <c r="J1162" s="30"/>
      <c r="K1162" s="30"/>
      <c r="L1162" s="30"/>
      <c r="M1162" s="30"/>
      <c r="N1162" s="30"/>
      <c r="O1162" s="30"/>
      <c r="P1162" s="29"/>
      <c r="Q1162" s="29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c r="AJ1162" s="25"/>
      <c r="AK1162" s="30"/>
      <c r="AL1162" s="30"/>
      <c r="AM1162" s="30"/>
      <c r="AN1162" s="30"/>
      <c r="AO1162" s="30"/>
      <c r="AP1162" s="30"/>
      <c r="AQ1162" s="30"/>
      <c r="AR1162" s="30"/>
      <c r="AS1162" s="30"/>
      <c r="AT1162" s="30"/>
      <c r="AU1162" s="30"/>
      <c r="AW1162" s="27">
        <f t="shared" si="223"/>
        <v>1.1620000000000001E-3</v>
      </c>
      <c r="AX1162" s="27">
        <f t="shared" si="224"/>
        <v>1.1620000000000001E-3</v>
      </c>
      <c r="AY1162" s="27">
        <f t="shared" si="225"/>
        <v>1.1620000000000001E-3</v>
      </c>
      <c r="AZ1162" s="27">
        <f t="shared" si="226"/>
        <v>1.1620000000000001E-3</v>
      </c>
    </row>
    <row r="1163" spans="1:52" ht="15" customHeight="1" x14ac:dyDescent="0.25">
      <c r="A1163" s="13" t="e">
        <f>VLOOKUP(L1163,[1]VALIDAÇÃO!$D$13:$E$350,2,0)</f>
        <v>#N/A</v>
      </c>
      <c r="B1163" s="14" t="str">
        <f t="shared" si="216"/>
        <v>275</v>
      </c>
      <c r="C1163" s="15">
        <f t="shared" si="227"/>
        <v>275</v>
      </c>
      <c r="D1163" s="16" t="str">
        <f t="shared" si="217"/>
        <v>275</v>
      </c>
      <c r="E1163" s="17">
        <f t="shared" si="220"/>
        <v>275</v>
      </c>
      <c r="F1163" s="18" t="str">
        <f t="shared" si="218"/>
        <v>275</v>
      </c>
      <c r="G1163" s="18">
        <f t="shared" si="221"/>
        <v>275</v>
      </c>
      <c r="H1163" s="19" t="str">
        <f t="shared" si="219"/>
        <v>275</v>
      </c>
      <c r="I1163" s="19">
        <f t="shared" si="222"/>
        <v>275</v>
      </c>
      <c r="J1163" s="30"/>
      <c r="K1163" s="30"/>
      <c r="L1163" s="30"/>
      <c r="M1163" s="30"/>
      <c r="N1163" s="30"/>
      <c r="O1163" s="30"/>
      <c r="P1163" s="29"/>
      <c r="Q1163" s="29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c r="AJ1163" s="25"/>
      <c r="AK1163" s="30"/>
      <c r="AL1163" s="30"/>
      <c r="AM1163" s="30"/>
      <c r="AN1163" s="30"/>
      <c r="AO1163" s="30"/>
      <c r="AP1163" s="30"/>
      <c r="AQ1163" s="30"/>
      <c r="AR1163" s="30"/>
      <c r="AS1163" s="30"/>
      <c r="AT1163" s="30"/>
      <c r="AU1163" s="30"/>
      <c r="AW1163" s="27">
        <f t="shared" si="223"/>
        <v>1.163E-3</v>
      </c>
      <c r="AX1163" s="27">
        <f t="shared" si="224"/>
        <v>1.163E-3</v>
      </c>
      <c r="AY1163" s="27">
        <f t="shared" si="225"/>
        <v>1.163E-3</v>
      </c>
      <c r="AZ1163" s="27">
        <f t="shared" si="226"/>
        <v>1.163E-3</v>
      </c>
    </row>
    <row r="1164" spans="1:52" ht="15" customHeight="1" x14ac:dyDescent="0.25">
      <c r="A1164" s="13" t="e">
        <f>VLOOKUP(L1164,[1]VALIDAÇÃO!$D$13:$E$350,2,0)</f>
        <v>#N/A</v>
      </c>
      <c r="B1164" s="14" t="str">
        <f t="shared" si="216"/>
        <v>274</v>
      </c>
      <c r="C1164" s="15">
        <f t="shared" si="227"/>
        <v>274</v>
      </c>
      <c r="D1164" s="16" t="str">
        <f t="shared" si="217"/>
        <v>274</v>
      </c>
      <c r="E1164" s="17">
        <f t="shared" si="220"/>
        <v>274</v>
      </c>
      <c r="F1164" s="18" t="str">
        <f t="shared" si="218"/>
        <v>274</v>
      </c>
      <c r="G1164" s="18">
        <f t="shared" si="221"/>
        <v>274</v>
      </c>
      <c r="H1164" s="19" t="str">
        <f t="shared" si="219"/>
        <v>274</v>
      </c>
      <c r="I1164" s="19">
        <f t="shared" si="222"/>
        <v>274</v>
      </c>
      <c r="J1164" s="30"/>
      <c r="K1164" s="30"/>
      <c r="L1164" s="30"/>
      <c r="M1164" s="30"/>
      <c r="N1164" s="33"/>
      <c r="O1164" s="30"/>
      <c r="P1164" s="29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c r="AJ1164" s="25"/>
      <c r="AK1164" s="30"/>
      <c r="AL1164" s="30"/>
      <c r="AM1164" s="30"/>
      <c r="AN1164" s="30"/>
      <c r="AO1164" s="30"/>
      <c r="AP1164" s="30"/>
      <c r="AQ1164" s="30"/>
      <c r="AR1164" s="30"/>
      <c r="AS1164" s="30"/>
      <c r="AT1164" s="30"/>
      <c r="AU1164" s="30"/>
      <c r="AW1164" s="27">
        <f t="shared" si="223"/>
        <v>1.1640000000000001E-3</v>
      </c>
      <c r="AX1164" s="27">
        <f t="shared" si="224"/>
        <v>1.1640000000000001E-3</v>
      </c>
      <c r="AY1164" s="27">
        <f t="shared" si="225"/>
        <v>1.1640000000000001E-3</v>
      </c>
      <c r="AZ1164" s="27">
        <f t="shared" si="226"/>
        <v>1.1640000000000001E-3</v>
      </c>
    </row>
    <row r="1165" spans="1:52" ht="15" customHeight="1" x14ac:dyDescent="0.25">
      <c r="A1165" s="13" t="e">
        <f>VLOOKUP(L1165,[1]VALIDAÇÃO!$D$13:$E$350,2,0)</f>
        <v>#N/A</v>
      </c>
      <c r="B1165" s="14" t="str">
        <f t="shared" si="216"/>
        <v>273</v>
      </c>
      <c r="C1165" s="15">
        <f t="shared" si="227"/>
        <v>273</v>
      </c>
      <c r="D1165" s="16" t="str">
        <f t="shared" si="217"/>
        <v>273</v>
      </c>
      <c r="E1165" s="17">
        <f t="shared" si="220"/>
        <v>273</v>
      </c>
      <c r="F1165" s="18" t="str">
        <f t="shared" si="218"/>
        <v>273</v>
      </c>
      <c r="G1165" s="18">
        <f t="shared" si="221"/>
        <v>273</v>
      </c>
      <c r="H1165" s="19" t="str">
        <f t="shared" si="219"/>
        <v>273</v>
      </c>
      <c r="I1165" s="19">
        <f t="shared" si="222"/>
        <v>273</v>
      </c>
      <c r="J1165" s="30"/>
      <c r="K1165" s="30"/>
      <c r="L1165" s="30"/>
      <c r="M1165" s="30"/>
      <c r="N1165" s="30"/>
      <c r="O1165" s="30"/>
      <c r="P1165" s="29"/>
      <c r="Q1165" s="29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c r="AJ1165" s="25"/>
      <c r="AK1165" s="30"/>
      <c r="AL1165" s="30"/>
      <c r="AM1165" s="30"/>
      <c r="AN1165" s="30"/>
      <c r="AO1165" s="30"/>
      <c r="AP1165" s="30"/>
      <c r="AQ1165" s="30"/>
      <c r="AR1165" s="30"/>
      <c r="AS1165" s="30"/>
      <c r="AT1165" s="30"/>
      <c r="AU1165" s="30"/>
      <c r="AW1165" s="27">
        <f t="shared" si="223"/>
        <v>1.165E-3</v>
      </c>
      <c r="AX1165" s="27">
        <f t="shared" si="224"/>
        <v>1.165E-3</v>
      </c>
      <c r="AY1165" s="27">
        <f t="shared" si="225"/>
        <v>1.165E-3</v>
      </c>
      <c r="AZ1165" s="27">
        <f t="shared" si="226"/>
        <v>1.165E-3</v>
      </c>
    </row>
    <row r="1166" spans="1:52" ht="15" customHeight="1" x14ac:dyDescent="0.25">
      <c r="A1166" s="13" t="e">
        <f>VLOOKUP(L1166,[1]VALIDAÇÃO!$D$13:$E$350,2,0)</f>
        <v>#N/A</v>
      </c>
      <c r="B1166" s="14" t="str">
        <f t="shared" si="216"/>
        <v>272</v>
      </c>
      <c r="C1166" s="15">
        <f t="shared" si="227"/>
        <v>272</v>
      </c>
      <c r="D1166" s="16" t="str">
        <f t="shared" si="217"/>
        <v>272</v>
      </c>
      <c r="E1166" s="17">
        <f t="shared" si="220"/>
        <v>272</v>
      </c>
      <c r="F1166" s="18" t="str">
        <f t="shared" si="218"/>
        <v>272</v>
      </c>
      <c r="G1166" s="18">
        <f t="shared" si="221"/>
        <v>272</v>
      </c>
      <c r="H1166" s="19" t="str">
        <f t="shared" si="219"/>
        <v>272</v>
      </c>
      <c r="I1166" s="19">
        <f t="shared" si="222"/>
        <v>272</v>
      </c>
      <c r="J1166" s="30"/>
      <c r="K1166" s="30"/>
      <c r="L1166" s="30"/>
      <c r="M1166" s="30"/>
      <c r="N1166" s="30"/>
      <c r="O1166" s="30"/>
      <c r="P1166" s="29"/>
      <c r="Q1166" s="29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c r="AJ1166" s="25"/>
      <c r="AK1166" s="30"/>
      <c r="AL1166" s="30"/>
      <c r="AM1166" s="30"/>
      <c r="AN1166" s="30"/>
      <c r="AO1166" s="30"/>
      <c r="AP1166" s="30"/>
      <c r="AQ1166" s="30"/>
      <c r="AR1166" s="30"/>
      <c r="AS1166" s="30"/>
      <c r="AT1166" s="30"/>
      <c r="AU1166" s="30"/>
      <c r="AW1166" s="27">
        <f t="shared" si="223"/>
        <v>1.1659999999999999E-3</v>
      </c>
      <c r="AX1166" s="27">
        <f t="shared" si="224"/>
        <v>1.1659999999999999E-3</v>
      </c>
      <c r="AY1166" s="27">
        <f t="shared" si="225"/>
        <v>1.1659999999999999E-3</v>
      </c>
      <c r="AZ1166" s="27">
        <f t="shared" si="226"/>
        <v>1.1659999999999999E-3</v>
      </c>
    </row>
    <row r="1167" spans="1:52" ht="15" customHeight="1" x14ac:dyDescent="0.25">
      <c r="A1167" s="13" t="e">
        <f>VLOOKUP(L1167,[1]VALIDAÇÃO!$D$13:$E$350,2,0)</f>
        <v>#N/A</v>
      </c>
      <c r="B1167" s="14" t="str">
        <f t="shared" si="216"/>
        <v>271</v>
      </c>
      <c r="C1167" s="15">
        <f t="shared" si="227"/>
        <v>271</v>
      </c>
      <c r="D1167" s="16" t="str">
        <f t="shared" si="217"/>
        <v>271</v>
      </c>
      <c r="E1167" s="17">
        <f t="shared" si="220"/>
        <v>271</v>
      </c>
      <c r="F1167" s="18" t="str">
        <f t="shared" si="218"/>
        <v>271</v>
      </c>
      <c r="G1167" s="18">
        <f t="shared" si="221"/>
        <v>271</v>
      </c>
      <c r="H1167" s="19" t="str">
        <f t="shared" si="219"/>
        <v>271</v>
      </c>
      <c r="I1167" s="19">
        <f t="shared" si="222"/>
        <v>271</v>
      </c>
      <c r="J1167" s="30"/>
      <c r="K1167" s="30"/>
      <c r="L1167" s="30"/>
      <c r="M1167" s="30"/>
      <c r="N1167" s="33"/>
      <c r="O1167" s="30"/>
      <c r="P1167" s="29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c r="AJ1167" s="25"/>
      <c r="AK1167" s="30"/>
      <c r="AL1167" s="30"/>
      <c r="AM1167" s="30"/>
      <c r="AN1167" s="30"/>
      <c r="AO1167" s="30"/>
      <c r="AP1167" s="30"/>
      <c r="AQ1167" s="30"/>
      <c r="AR1167" s="30"/>
      <c r="AS1167" s="30"/>
      <c r="AT1167" s="30"/>
      <c r="AU1167" s="30"/>
      <c r="AW1167" s="27">
        <f t="shared" si="223"/>
        <v>1.1670000000000001E-3</v>
      </c>
      <c r="AX1167" s="27">
        <f t="shared" si="224"/>
        <v>1.1670000000000001E-3</v>
      </c>
      <c r="AY1167" s="27">
        <f t="shared" si="225"/>
        <v>1.1670000000000001E-3</v>
      </c>
      <c r="AZ1167" s="27">
        <f t="shared" si="226"/>
        <v>1.1670000000000001E-3</v>
      </c>
    </row>
    <row r="1168" spans="1:52" ht="15" customHeight="1" x14ac:dyDescent="0.25">
      <c r="A1168" s="13" t="e">
        <f>VLOOKUP(L1168,[1]VALIDAÇÃO!$D$13:$E$350,2,0)</f>
        <v>#N/A</v>
      </c>
      <c r="B1168" s="14" t="str">
        <f t="shared" si="216"/>
        <v>270</v>
      </c>
      <c r="C1168" s="15">
        <f t="shared" si="227"/>
        <v>270</v>
      </c>
      <c r="D1168" s="16" t="str">
        <f t="shared" si="217"/>
        <v>270</v>
      </c>
      <c r="E1168" s="17">
        <f t="shared" si="220"/>
        <v>270</v>
      </c>
      <c r="F1168" s="18" t="str">
        <f t="shared" si="218"/>
        <v>270</v>
      </c>
      <c r="G1168" s="18">
        <f t="shared" si="221"/>
        <v>270</v>
      </c>
      <c r="H1168" s="19" t="str">
        <f t="shared" si="219"/>
        <v>270</v>
      </c>
      <c r="I1168" s="19">
        <f t="shared" si="222"/>
        <v>270</v>
      </c>
      <c r="J1168" s="30"/>
      <c r="K1168" s="30"/>
      <c r="L1168" s="30"/>
      <c r="M1168" s="30"/>
      <c r="N1168" s="33"/>
      <c r="O1168" s="30"/>
      <c r="P1168" s="29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c r="AJ1168" s="25"/>
      <c r="AK1168" s="30"/>
      <c r="AL1168" s="30"/>
      <c r="AM1168" s="30"/>
      <c r="AN1168" s="30"/>
      <c r="AO1168" s="30"/>
      <c r="AP1168" s="30"/>
      <c r="AQ1168" s="30"/>
      <c r="AR1168" s="30"/>
      <c r="AS1168" s="30"/>
      <c r="AT1168" s="30"/>
      <c r="AU1168" s="30"/>
      <c r="AW1168" s="27">
        <f t="shared" si="223"/>
        <v>1.168E-3</v>
      </c>
      <c r="AX1168" s="27">
        <f t="shared" si="224"/>
        <v>1.168E-3</v>
      </c>
      <c r="AY1168" s="27">
        <f t="shared" si="225"/>
        <v>1.168E-3</v>
      </c>
      <c r="AZ1168" s="27">
        <f t="shared" si="226"/>
        <v>1.168E-3</v>
      </c>
    </row>
    <row r="1169" spans="1:52" ht="15" customHeight="1" x14ac:dyDescent="0.25">
      <c r="A1169" s="13" t="e">
        <f>VLOOKUP(L1169,[1]VALIDAÇÃO!$D$13:$E$350,2,0)</f>
        <v>#N/A</v>
      </c>
      <c r="B1169" s="14" t="str">
        <f t="shared" si="216"/>
        <v>269</v>
      </c>
      <c r="C1169" s="15">
        <f t="shared" si="227"/>
        <v>269</v>
      </c>
      <c r="D1169" s="16" t="str">
        <f t="shared" si="217"/>
        <v>269</v>
      </c>
      <c r="E1169" s="17">
        <f t="shared" si="220"/>
        <v>269</v>
      </c>
      <c r="F1169" s="18" t="str">
        <f t="shared" si="218"/>
        <v>269</v>
      </c>
      <c r="G1169" s="18">
        <f t="shared" si="221"/>
        <v>269</v>
      </c>
      <c r="H1169" s="19" t="str">
        <f t="shared" si="219"/>
        <v>269</v>
      </c>
      <c r="I1169" s="19">
        <f t="shared" si="222"/>
        <v>269</v>
      </c>
      <c r="J1169" s="30"/>
      <c r="K1169" s="30"/>
      <c r="L1169" s="30"/>
      <c r="M1169" s="30"/>
      <c r="N1169" s="33"/>
      <c r="O1169" s="30"/>
      <c r="P1169" s="29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c r="AJ1169" s="25"/>
      <c r="AK1169" s="30"/>
      <c r="AL1169" s="30"/>
      <c r="AM1169" s="30"/>
      <c r="AN1169" s="30"/>
      <c r="AO1169" s="30"/>
      <c r="AP1169" s="30"/>
      <c r="AQ1169" s="30"/>
      <c r="AR1169" s="30"/>
      <c r="AS1169" s="30"/>
      <c r="AT1169" s="30"/>
      <c r="AU1169" s="30"/>
      <c r="AW1169" s="27">
        <f t="shared" si="223"/>
        <v>1.1689999999999999E-3</v>
      </c>
      <c r="AX1169" s="27">
        <f t="shared" si="224"/>
        <v>1.1689999999999999E-3</v>
      </c>
      <c r="AY1169" s="27">
        <f t="shared" si="225"/>
        <v>1.1689999999999999E-3</v>
      </c>
      <c r="AZ1169" s="27">
        <f t="shared" si="226"/>
        <v>1.1689999999999999E-3</v>
      </c>
    </row>
    <row r="1170" spans="1:52" ht="15" customHeight="1" x14ac:dyDescent="0.25">
      <c r="A1170" s="13" t="e">
        <f>VLOOKUP(L1170,[1]VALIDAÇÃO!$D$13:$E$350,2,0)</f>
        <v>#N/A</v>
      </c>
      <c r="B1170" s="14" t="str">
        <f t="shared" si="216"/>
        <v>268</v>
      </c>
      <c r="C1170" s="15">
        <f t="shared" si="227"/>
        <v>268</v>
      </c>
      <c r="D1170" s="16" t="str">
        <f t="shared" si="217"/>
        <v>268</v>
      </c>
      <c r="E1170" s="17">
        <f t="shared" si="220"/>
        <v>268</v>
      </c>
      <c r="F1170" s="18" t="str">
        <f t="shared" si="218"/>
        <v>268</v>
      </c>
      <c r="G1170" s="18">
        <f t="shared" si="221"/>
        <v>268</v>
      </c>
      <c r="H1170" s="19" t="str">
        <f t="shared" si="219"/>
        <v>268</v>
      </c>
      <c r="I1170" s="19">
        <f t="shared" si="222"/>
        <v>268</v>
      </c>
      <c r="J1170" s="30"/>
      <c r="K1170" s="30"/>
      <c r="L1170" s="30"/>
      <c r="M1170" s="30"/>
      <c r="N1170" s="30"/>
      <c r="O1170" s="30"/>
      <c r="P1170" s="29"/>
      <c r="Q1170" s="29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c r="AJ1170" s="25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30"/>
      <c r="AW1170" s="27">
        <f t="shared" si="223"/>
        <v>1.17E-3</v>
      </c>
      <c r="AX1170" s="27">
        <f t="shared" si="224"/>
        <v>1.17E-3</v>
      </c>
      <c r="AY1170" s="27">
        <f t="shared" si="225"/>
        <v>1.17E-3</v>
      </c>
      <c r="AZ1170" s="27">
        <f t="shared" si="226"/>
        <v>1.17E-3</v>
      </c>
    </row>
    <row r="1171" spans="1:52" ht="15" customHeight="1" x14ac:dyDescent="0.25">
      <c r="A1171" s="13" t="e">
        <f>VLOOKUP(L1171,[1]VALIDAÇÃO!$D$13:$E$350,2,0)</f>
        <v>#N/A</v>
      </c>
      <c r="B1171" s="14" t="str">
        <f t="shared" si="216"/>
        <v>267</v>
      </c>
      <c r="C1171" s="15">
        <f t="shared" si="227"/>
        <v>267</v>
      </c>
      <c r="D1171" s="16" t="str">
        <f t="shared" si="217"/>
        <v>267</v>
      </c>
      <c r="E1171" s="17">
        <f t="shared" si="220"/>
        <v>267</v>
      </c>
      <c r="F1171" s="18" t="str">
        <f t="shared" si="218"/>
        <v>267</v>
      </c>
      <c r="G1171" s="18">
        <f t="shared" si="221"/>
        <v>267</v>
      </c>
      <c r="H1171" s="19" t="str">
        <f t="shared" si="219"/>
        <v>267</v>
      </c>
      <c r="I1171" s="19">
        <f t="shared" si="222"/>
        <v>267</v>
      </c>
      <c r="J1171" s="30"/>
      <c r="K1171" s="30"/>
      <c r="L1171" s="30"/>
      <c r="M1171" s="30"/>
      <c r="N1171" s="30"/>
      <c r="O1171" s="30"/>
      <c r="P1171" s="29"/>
      <c r="Q1171" s="29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25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W1171" s="27">
        <f t="shared" si="223"/>
        <v>1.1709999999999999E-3</v>
      </c>
      <c r="AX1171" s="27">
        <f t="shared" si="224"/>
        <v>1.1709999999999999E-3</v>
      </c>
      <c r="AY1171" s="27">
        <f t="shared" si="225"/>
        <v>1.1709999999999999E-3</v>
      </c>
      <c r="AZ1171" s="27">
        <f t="shared" si="226"/>
        <v>1.1709999999999999E-3</v>
      </c>
    </row>
    <row r="1172" spans="1:52" ht="15" customHeight="1" x14ac:dyDescent="0.25">
      <c r="A1172" s="13" t="e">
        <f>VLOOKUP(L1172,[1]VALIDAÇÃO!$D$13:$E$350,2,0)</f>
        <v>#N/A</v>
      </c>
      <c r="B1172" s="14" t="str">
        <f t="shared" ref="B1172:B1235" si="228">C1172&amp;J1172</f>
        <v>266</v>
      </c>
      <c r="C1172" s="15">
        <f t="shared" si="227"/>
        <v>266</v>
      </c>
      <c r="D1172" s="16" t="str">
        <f t="shared" ref="D1172:D1235" si="229">E1172&amp;J1172</f>
        <v>266</v>
      </c>
      <c r="E1172" s="17">
        <f t="shared" si="220"/>
        <v>266</v>
      </c>
      <c r="F1172" s="18" t="str">
        <f t="shared" ref="F1172:F1235" si="230">G1172&amp;J1172</f>
        <v>266</v>
      </c>
      <c r="G1172" s="18">
        <f t="shared" si="221"/>
        <v>266</v>
      </c>
      <c r="H1172" s="19" t="str">
        <f t="shared" ref="H1172:H1235" si="231">I1172&amp;J1172</f>
        <v>266</v>
      </c>
      <c r="I1172" s="19">
        <f t="shared" si="222"/>
        <v>266</v>
      </c>
      <c r="J1172" s="30"/>
      <c r="K1172" s="30"/>
      <c r="L1172" s="30"/>
      <c r="M1172" s="30"/>
      <c r="N1172" s="30"/>
      <c r="O1172" s="30"/>
      <c r="P1172" s="29"/>
      <c r="Q1172" s="29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c r="AJ1172" s="25"/>
      <c r="AK1172" s="30"/>
      <c r="AL1172" s="30"/>
      <c r="AM1172" s="30"/>
      <c r="AN1172" s="30"/>
      <c r="AO1172" s="30"/>
      <c r="AP1172" s="30"/>
      <c r="AQ1172" s="30"/>
      <c r="AR1172" s="30"/>
      <c r="AS1172" s="30"/>
      <c r="AT1172" s="30"/>
      <c r="AU1172" s="30"/>
      <c r="AW1172" s="27">
        <f t="shared" si="223"/>
        <v>1.1720000000000001E-3</v>
      </c>
      <c r="AX1172" s="27">
        <f t="shared" si="224"/>
        <v>1.1720000000000001E-3</v>
      </c>
      <c r="AY1172" s="27">
        <f t="shared" si="225"/>
        <v>1.1720000000000001E-3</v>
      </c>
      <c r="AZ1172" s="27">
        <f t="shared" si="226"/>
        <v>1.1720000000000001E-3</v>
      </c>
    </row>
    <row r="1173" spans="1:52" ht="15" customHeight="1" x14ac:dyDescent="0.25">
      <c r="A1173" s="13" t="e">
        <f>VLOOKUP(L1173,[1]VALIDAÇÃO!$D$13:$E$350,2,0)</f>
        <v>#N/A</v>
      </c>
      <c r="B1173" s="14" t="str">
        <f t="shared" si="228"/>
        <v>265</v>
      </c>
      <c r="C1173" s="15">
        <f t="shared" si="227"/>
        <v>265</v>
      </c>
      <c r="D1173" s="16" t="str">
        <f t="shared" si="229"/>
        <v>265</v>
      </c>
      <c r="E1173" s="17">
        <f t="shared" si="220"/>
        <v>265</v>
      </c>
      <c r="F1173" s="18" t="str">
        <f t="shared" si="230"/>
        <v>265</v>
      </c>
      <c r="G1173" s="18">
        <f t="shared" si="221"/>
        <v>265</v>
      </c>
      <c r="H1173" s="19" t="str">
        <f t="shared" si="231"/>
        <v>265</v>
      </c>
      <c r="I1173" s="19">
        <f t="shared" si="222"/>
        <v>265</v>
      </c>
      <c r="J1173" s="30"/>
      <c r="K1173" s="30"/>
      <c r="L1173" s="30"/>
      <c r="M1173" s="30"/>
      <c r="N1173" s="30"/>
      <c r="O1173" s="30"/>
      <c r="P1173" s="29"/>
      <c r="Q1173" s="29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c r="AJ1173" s="25"/>
      <c r="AK1173" s="30"/>
      <c r="AL1173" s="30"/>
      <c r="AM1173" s="30"/>
      <c r="AN1173" s="30"/>
      <c r="AO1173" s="30"/>
      <c r="AP1173" s="30"/>
      <c r="AQ1173" s="30"/>
      <c r="AR1173" s="30"/>
      <c r="AS1173" s="30"/>
      <c r="AT1173" s="30"/>
      <c r="AU1173" s="30"/>
      <c r="AW1173" s="27">
        <f t="shared" si="223"/>
        <v>1.173E-3</v>
      </c>
      <c r="AX1173" s="27">
        <f t="shared" si="224"/>
        <v>1.173E-3</v>
      </c>
      <c r="AY1173" s="27">
        <f t="shared" si="225"/>
        <v>1.173E-3</v>
      </c>
      <c r="AZ1173" s="27">
        <f t="shared" si="226"/>
        <v>1.173E-3</v>
      </c>
    </row>
    <row r="1174" spans="1:52" ht="15" customHeight="1" x14ac:dyDescent="0.25">
      <c r="A1174" s="13" t="e">
        <f>VLOOKUP(L1174,[1]VALIDAÇÃO!$D$13:$E$350,2,0)</f>
        <v>#N/A</v>
      </c>
      <c r="B1174" s="14" t="str">
        <f t="shared" si="228"/>
        <v>264</v>
      </c>
      <c r="C1174" s="15">
        <f t="shared" si="227"/>
        <v>264</v>
      </c>
      <c r="D1174" s="16" t="str">
        <f t="shared" si="229"/>
        <v>264</v>
      </c>
      <c r="E1174" s="17">
        <f t="shared" si="220"/>
        <v>264</v>
      </c>
      <c r="F1174" s="18" t="str">
        <f t="shared" si="230"/>
        <v>264</v>
      </c>
      <c r="G1174" s="18">
        <f t="shared" si="221"/>
        <v>264</v>
      </c>
      <c r="H1174" s="19" t="str">
        <f t="shared" si="231"/>
        <v>264</v>
      </c>
      <c r="I1174" s="19">
        <f t="shared" si="222"/>
        <v>264</v>
      </c>
      <c r="J1174" s="30"/>
      <c r="K1174" s="30"/>
      <c r="L1174" s="30"/>
      <c r="M1174" s="30"/>
      <c r="N1174" s="33"/>
      <c r="O1174" s="30"/>
      <c r="P1174" s="29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c r="AJ1174" s="25"/>
      <c r="AK1174" s="30"/>
      <c r="AL1174" s="30"/>
      <c r="AM1174" s="30"/>
      <c r="AN1174" s="30"/>
      <c r="AO1174" s="30"/>
      <c r="AP1174" s="30"/>
      <c r="AQ1174" s="30"/>
      <c r="AR1174" s="30"/>
      <c r="AS1174" s="30"/>
      <c r="AT1174" s="30"/>
      <c r="AU1174" s="30"/>
      <c r="AW1174" s="27">
        <f t="shared" si="223"/>
        <v>1.1739999999999999E-3</v>
      </c>
      <c r="AX1174" s="27">
        <f t="shared" si="224"/>
        <v>1.1739999999999999E-3</v>
      </c>
      <c r="AY1174" s="27">
        <f t="shared" si="225"/>
        <v>1.1739999999999999E-3</v>
      </c>
      <c r="AZ1174" s="27">
        <f t="shared" si="226"/>
        <v>1.1739999999999999E-3</v>
      </c>
    </row>
    <row r="1175" spans="1:52" ht="15" customHeight="1" x14ac:dyDescent="0.25">
      <c r="A1175" s="13" t="e">
        <f>VLOOKUP(L1175,[1]VALIDAÇÃO!$D$13:$E$350,2,0)</f>
        <v>#N/A</v>
      </c>
      <c r="B1175" s="14" t="str">
        <f t="shared" si="228"/>
        <v>263</v>
      </c>
      <c r="C1175" s="15">
        <f t="shared" si="227"/>
        <v>263</v>
      </c>
      <c r="D1175" s="16" t="str">
        <f t="shared" si="229"/>
        <v>263</v>
      </c>
      <c r="E1175" s="17">
        <f t="shared" si="220"/>
        <v>263</v>
      </c>
      <c r="F1175" s="18" t="str">
        <f t="shared" si="230"/>
        <v>263</v>
      </c>
      <c r="G1175" s="18">
        <f t="shared" si="221"/>
        <v>263</v>
      </c>
      <c r="H1175" s="19" t="str">
        <f t="shared" si="231"/>
        <v>263</v>
      </c>
      <c r="I1175" s="19">
        <f t="shared" si="222"/>
        <v>263</v>
      </c>
      <c r="J1175" s="30"/>
      <c r="K1175" s="30"/>
      <c r="L1175" s="30"/>
      <c r="M1175" s="30"/>
      <c r="N1175" s="30"/>
      <c r="O1175" s="30"/>
      <c r="P1175" s="29"/>
      <c r="Q1175" s="29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  <c r="AJ1175" s="25"/>
      <c r="AK1175" s="30"/>
      <c r="AL1175" s="30"/>
      <c r="AM1175" s="30"/>
      <c r="AN1175" s="30"/>
      <c r="AO1175" s="30"/>
      <c r="AP1175" s="30"/>
      <c r="AQ1175" s="30"/>
      <c r="AR1175" s="30"/>
      <c r="AS1175" s="30"/>
      <c r="AT1175" s="30"/>
      <c r="AU1175" s="30"/>
      <c r="AW1175" s="27">
        <f t="shared" si="223"/>
        <v>1.175E-3</v>
      </c>
      <c r="AX1175" s="27">
        <f t="shared" si="224"/>
        <v>1.175E-3</v>
      </c>
      <c r="AY1175" s="27">
        <f t="shared" si="225"/>
        <v>1.175E-3</v>
      </c>
      <c r="AZ1175" s="27">
        <f t="shared" si="226"/>
        <v>1.175E-3</v>
      </c>
    </row>
    <row r="1176" spans="1:52" ht="15" customHeight="1" x14ac:dyDescent="0.25">
      <c r="A1176" s="13" t="e">
        <f>VLOOKUP(L1176,[1]VALIDAÇÃO!$D$13:$E$350,2,0)</f>
        <v>#N/A</v>
      </c>
      <c r="B1176" s="14" t="str">
        <f t="shared" si="228"/>
        <v>262</v>
      </c>
      <c r="C1176" s="15">
        <f t="shared" si="227"/>
        <v>262</v>
      </c>
      <c r="D1176" s="16" t="str">
        <f t="shared" si="229"/>
        <v>262</v>
      </c>
      <c r="E1176" s="17">
        <f t="shared" si="220"/>
        <v>262</v>
      </c>
      <c r="F1176" s="18" t="str">
        <f t="shared" si="230"/>
        <v>262</v>
      </c>
      <c r="G1176" s="18">
        <f t="shared" si="221"/>
        <v>262</v>
      </c>
      <c r="H1176" s="19" t="str">
        <f t="shared" si="231"/>
        <v>262</v>
      </c>
      <c r="I1176" s="19">
        <f t="shared" si="222"/>
        <v>262</v>
      </c>
      <c r="J1176" s="30"/>
      <c r="K1176" s="30"/>
      <c r="L1176" s="30"/>
      <c r="M1176" s="30"/>
      <c r="N1176" s="33"/>
      <c r="O1176" s="30"/>
      <c r="P1176" s="29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c r="AJ1176" s="25"/>
      <c r="AK1176" s="30"/>
      <c r="AL1176" s="30"/>
      <c r="AM1176" s="30"/>
      <c r="AN1176" s="30"/>
      <c r="AO1176" s="30"/>
      <c r="AP1176" s="30"/>
      <c r="AQ1176" s="30"/>
      <c r="AR1176" s="30"/>
      <c r="AS1176" s="30"/>
      <c r="AT1176" s="30"/>
      <c r="AU1176" s="30"/>
      <c r="AW1176" s="27">
        <f t="shared" si="223"/>
        <v>1.176E-3</v>
      </c>
      <c r="AX1176" s="27">
        <f t="shared" si="224"/>
        <v>1.176E-3</v>
      </c>
      <c r="AY1176" s="27">
        <f t="shared" si="225"/>
        <v>1.176E-3</v>
      </c>
      <c r="AZ1176" s="27">
        <f t="shared" si="226"/>
        <v>1.176E-3</v>
      </c>
    </row>
    <row r="1177" spans="1:52" ht="15" customHeight="1" x14ac:dyDescent="0.25">
      <c r="A1177" s="13" t="e">
        <f>VLOOKUP(L1177,[1]VALIDAÇÃO!$D$13:$E$350,2,0)</f>
        <v>#N/A</v>
      </c>
      <c r="B1177" s="14" t="str">
        <f t="shared" si="228"/>
        <v>261</v>
      </c>
      <c r="C1177" s="15">
        <f t="shared" si="227"/>
        <v>261</v>
      </c>
      <c r="D1177" s="16" t="str">
        <f t="shared" si="229"/>
        <v>261</v>
      </c>
      <c r="E1177" s="17">
        <f t="shared" si="220"/>
        <v>261</v>
      </c>
      <c r="F1177" s="18" t="str">
        <f t="shared" si="230"/>
        <v>261</v>
      </c>
      <c r="G1177" s="18">
        <f t="shared" si="221"/>
        <v>261</v>
      </c>
      <c r="H1177" s="19" t="str">
        <f t="shared" si="231"/>
        <v>261</v>
      </c>
      <c r="I1177" s="19">
        <f t="shared" si="222"/>
        <v>261</v>
      </c>
      <c r="J1177" s="30"/>
      <c r="K1177" s="30"/>
      <c r="L1177" s="30"/>
      <c r="M1177" s="30"/>
      <c r="N1177" s="33"/>
      <c r="O1177" s="30"/>
      <c r="P1177" s="29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  <c r="AJ1177" s="25"/>
      <c r="AK1177" s="30"/>
      <c r="AL1177" s="30"/>
      <c r="AM1177" s="30"/>
      <c r="AN1177" s="30"/>
      <c r="AO1177" s="30"/>
      <c r="AP1177" s="30"/>
      <c r="AQ1177" s="30"/>
      <c r="AR1177" s="30"/>
      <c r="AS1177" s="30"/>
      <c r="AT1177" s="30"/>
      <c r="AU1177" s="30"/>
      <c r="AW1177" s="27">
        <f t="shared" si="223"/>
        <v>1.1770000000000001E-3</v>
      </c>
      <c r="AX1177" s="27">
        <f t="shared" si="224"/>
        <v>1.1770000000000001E-3</v>
      </c>
      <c r="AY1177" s="27">
        <f t="shared" si="225"/>
        <v>1.1770000000000001E-3</v>
      </c>
      <c r="AZ1177" s="27">
        <f t="shared" si="226"/>
        <v>1.1770000000000001E-3</v>
      </c>
    </row>
    <row r="1178" spans="1:52" ht="15" customHeight="1" x14ac:dyDescent="0.25">
      <c r="A1178" s="13" t="e">
        <f>VLOOKUP(L1178,[1]VALIDAÇÃO!$D$13:$E$350,2,0)</f>
        <v>#N/A</v>
      </c>
      <c r="B1178" s="14" t="str">
        <f t="shared" si="228"/>
        <v>260</v>
      </c>
      <c r="C1178" s="15">
        <f t="shared" si="227"/>
        <v>260</v>
      </c>
      <c r="D1178" s="16" t="str">
        <f t="shared" si="229"/>
        <v>260</v>
      </c>
      <c r="E1178" s="17">
        <f t="shared" si="220"/>
        <v>260</v>
      </c>
      <c r="F1178" s="18" t="str">
        <f t="shared" si="230"/>
        <v>260</v>
      </c>
      <c r="G1178" s="18">
        <f t="shared" si="221"/>
        <v>260</v>
      </c>
      <c r="H1178" s="19" t="str">
        <f t="shared" si="231"/>
        <v>260</v>
      </c>
      <c r="I1178" s="19">
        <f t="shared" si="222"/>
        <v>260</v>
      </c>
      <c r="J1178" s="30"/>
      <c r="K1178" s="30"/>
      <c r="L1178" s="30"/>
      <c r="M1178" s="30"/>
      <c r="N1178" s="33"/>
      <c r="O1178" s="30"/>
      <c r="P1178" s="29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  <c r="AJ1178" s="25"/>
      <c r="AK1178" s="30"/>
      <c r="AL1178" s="30"/>
      <c r="AM1178" s="30"/>
      <c r="AN1178" s="30"/>
      <c r="AO1178" s="30"/>
      <c r="AP1178" s="30"/>
      <c r="AQ1178" s="30"/>
      <c r="AR1178" s="30"/>
      <c r="AS1178" s="30"/>
      <c r="AT1178" s="30"/>
      <c r="AU1178" s="30"/>
      <c r="AW1178" s="27">
        <f t="shared" si="223"/>
        <v>1.178E-3</v>
      </c>
      <c r="AX1178" s="27">
        <f t="shared" si="224"/>
        <v>1.178E-3</v>
      </c>
      <c r="AY1178" s="27">
        <f t="shared" si="225"/>
        <v>1.178E-3</v>
      </c>
      <c r="AZ1178" s="27">
        <f t="shared" si="226"/>
        <v>1.178E-3</v>
      </c>
    </row>
    <row r="1179" spans="1:52" ht="15" customHeight="1" x14ac:dyDescent="0.25">
      <c r="A1179" s="13" t="e">
        <f>VLOOKUP(L1179,[1]VALIDAÇÃO!$D$13:$E$350,2,0)</f>
        <v>#N/A</v>
      </c>
      <c r="B1179" s="14" t="str">
        <f t="shared" si="228"/>
        <v>259</v>
      </c>
      <c r="C1179" s="15">
        <f t="shared" si="227"/>
        <v>259</v>
      </c>
      <c r="D1179" s="16" t="str">
        <f t="shared" si="229"/>
        <v>259</v>
      </c>
      <c r="E1179" s="17">
        <f t="shared" si="220"/>
        <v>259</v>
      </c>
      <c r="F1179" s="18" t="str">
        <f t="shared" si="230"/>
        <v>259</v>
      </c>
      <c r="G1179" s="18">
        <f t="shared" si="221"/>
        <v>259</v>
      </c>
      <c r="H1179" s="19" t="str">
        <f t="shared" si="231"/>
        <v>259</v>
      </c>
      <c r="I1179" s="19">
        <f t="shared" si="222"/>
        <v>259</v>
      </c>
      <c r="J1179" s="30"/>
      <c r="K1179" s="30"/>
      <c r="L1179" s="30"/>
      <c r="M1179" s="30"/>
      <c r="N1179" s="33"/>
      <c r="O1179" s="30"/>
      <c r="P1179" s="29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c r="AJ1179" s="25"/>
      <c r="AK1179" s="30"/>
      <c r="AL1179" s="30"/>
      <c r="AM1179" s="30"/>
      <c r="AN1179" s="30"/>
      <c r="AO1179" s="30"/>
      <c r="AP1179" s="30"/>
      <c r="AQ1179" s="30"/>
      <c r="AR1179" s="30"/>
      <c r="AS1179" s="30"/>
      <c r="AT1179" s="30"/>
      <c r="AU1179" s="30"/>
      <c r="AW1179" s="27">
        <f t="shared" si="223"/>
        <v>1.1789999999999999E-3</v>
      </c>
      <c r="AX1179" s="27">
        <f t="shared" si="224"/>
        <v>1.1789999999999999E-3</v>
      </c>
      <c r="AY1179" s="27">
        <f t="shared" si="225"/>
        <v>1.1789999999999999E-3</v>
      </c>
      <c r="AZ1179" s="27">
        <f t="shared" si="226"/>
        <v>1.1789999999999999E-3</v>
      </c>
    </row>
    <row r="1180" spans="1:52" ht="15" customHeight="1" x14ac:dyDescent="0.25">
      <c r="A1180" s="13" t="e">
        <f>VLOOKUP(L1180,[1]VALIDAÇÃO!$D$13:$E$350,2,0)</f>
        <v>#N/A</v>
      </c>
      <c r="B1180" s="14" t="str">
        <f t="shared" si="228"/>
        <v>258</v>
      </c>
      <c r="C1180" s="15">
        <f t="shared" si="227"/>
        <v>258</v>
      </c>
      <c r="D1180" s="16" t="str">
        <f t="shared" si="229"/>
        <v>258</v>
      </c>
      <c r="E1180" s="17">
        <f t="shared" si="220"/>
        <v>258</v>
      </c>
      <c r="F1180" s="18" t="str">
        <f t="shared" si="230"/>
        <v>258</v>
      </c>
      <c r="G1180" s="18">
        <f t="shared" si="221"/>
        <v>258</v>
      </c>
      <c r="H1180" s="19" t="str">
        <f t="shared" si="231"/>
        <v>258</v>
      </c>
      <c r="I1180" s="19">
        <f t="shared" si="222"/>
        <v>258</v>
      </c>
      <c r="J1180" s="30"/>
      <c r="K1180" s="30"/>
      <c r="L1180" s="30"/>
      <c r="M1180" s="30"/>
      <c r="N1180" s="33"/>
      <c r="O1180" s="30"/>
      <c r="P1180" s="29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25"/>
      <c r="AK1180" s="30"/>
      <c r="AL1180" s="30"/>
      <c r="AM1180" s="30"/>
      <c r="AN1180" s="30"/>
      <c r="AO1180" s="30"/>
      <c r="AP1180" s="30"/>
      <c r="AQ1180" s="30"/>
      <c r="AR1180" s="30"/>
      <c r="AS1180" s="30"/>
      <c r="AT1180" s="30"/>
      <c r="AU1180" s="30"/>
      <c r="AW1180" s="27">
        <f t="shared" si="223"/>
        <v>1.1800000000000001E-3</v>
      </c>
      <c r="AX1180" s="27">
        <f t="shared" si="224"/>
        <v>1.1800000000000001E-3</v>
      </c>
      <c r="AY1180" s="27">
        <f t="shared" si="225"/>
        <v>1.1800000000000001E-3</v>
      </c>
      <c r="AZ1180" s="27">
        <f t="shared" si="226"/>
        <v>1.1800000000000001E-3</v>
      </c>
    </row>
    <row r="1181" spans="1:52" ht="15" customHeight="1" x14ac:dyDescent="0.25">
      <c r="A1181" s="13" t="e">
        <f>VLOOKUP(L1181,[1]VALIDAÇÃO!$D$13:$E$350,2,0)</f>
        <v>#N/A</v>
      </c>
      <c r="B1181" s="14" t="str">
        <f t="shared" si="228"/>
        <v>257</v>
      </c>
      <c r="C1181" s="15">
        <f t="shared" si="227"/>
        <v>257</v>
      </c>
      <c r="D1181" s="16" t="str">
        <f t="shared" si="229"/>
        <v>257</v>
      </c>
      <c r="E1181" s="17">
        <f t="shared" si="220"/>
        <v>257</v>
      </c>
      <c r="F1181" s="18" t="str">
        <f t="shared" si="230"/>
        <v>257</v>
      </c>
      <c r="G1181" s="18">
        <f t="shared" si="221"/>
        <v>257</v>
      </c>
      <c r="H1181" s="19" t="str">
        <f t="shared" si="231"/>
        <v>257</v>
      </c>
      <c r="I1181" s="19">
        <f t="shared" si="222"/>
        <v>257</v>
      </c>
      <c r="J1181" s="30"/>
      <c r="K1181" s="30"/>
      <c r="L1181" s="30"/>
      <c r="M1181" s="30"/>
      <c r="N1181" s="33"/>
      <c r="O1181" s="30"/>
      <c r="P1181" s="29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c r="AJ1181" s="25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W1181" s="27">
        <f t="shared" si="223"/>
        <v>1.181E-3</v>
      </c>
      <c r="AX1181" s="27">
        <f t="shared" si="224"/>
        <v>1.181E-3</v>
      </c>
      <c r="AY1181" s="27">
        <f t="shared" si="225"/>
        <v>1.181E-3</v>
      </c>
      <c r="AZ1181" s="27">
        <f t="shared" si="226"/>
        <v>1.181E-3</v>
      </c>
    </row>
    <row r="1182" spans="1:52" ht="15" customHeight="1" x14ac:dyDescent="0.25">
      <c r="A1182" s="13" t="e">
        <f>VLOOKUP(L1182,[1]VALIDAÇÃO!$D$13:$E$350,2,0)</f>
        <v>#N/A</v>
      </c>
      <c r="B1182" s="14" t="str">
        <f t="shared" si="228"/>
        <v>256</v>
      </c>
      <c r="C1182" s="15">
        <f t="shared" si="227"/>
        <v>256</v>
      </c>
      <c r="D1182" s="16" t="str">
        <f t="shared" si="229"/>
        <v>256</v>
      </c>
      <c r="E1182" s="17">
        <f t="shared" si="220"/>
        <v>256</v>
      </c>
      <c r="F1182" s="18" t="str">
        <f t="shared" si="230"/>
        <v>256</v>
      </c>
      <c r="G1182" s="18">
        <f t="shared" si="221"/>
        <v>256</v>
      </c>
      <c r="H1182" s="19" t="str">
        <f t="shared" si="231"/>
        <v>256</v>
      </c>
      <c r="I1182" s="19">
        <f t="shared" si="222"/>
        <v>256</v>
      </c>
      <c r="J1182" s="30"/>
      <c r="K1182" s="30"/>
      <c r="L1182" s="30"/>
      <c r="M1182" s="30"/>
      <c r="N1182" s="30"/>
      <c r="O1182" s="30"/>
      <c r="P1182" s="29"/>
      <c r="Q1182" s="29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c r="AJ1182" s="25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W1182" s="27">
        <f t="shared" si="223"/>
        <v>1.1820000000000001E-3</v>
      </c>
      <c r="AX1182" s="27">
        <f t="shared" si="224"/>
        <v>1.1820000000000001E-3</v>
      </c>
      <c r="AY1182" s="27">
        <f t="shared" si="225"/>
        <v>1.1820000000000001E-3</v>
      </c>
      <c r="AZ1182" s="27">
        <f t="shared" si="226"/>
        <v>1.1820000000000001E-3</v>
      </c>
    </row>
    <row r="1183" spans="1:52" ht="15" customHeight="1" x14ac:dyDescent="0.25">
      <c r="A1183" s="13" t="e">
        <f>VLOOKUP(L1183,[1]VALIDAÇÃO!$D$13:$E$350,2,0)</f>
        <v>#N/A</v>
      </c>
      <c r="B1183" s="14" t="str">
        <f t="shared" si="228"/>
        <v>255</v>
      </c>
      <c r="C1183" s="15">
        <f t="shared" si="227"/>
        <v>255</v>
      </c>
      <c r="D1183" s="16" t="str">
        <f t="shared" si="229"/>
        <v>255</v>
      </c>
      <c r="E1183" s="17">
        <f t="shared" si="220"/>
        <v>255</v>
      </c>
      <c r="F1183" s="18" t="str">
        <f t="shared" si="230"/>
        <v>255</v>
      </c>
      <c r="G1183" s="18">
        <f t="shared" si="221"/>
        <v>255</v>
      </c>
      <c r="H1183" s="19" t="str">
        <f t="shared" si="231"/>
        <v>255</v>
      </c>
      <c r="I1183" s="19">
        <f t="shared" si="222"/>
        <v>255</v>
      </c>
      <c r="J1183" s="30"/>
      <c r="K1183" s="30"/>
      <c r="L1183" s="30"/>
      <c r="M1183" s="30"/>
      <c r="N1183" s="33"/>
      <c r="O1183" s="30"/>
      <c r="P1183" s="29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c r="AJ1183" s="25"/>
      <c r="AK1183" s="30"/>
      <c r="AL1183" s="30"/>
      <c r="AM1183" s="30"/>
      <c r="AN1183" s="30"/>
      <c r="AO1183" s="30"/>
      <c r="AP1183" s="30"/>
      <c r="AQ1183" s="30"/>
      <c r="AR1183" s="30"/>
      <c r="AS1183" s="30"/>
      <c r="AT1183" s="30"/>
      <c r="AU1183" s="30"/>
      <c r="AW1183" s="27">
        <f t="shared" si="223"/>
        <v>1.183E-3</v>
      </c>
      <c r="AX1183" s="27">
        <f t="shared" si="224"/>
        <v>1.183E-3</v>
      </c>
      <c r="AY1183" s="27">
        <f t="shared" si="225"/>
        <v>1.183E-3</v>
      </c>
      <c r="AZ1183" s="27">
        <f t="shared" si="226"/>
        <v>1.183E-3</v>
      </c>
    </row>
    <row r="1184" spans="1:52" ht="15" customHeight="1" x14ac:dyDescent="0.25">
      <c r="A1184" s="13" t="e">
        <f>VLOOKUP(L1184,[1]VALIDAÇÃO!$D$13:$E$350,2,0)</f>
        <v>#N/A</v>
      </c>
      <c r="B1184" s="14" t="str">
        <f t="shared" si="228"/>
        <v>254</v>
      </c>
      <c r="C1184" s="15">
        <f t="shared" si="227"/>
        <v>254</v>
      </c>
      <c r="D1184" s="16" t="str">
        <f t="shared" si="229"/>
        <v>254</v>
      </c>
      <c r="E1184" s="17">
        <f t="shared" si="220"/>
        <v>254</v>
      </c>
      <c r="F1184" s="18" t="str">
        <f t="shared" si="230"/>
        <v>254</v>
      </c>
      <c r="G1184" s="18">
        <f t="shared" si="221"/>
        <v>254</v>
      </c>
      <c r="H1184" s="19" t="str">
        <f t="shared" si="231"/>
        <v>254</v>
      </c>
      <c r="I1184" s="19">
        <f t="shared" si="222"/>
        <v>254</v>
      </c>
      <c r="J1184" s="30"/>
      <c r="K1184" s="30"/>
      <c r="L1184" s="30"/>
      <c r="M1184" s="30"/>
      <c r="N1184" s="33"/>
      <c r="O1184" s="30"/>
      <c r="P1184" s="29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25"/>
      <c r="AK1184" s="30"/>
      <c r="AL1184" s="30"/>
      <c r="AM1184" s="30"/>
      <c r="AN1184" s="30"/>
      <c r="AO1184" s="30"/>
      <c r="AP1184" s="30"/>
      <c r="AQ1184" s="30"/>
      <c r="AR1184" s="30"/>
      <c r="AS1184" s="30"/>
      <c r="AT1184" s="30"/>
      <c r="AU1184" s="30"/>
      <c r="AW1184" s="27">
        <f t="shared" si="223"/>
        <v>1.1839999999999999E-3</v>
      </c>
      <c r="AX1184" s="27">
        <f t="shared" si="224"/>
        <v>1.1839999999999999E-3</v>
      </c>
      <c r="AY1184" s="27">
        <f t="shared" si="225"/>
        <v>1.1839999999999999E-3</v>
      </c>
      <c r="AZ1184" s="27">
        <f t="shared" si="226"/>
        <v>1.1839999999999999E-3</v>
      </c>
    </row>
    <row r="1185" spans="1:52" ht="15" customHeight="1" x14ac:dyDescent="0.25">
      <c r="A1185" s="13" t="e">
        <f>VLOOKUP(L1185,[1]VALIDAÇÃO!$D$13:$E$350,2,0)</f>
        <v>#N/A</v>
      </c>
      <c r="B1185" s="14" t="str">
        <f t="shared" si="228"/>
        <v>253</v>
      </c>
      <c r="C1185" s="15">
        <f t="shared" si="227"/>
        <v>253</v>
      </c>
      <c r="D1185" s="16" t="str">
        <f t="shared" si="229"/>
        <v>253</v>
      </c>
      <c r="E1185" s="17">
        <f t="shared" si="220"/>
        <v>253</v>
      </c>
      <c r="F1185" s="18" t="str">
        <f t="shared" si="230"/>
        <v>253</v>
      </c>
      <c r="G1185" s="18">
        <f t="shared" si="221"/>
        <v>253</v>
      </c>
      <c r="H1185" s="19" t="str">
        <f t="shared" si="231"/>
        <v>253</v>
      </c>
      <c r="I1185" s="19">
        <f t="shared" si="222"/>
        <v>253</v>
      </c>
      <c r="J1185" s="30"/>
      <c r="K1185" s="30"/>
      <c r="L1185" s="30"/>
      <c r="M1185" s="30"/>
      <c r="N1185" s="30"/>
      <c r="O1185" s="30"/>
      <c r="P1185" s="29"/>
      <c r="Q1185" s="29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  <c r="AJ1185" s="25"/>
      <c r="AK1185" s="30"/>
      <c r="AL1185" s="30"/>
      <c r="AM1185" s="30"/>
      <c r="AN1185" s="30"/>
      <c r="AO1185" s="30"/>
      <c r="AP1185" s="30"/>
      <c r="AQ1185" s="30"/>
      <c r="AR1185" s="30"/>
      <c r="AS1185" s="30"/>
      <c r="AT1185" s="30"/>
      <c r="AU1185" s="30"/>
      <c r="AW1185" s="27">
        <f t="shared" si="223"/>
        <v>1.1850000000000001E-3</v>
      </c>
      <c r="AX1185" s="27">
        <f t="shared" si="224"/>
        <v>1.1850000000000001E-3</v>
      </c>
      <c r="AY1185" s="27">
        <f t="shared" si="225"/>
        <v>1.1850000000000001E-3</v>
      </c>
      <c r="AZ1185" s="27">
        <f t="shared" si="226"/>
        <v>1.1850000000000001E-3</v>
      </c>
    </row>
    <row r="1186" spans="1:52" ht="15" customHeight="1" x14ac:dyDescent="0.25">
      <c r="A1186" s="13" t="e">
        <f>VLOOKUP(L1186,[1]VALIDAÇÃO!$D$13:$E$350,2,0)</f>
        <v>#N/A</v>
      </c>
      <c r="B1186" s="14" t="str">
        <f t="shared" si="228"/>
        <v>252</v>
      </c>
      <c r="C1186" s="15">
        <f t="shared" si="227"/>
        <v>252</v>
      </c>
      <c r="D1186" s="16" t="str">
        <f t="shared" si="229"/>
        <v>252</v>
      </c>
      <c r="E1186" s="17">
        <f t="shared" si="220"/>
        <v>252</v>
      </c>
      <c r="F1186" s="18" t="str">
        <f t="shared" si="230"/>
        <v>252</v>
      </c>
      <c r="G1186" s="18">
        <f t="shared" si="221"/>
        <v>252</v>
      </c>
      <c r="H1186" s="19" t="str">
        <f t="shared" si="231"/>
        <v>252</v>
      </c>
      <c r="I1186" s="19">
        <f t="shared" si="222"/>
        <v>252</v>
      </c>
      <c r="J1186" s="30"/>
      <c r="K1186" s="30"/>
      <c r="L1186" s="30"/>
      <c r="M1186" s="30"/>
      <c r="N1186" s="30"/>
      <c r="O1186" s="30"/>
      <c r="P1186" s="29"/>
      <c r="Q1186" s="29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  <c r="AJ1186" s="25"/>
      <c r="AK1186" s="30"/>
      <c r="AL1186" s="30"/>
      <c r="AM1186" s="30"/>
      <c r="AN1186" s="30"/>
      <c r="AO1186" s="30"/>
      <c r="AP1186" s="30"/>
      <c r="AQ1186" s="30"/>
      <c r="AR1186" s="30"/>
      <c r="AS1186" s="30"/>
      <c r="AT1186" s="30"/>
      <c r="AU1186" s="30"/>
      <c r="AW1186" s="27">
        <f t="shared" si="223"/>
        <v>1.186E-3</v>
      </c>
      <c r="AX1186" s="27">
        <f t="shared" si="224"/>
        <v>1.186E-3</v>
      </c>
      <c r="AY1186" s="27">
        <f t="shared" si="225"/>
        <v>1.186E-3</v>
      </c>
      <c r="AZ1186" s="27">
        <f t="shared" si="226"/>
        <v>1.186E-3</v>
      </c>
    </row>
    <row r="1187" spans="1:52" ht="15" customHeight="1" x14ac:dyDescent="0.25">
      <c r="A1187" s="13" t="e">
        <f>VLOOKUP(L1187,[1]VALIDAÇÃO!$D$13:$E$350,2,0)</f>
        <v>#N/A</v>
      </c>
      <c r="B1187" s="14" t="str">
        <f t="shared" si="228"/>
        <v>251</v>
      </c>
      <c r="C1187" s="15">
        <f t="shared" si="227"/>
        <v>251</v>
      </c>
      <c r="D1187" s="16" t="str">
        <f t="shared" si="229"/>
        <v>251</v>
      </c>
      <c r="E1187" s="17">
        <f t="shared" si="220"/>
        <v>251</v>
      </c>
      <c r="F1187" s="18" t="str">
        <f t="shared" si="230"/>
        <v>251</v>
      </c>
      <c r="G1187" s="18">
        <f t="shared" si="221"/>
        <v>251</v>
      </c>
      <c r="H1187" s="19" t="str">
        <f t="shared" si="231"/>
        <v>251</v>
      </c>
      <c r="I1187" s="19">
        <f t="shared" si="222"/>
        <v>251</v>
      </c>
      <c r="J1187" s="30"/>
      <c r="K1187" s="30"/>
      <c r="L1187" s="30"/>
      <c r="M1187" s="30"/>
      <c r="N1187" s="30"/>
      <c r="O1187" s="30"/>
      <c r="P1187" s="29"/>
      <c r="Q1187" s="29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  <c r="AJ1187" s="25"/>
      <c r="AK1187" s="30"/>
      <c r="AL1187" s="30"/>
      <c r="AM1187" s="30"/>
      <c r="AN1187" s="30"/>
      <c r="AO1187" s="30"/>
      <c r="AP1187" s="30"/>
      <c r="AQ1187" s="30"/>
      <c r="AR1187" s="30"/>
      <c r="AS1187" s="30"/>
      <c r="AT1187" s="30"/>
      <c r="AU1187" s="30"/>
      <c r="AW1187" s="27">
        <f t="shared" si="223"/>
        <v>1.1869999999999999E-3</v>
      </c>
      <c r="AX1187" s="27">
        <f t="shared" si="224"/>
        <v>1.1869999999999999E-3</v>
      </c>
      <c r="AY1187" s="27">
        <f t="shared" si="225"/>
        <v>1.1869999999999999E-3</v>
      </c>
      <c r="AZ1187" s="27">
        <f t="shared" si="226"/>
        <v>1.1869999999999999E-3</v>
      </c>
    </row>
    <row r="1188" spans="1:52" ht="15" customHeight="1" x14ac:dyDescent="0.25">
      <c r="A1188" s="13" t="e">
        <f>VLOOKUP(L1188,[1]VALIDAÇÃO!$D$13:$E$350,2,0)</f>
        <v>#N/A</v>
      </c>
      <c r="B1188" s="14" t="str">
        <f t="shared" si="228"/>
        <v>250</v>
      </c>
      <c r="C1188" s="15">
        <f t="shared" si="227"/>
        <v>250</v>
      </c>
      <c r="D1188" s="16" t="str">
        <f t="shared" si="229"/>
        <v>250</v>
      </c>
      <c r="E1188" s="17">
        <f t="shared" si="220"/>
        <v>250</v>
      </c>
      <c r="F1188" s="18" t="str">
        <f t="shared" si="230"/>
        <v>250</v>
      </c>
      <c r="G1188" s="18">
        <f t="shared" si="221"/>
        <v>250</v>
      </c>
      <c r="H1188" s="19" t="str">
        <f t="shared" si="231"/>
        <v>250</v>
      </c>
      <c r="I1188" s="19">
        <f t="shared" si="222"/>
        <v>250</v>
      </c>
      <c r="J1188" s="30"/>
      <c r="K1188" s="30"/>
      <c r="L1188" s="30"/>
      <c r="M1188" s="30"/>
      <c r="N1188" s="33"/>
      <c r="O1188" s="30"/>
      <c r="P1188" s="29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  <c r="AJ1188" s="25"/>
      <c r="AK1188" s="30"/>
      <c r="AL1188" s="30"/>
      <c r="AM1188" s="30"/>
      <c r="AN1188" s="30"/>
      <c r="AO1188" s="30"/>
      <c r="AP1188" s="30"/>
      <c r="AQ1188" s="30"/>
      <c r="AR1188" s="30"/>
      <c r="AS1188" s="30"/>
      <c r="AT1188" s="30"/>
      <c r="AU1188" s="30"/>
      <c r="AW1188" s="27">
        <f t="shared" si="223"/>
        <v>1.188E-3</v>
      </c>
      <c r="AX1188" s="27">
        <f t="shared" si="224"/>
        <v>1.188E-3</v>
      </c>
      <c r="AY1188" s="27">
        <f t="shared" si="225"/>
        <v>1.188E-3</v>
      </c>
      <c r="AZ1188" s="27">
        <f t="shared" si="226"/>
        <v>1.188E-3</v>
      </c>
    </row>
    <row r="1189" spans="1:52" ht="15" customHeight="1" x14ac:dyDescent="0.25">
      <c r="A1189" s="13" t="e">
        <f>VLOOKUP(L1189,[1]VALIDAÇÃO!$D$13:$E$350,2,0)</f>
        <v>#N/A</v>
      </c>
      <c r="B1189" s="14" t="str">
        <f t="shared" si="228"/>
        <v>249</v>
      </c>
      <c r="C1189" s="15">
        <f t="shared" si="227"/>
        <v>249</v>
      </c>
      <c r="D1189" s="16" t="str">
        <f t="shared" si="229"/>
        <v>249</v>
      </c>
      <c r="E1189" s="17">
        <f t="shared" si="220"/>
        <v>249</v>
      </c>
      <c r="F1189" s="18" t="str">
        <f t="shared" si="230"/>
        <v>249</v>
      </c>
      <c r="G1189" s="18">
        <f t="shared" si="221"/>
        <v>249</v>
      </c>
      <c r="H1189" s="19" t="str">
        <f t="shared" si="231"/>
        <v>249</v>
      </c>
      <c r="I1189" s="19">
        <f t="shared" si="222"/>
        <v>249</v>
      </c>
      <c r="J1189" s="30"/>
      <c r="K1189" s="30"/>
      <c r="L1189" s="30"/>
      <c r="M1189" s="30"/>
      <c r="N1189" s="30"/>
      <c r="O1189" s="30"/>
      <c r="P1189" s="29"/>
      <c r="Q1189" s="29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  <c r="AJ1189" s="25"/>
      <c r="AK1189" s="30"/>
      <c r="AL1189" s="30"/>
      <c r="AM1189" s="30"/>
      <c r="AN1189" s="30"/>
      <c r="AO1189" s="30"/>
      <c r="AP1189" s="30"/>
      <c r="AQ1189" s="30"/>
      <c r="AR1189" s="30"/>
      <c r="AS1189" s="30"/>
      <c r="AT1189" s="30"/>
      <c r="AU1189" s="30"/>
      <c r="AW1189" s="27">
        <f t="shared" si="223"/>
        <v>1.189E-3</v>
      </c>
      <c r="AX1189" s="27">
        <f t="shared" si="224"/>
        <v>1.189E-3</v>
      </c>
      <c r="AY1189" s="27">
        <f t="shared" si="225"/>
        <v>1.189E-3</v>
      </c>
      <c r="AZ1189" s="27">
        <f t="shared" si="226"/>
        <v>1.189E-3</v>
      </c>
    </row>
    <row r="1190" spans="1:52" ht="15" customHeight="1" x14ac:dyDescent="0.25">
      <c r="A1190" s="13" t="e">
        <f>VLOOKUP(L1190,[1]VALIDAÇÃO!$D$13:$E$350,2,0)</f>
        <v>#N/A</v>
      </c>
      <c r="B1190" s="14" t="str">
        <f t="shared" si="228"/>
        <v>248</v>
      </c>
      <c r="C1190" s="15">
        <f t="shared" si="227"/>
        <v>248</v>
      </c>
      <c r="D1190" s="16" t="str">
        <f t="shared" si="229"/>
        <v>248</v>
      </c>
      <c r="E1190" s="17">
        <f t="shared" si="220"/>
        <v>248</v>
      </c>
      <c r="F1190" s="18" t="str">
        <f t="shared" si="230"/>
        <v>248</v>
      </c>
      <c r="G1190" s="18">
        <f t="shared" si="221"/>
        <v>248</v>
      </c>
      <c r="H1190" s="19" t="str">
        <f t="shared" si="231"/>
        <v>248</v>
      </c>
      <c r="I1190" s="19">
        <f t="shared" si="222"/>
        <v>248</v>
      </c>
      <c r="J1190" s="30"/>
      <c r="K1190" s="30"/>
      <c r="L1190" s="30"/>
      <c r="M1190" s="30"/>
      <c r="N1190" s="30"/>
      <c r="O1190" s="30"/>
      <c r="P1190" s="29"/>
      <c r="Q1190" s="29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  <c r="AJ1190" s="25"/>
      <c r="AK1190" s="30"/>
      <c r="AL1190" s="30"/>
      <c r="AM1190" s="30"/>
      <c r="AN1190" s="30"/>
      <c r="AO1190" s="30"/>
      <c r="AP1190" s="30"/>
      <c r="AQ1190" s="30"/>
      <c r="AR1190" s="30"/>
      <c r="AS1190" s="30"/>
      <c r="AT1190" s="30"/>
      <c r="AU1190" s="30"/>
      <c r="AW1190" s="27">
        <f t="shared" si="223"/>
        <v>1.1900000000000001E-3</v>
      </c>
      <c r="AX1190" s="27">
        <f t="shared" si="224"/>
        <v>1.1900000000000001E-3</v>
      </c>
      <c r="AY1190" s="27">
        <f t="shared" si="225"/>
        <v>1.1900000000000001E-3</v>
      </c>
      <c r="AZ1190" s="27">
        <f t="shared" si="226"/>
        <v>1.1900000000000001E-3</v>
      </c>
    </row>
    <row r="1191" spans="1:52" ht="15" customHeight="1" x14ac:dyDescent="0.25">
      <c r="A1191" s="13" t="e">
        <f>VLOOKUP(L1191,[1]VALIDAÇÃO!$D$13:$E$350,2,0)</f>
        <v>#N/A</v>
      </c>
      <c r="B1191" s="14" t="str">
        <f t="shared" si="228"/>
        <v>247</v>
      </c>
      <c r="C1191" s="15">
        <f t="shared" si="227"/>
        <v>247</v>
      </c>
      <c r="D1191" s="16" t="str">
        <f t="shared" si="229"/>
        <v>247</v>
      </c>
      <c r="E1191" s="17">
        <f t="shared" si="220"/>
        <v>247</v>
      </c>
      <c r="F1191" s="18" t="str">
        <f t="shared" si="230"/>
        <v>247</v>
      </c>
      <c r="G1191" s="18">
        <f t="shared" si="221"/>
        <v>247</v>
      </c>
      <c r="H1191" s="19" t="str">
        <f t="shared" si="231"/>
        <v>247</v>
      </c>
      <c r="I1191" s="19">
        <f t="shared" si="222"/>
        <v>247</v>
      </c>
      <c r="J1191" s="30"/>
      <c r="K1191" s="30"/>
      <c r="L1191" s="30"/>
      <c r="M1191" s="30"/>
      <c r="N1191" s="30"/>
      <c r="O1191" s="30"/>
      <c r="P1191" s="29"/>
      <c r="Q1191" s="29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  <c r="AJ1191" s="25"/>
      <c r="AK1191" s="30"/>
      <c r="AL1191" s="30"/>
      <c r="AM1191" s="30"/>
      <c r="AN1191" s="30"/>
      <c r="AO1191" s="30"/>
      <c r="AP1191" s="30"/>
      <c r="AQ1191" s="30"/>
      <c r="AR1191" s="30"/>
      <c r="AS1191" s="30"/>
      <c r="AT1191" s="30"/>
      <c r="AU1191" s="30"/>
      <c r="AW1191" s="27">
        <f t="shared" si="223"/>
        <v>1.191E-3</v>
      </c>
      <c r="AX1191" s="27">
        <f t="shared" si="224"/>
        <v>1.191E-3</v>
      </c>
      <c r="AY1191" s="27">
        <f t="shared" si="225"/>
        <v>1.191E-3</v>
      </c>
      <c r="AZ1191" s="27">
        <f t="shared" si="226"/>
        <v>1.191E-3</v>
      </c>
    </row>
    <row r="1192" spans="1:52" ht="15" customHeight="1" x14ac:dyDescent="0.25">
      <c r="A1192" s="13" t="e">
        <f>VLOOKUP(L1192,[1]VALIDAÇÃO!$D$13:$E$350,2,0)</f>
        <v>#N/A</v>
      </c>
      <c r="B1192" s="14" t="str">
        <f t="shared" si="228"/>
        <v>246</v>
      </c>
      <c r="C1192" s="15">
        <f t="shared" si="227"/>
        <v>246</v>
      </c>
      <c r="D1192" s="16" t="str">
        <f t="shared" si="229"/>
        <v>246</v>
      </c>
      <c r="E1192" s="17">
        <f t="shared" si="220"/>
        <v>246</v>
      </c>
      <c r="F1192" s="18" t="str">
        <f t="shared" si="230"/>
        <v>246</v>
      </c>
      <c r="G1192" s="18">
        <f t="shared" si="221"/>
        <v>246</v>
      </c>
      <c r="H1192" s="19" t="str">
        <f t="shared" si="231"/>
        <v>246</v>
      </c>
      <c r="I1192" s="19">
        <f t="shared" si="222"/>
        <v>246</v>
      </c>
      <c r="J1192" s="30"/>
      <c r="K1192" s="30"/>
      <c r="L1192" s="30"/>
      <c r="M1192" s="30"/>
      <c r="N1192" s="33"/>
      <c r="O1192" s="30"/>
      <c r="P1192" s="29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  <c r="AJ1192" s="25"/>
      <c r="AK1192" s="30"/>
      <c r="AL1192" s="30"/>
      <c r="AM1192" s="30"/>
      <c r="AN1192" s="30"/>
      <c r="AO1192" s="30"/>
      <c r="AP1192" s="30"/>
      <c r="AQ1192" s="30"/>
      <c r="AR1192" s="30"/>
      <c r="AS1192" s="30"/>
      <c r="AT1192" s="30"/>
      <c r="AU1192" s="30"/>
      <c r="AW1192" s="27">
        <f t="shared" si="223"/>
        <v>1.1919999999999999E-3</v>
      </c>
      <c r="AX1192" s="27">
        <f t="shared" si="224"/>
        <v>1.1919999999999999E-3</v>
      </c>
      <c r="AY1192" s="27">
        <f t="shared" si="225"/>
        <v>1.1919999999999999E-3</v>
      </c>
      <c r="AZ1192" s="27">
        <f t="shared" si="226"/>
        <v>1.1919999999999999E-3</v>
      </c>
    </row>
    <row r="1193" spans="1:52" ht="15" customHeight="1" x14ac:dyDescent="0.25">
      <c r="A1193" s="13" t="e">
        <f>VLOOKUP(L1193,[1]VALIDAÇÃO!$D$13:$E$350,2,0)</f>
        <v>#N/A</v>
      </c>
      <c r="B1193" s="14" t="str">
        <f t="shared" si="228"/>
        <v>245</v>
      </c>
      <c r="C1193" s="15">
        <f t="shared" si="227"/>
        <v>245</v>
      </c>
      <c r="D1193" s="16" t="str">
        <f t="shared" si="229"/>
        <v>245</v>
      </c>
      <c r="E1193" s="17">
        <f t="shared" si="220"/>
        <v>245</v>
      </c>
      <c r="F1193" s="18" t="str">
        <f t="shared" si="230"/>
        <v>245</v>
      </c>
      <c r="G1193" s="18">
        <f t="shared" si="221"/>
        <v>245</v>
      </c>
      <c r="H1193" s="19" t="str">
        <f t="shared" si="231"/>
        <v>245</v>
      </c>
      <c r="I1193" s="19">
        <f t="shared" si="222"/>
        <v>245</v>
      </c>
      <c r="J1193" s="30"/>
      <c r="K1193" s="30"/>
      <c r="L1193" s="30"/>
      <c r="M1193" s="30"/>
      <c r="N1193" s="33"/>
      <c r="O1193" s="30"/>
      <c r="P1193" s="29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  <c r="AJ1193" s="25"/>
      <c r="AK1193" s="30"/>
      <c r="AL1193" s="30"/>
      <c r="AM1193" s="30"/>
      <c r="AN1193" s="30"/>
      <c r="AO1193" s="30"/>
      <c r="AP1193" s="30"/>
      <c r="AQ1193" s="30"/>
      <c r="AR1193" s="30"/>
      <c r="AS1193" s="30"/>
      <c r="AT1193" s="30"/>
      <c r="AU1193" s="30"/>
      <c r="AW1193" s="27">
        <f t="shared" si="223"/>
        <v>1.193E-3</v>
      </c>
      <c r="AX1193" s="27">
        <f t="shared" si="224"/>
        <v>1.193E-3</v>
      </c>
      <c r="AY1193" s="27">
        <f t="shared" si="225"/>
        <v>1.193E-3</v>
      </c>
      <c r="AZ1193" s="27">
        <f t="shared" si="226"/>
        <v>1.193E-3</v>
      </c>
    </row>
    <row r="1194" spans="1:52" ht="15" customHeight="1" x14ac:dyDescent="0.25">
      <c r="A1194" s="13" t="e">
        <f>VLOOKUP(L1194,[1]VALIDAÇÃO!$D$13:$E$350,2,0)</f>
        <v>#N/A</v>
      </c>
      <c r="B1194" s="14" t="str">
        <f t="shared" si="228"/>
        <v>244</v>
      </c>
      <c r="C1194" s="15">
        <f t="shared" si="227"/>
        <v>244</v>
      </c>
      <c r="D1194" s="16" t="str">
        <f t="shared" si="229"/>
        <v>244</v>
      </c>
      <c r="E1194" s="17">
        <f t="shared" si="220"/>
        <v>244</v>
      </c>
      <c r="F1194" s="18" t="str">
        <f t="shared" si="230"/>
        <v>244</v>
      </c>
      <c r="G1194" s="18">
        <f t="shared" si="221"/>
        <v>244</v>
      </c>
      <c r="H1194" s="19" t="str">
        <f t="shared" si="231"/>
        <v>244</v>
      </c>
      <c r="I1194" s="19">
        <f t="shared" si="222"/>
        <v>244</v>
      </c>
      <c r="J1194" s="30"/>
      <c r="K1194" s="30"/>
      <c r="L1194" s="30"/>
      <c r="M1194" s="30"/>
      <c r="N1194" s="30"/>
      <c r="O1194" s="30"/>
      <c r="P1194" s="29"/>
      <c r="Q1194" s="29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  <c r="AJ1194" s="25"/>
      <c r="AK1194" s="30"/>
      <c r="AL1194" s="30"/>
      <c r="AM1194" s="30"/>
      <c r="AN1194" s="30"/>
      <c r="AO1194" s="30"/>
      <c r="AP1194" s="30"/>
      <c r="AQ1194" s="30"/>
      <c r="AR1194" s="30"/>
      <c r="AS1194" s="30"/>
      <c r="AT1194" s="30"/>
      <c r="AU1194" s="30"/>
      <c r="AW1194" s="27">
        <f t="shared" si="223"/>
        <v>1.194E-3</v>
      </c>
      <c r="AX1194" s="27">
        <f t="shared" si="224"/>
        <v>1.194E-3</v>
      </c>
      <c r="AY1194" s="27">
        <f t="shared" si="225"/>
        <v>1.194E-3</v>
      </c>
      <c r="AZ1194" s="27">
        <f t="shared" si="226"/>
        <v>1.194E-3</v>
      </c>
    </row>
    <row r="1195" spans="1:52" ht="15" customHeight="1" x14ac:dyDescent="0.25">
      <c r="A1195" s="13" t="e">
        <f>VLOOKUP(L1195,[1]VALIDAÇÃO!$D$13:$E$350,2,0)</f>
        <v>#N/A</v>
      </c>
      <c r="B1195" s="14" t="str">
        <f t="shared" si="228"/>
        <v>243</v>
      </c>
      <c r="C1195" s="15">
        <f t="shared" si="227"/>
        <v>243</v>
      </c>
      <c r="D1195" s="16" t="str">
        <f t="shared" si="229"/>
        <v>243</v>
      </c>
      <c r="E1195" s="17">
        <f t="shared" si="220"/>
        <v>243</v>
      </c>
      <c r="F1195" s="18" t="str">
        <f t="shared" si="230"/>
        <v>243</v>
      </c>
      <c r="G1195" s="18">
        <f t="shared" si="221"/>
        <v>243</v>
      </c>
      <c r="H1195" s="19" t="str">
        <f t="shared" si="231"/>
        <v>243</v>
      </c>
      <c r="I1195" s="19">
        <f t="shared" si="222"/>
        <v>243</v>
      </c>
      <c r="J1195" s="30"/>
      <c r="K1195" s="30"/>
      <c r="L1195" s="30"/>
      <c r="M1195" s="30"/>
      <c r="N1195" s="33"/>
      <c r="O1195" s="30"/>
      <c r="P1195" s="29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  <c r="AJ1195" s="25"/>
      <c r="AK1195" s="30"/>
      <c r="AL1195" s="30"/>
      <c r="AM1195" s="30"/>
      <c r="AN1195" s="30"/>
      <c r="AO1195" s="30"/>
      <c r="AP1195" s="30"/>
      <c r="AQ1195" s="30"/>
      <c r="AR1195" s="30"/>
      <c r="AS1195" s="30"/>
      <c r="AT1195" s="30"/>
      <c r="AU1195" s="30"/>
      <c r="AW1195" s="27">
        <f t="shared" si="223"/>
        <v>1.1950000000000001E-3</v>
      </c>
      <c r="AX1195" s="27">
        <f t="shared" si="224"/>
        <v>1.1950000000000001E-3</v>
      </c>
      <c r="AY1195" s="27">
        <f t="shared" si="225"/>
        <v>1.1950000000000001E-3</v>
      </c>
      <c r="AZ1195" s="27">
        <f t="shared" si="226"/>
        <v>1.1950000000000001E-3</v>
      </c>
    </row>
    <row r="1196" spans="1:52" ht="15" customHeight="1" x14ac:dyDescent="0.25">
      <c r="A1196" s="13" t="e">
        <f>VLOOKUP(L1196,[1]VALIDAÇÃO!$D$13:$E$350,2,0)</f>
        <v>#N/A</v>
      </c>
      <c r="B1196" s="14" t="str">
        <f t="shared" si="228"/>
        <v>242</v>
      </c>
      <c r="C1196" s="15">
        <f t="shared" si="227"/>
        <v>242</v>
      </c>
      <c r="D1196" s="16" t="str">
        <f t="shared" si="229"/>
        <v>242</v>
      </c>
      <c r="E1196" s="17">
        <f t="shared" si="220"/>
        <v>242</v>
      </c>
      <c r="F1196" s="18" t="str">
        <f t="shared" si="230"/>
        <v>242</v>
      </c>
      <c r="G1196" s="18">
        <f t="shared" si="221"/>
        <v>242</v>
      </c>
      <c r="H1196" s="19" t="str">
        <f t="shared" si="231"/>
        <v>242</v>
      </c>
      <c r="I1196" s="19">
        <f t="shared" si="222"/>
        <v>242</v>
      </c>
      <c r="J1196" s="30"/>
      <c r="K1196" s="30"/>
      <c r="L1196" s="30"/>
      <c r="M1196" s="30"/>
      <c r="N1196" s="30"/>
      <c r="O1196" s="30"/>
      <c r="P1196" s="29"/>
      <c r="Q1196" s="29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  <c r="AJ1196" s="25"/>
      <c r="AK1196" s="30"/>
      <c r="AL1196" s="30"/>
      <c r="AM1196" s="30"/>
      <c r="AN1196" s="30"/>
      <c r="AO1196" s="30"/>
      <c r="AP1196" s="30"/>
      <c r="AQ1196" s="30"/>
      <c r="AR1196" s="30"/>
      <c r="AS1196" s="30"/>
      <c r="AT1196" s="30"/>
      <c r="AU1196" s="30"/>
      <c r="AW1196" s="27">
        <f t="shared" si="223"/>
        <v>1.196E-3</v>
      </c>
      <c r="AX1196" s="27">
        <f t="shared" si="224"/>
        <v>1.196E-3</v>
      </c>
      <c r="AY1196" s="27">
        <f t="shared" si="225"/>
        <v>1.196E-3</v>
      </c>
      <c r="AZ1196" s="27">
        <f t="shared" si="226"/>
        <v>1.196E-3</v>
      </c>
    </row>
    <row r="1197" spans="1:52" ht="15" customHeight="1" x14ac:dyDescent="0.25">
      <c r="A1197" s="13" t="e">
        <f>VLOOKUP(L1197,[1]VALIDAÇÃO!$D$13:$E$350,2,0)</f>
        <v>#N/A</v>
      </c>
      <c r="B1197" s="14" t="str">
        <f t="shared" si="228"/>
        <v>241</v>
      </c>
      <c r="C1197" s="15">
        <f t="shared" si="227"/>
        <v>241</v>
      </c>
      <c r="D1197" s="16" t="str">
        <f t="shared" si="229"/>
        <v>241</v>
      </c>
      <c r="E1197" s="17">
        <f t="shared" si="220"/>
        <v>241</v>
      </c>
      <c r="F1197" s="18" t="str">
        <f t="shared" si="230"/>
        <v>241</v>
      </c>
      <c r="G1197" s="18">
        <f t="shared" si="221"/>
        <v>241</v>
      </c>
      <c r="H1197" s="19" t="str">
        <f t="shared" si="231"/>
        <v>241</v>
      </c>
      <c r="I1197" s="19">
        <f t="shared" si="222"/>
        <v>241</v>
      </c>
      <c r="J1197" s="30"/>
      <c r="K1197" s="30"/>
      <c r="L1197" s="30"/>
      <c r="M1197" s="30"/>
      <c r="N1197" s="30"/>
      <c r="O1197" s="30"/>
      <c r="P1197" s="29"/>
      <c r="Q1197" s="29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  <c r="AJ1197" s="25"/>
      <c r="AK1197" s="30"/>
      <c r="AL1197" s="30"/>
      <c r="AM1197" s="30"/>
      <c r="AN1197" s="30"/>
      <c r="AO1197" s="30"/>
      <c r="AP1197" s="30"/>
      <c r="AQ1197" s="30"/>
      <c r="AR1197" s="30"/>
      <c r="AS1197" s="30"/>
      <c r="AT1197" s="30"/>
      <c r="AU1197" s="30"/>
      <c r="AW1197" s="27">
        <f t="shared" si="223"/>
        <v>1.1969999999999999E-3</v>
      </c>
      <c r="AX1197" s="27">
        <f t="shared" si="224"/>
        <v>1.1969999999999999E-3</v>
      </c>
      <c r="AY1197" s="27">
        <f t="shared" si="225"/>
        <v>1.1969999999999999E-3</v>
      </c>
      <c r="AZ1197" s="27">
        <f t="shared" si="226"/>
        <v>1.1969999999999999E-3</v>
      </c>
    </row>
    <row r="1198" spans="1:52" ht="15" customHeight="1" x14ac:dyDescent="0.25">
      <c r="A1198" s="13" t="e">
        <f>VLOOKUP(L1198,[1]VALIDAÇÃO!$D$13:$E$350,2,0)</f>
        <v>#N/A</v>
      </c>
      <c r="B1198" s="14" t="str">
        <f t="shared" si="228"/>
        <v>240</v>
      </c>
      <c r="C1198" s="15">
        <f t="shared" si="227"/>
        <v>240</v>
      </c>
      <c r="D1198" s="16" t="str">
        <f t="shared" si="229"/>
        <v>240</v>
      </c>
      <c r="E1198" s="17">
        <f t="shared" si="220"/>
        <v>240</v>
      </c>
      <c r="F1198" s="18" t="str">
        <f t="shared" si="230"/>
        <v>240</v>
      </c>
      <c r="G1198" s="18">
        <f t="shared" si="221"/>
        <v>240</v>
      </c>
      <c r="H1198" s="19" t="str">
        <f t="shared" si="231"/>
        <v>240</v>
      </c>
      <c r="I1198" s="19">
        <f t="shared" si="222"/>
        <v>240</v>
      </c>
      <c r="J1198" s="30"/>
      <c r="K1198" s="30"/>
      <c r="L1198" s="30"/>
      <c r="M1198" s="30"/>
      <c r="N1198" s="33"/>
      <c r="O1198" s="30"/>
      <c r="P1198" s="29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  <c r="AJ1198" s="25"/>
      <c r="AK1198" s="30"/>
      <c r="AL1198" s="30"/>
      <c r="AM1198" s="30"/>
      <c r="AN1198" s="30"/>
      <c r="AO1198" s="30"/>
      <c r="AP1198" s="30"/>
      <c r="AQ1198" s="30"/>
      <c r="AR1198" s="30"/>
      <c r="AS1198" s="30"/>
      <c r="AT1198" s="30"/>
      <c r="AU1198" s="30"/>
      <c r="AW1198" s="27">
        <f t="shared" si="223"/>
        <v>1.1980000000000001E-3</v>
      </c>
      <c r="AX1198" s="27">
        <f t="shared" si="224"/>
        <v>1.1980000000000001E-3</v>
      </c>
      <c r="AY1198" s="27">
        <f t="shared" si="225"/>
        <v>1.1980000000000001E-3</v>
      </c>
      <c r="AZ1198" s="27">
        <f t="shared" si="226"/>
        <v>1.1980000000000001E-3</v>
      </c>
    </row>
    <row r="1199" spans="1:52" ht="15" customHeight="1" x14ac:dyDescent="0.25">
      <c r="A1199" s="13" t="e">
        <f>VLOOKUP(L1199,[1]VALIDAÇÃO!$D$13:$E$350,2,0)</f>
        <v>#N/A</v>
      </c>
      <c r="B1199" s="14" t="str">
        <f t="shared" si="228"/>
        <v>239</v>
      </c>
      <c r="C1199" s="15">
        <f t="shared" si="227"/>
        <v>239</v>
      </c>
      <c r="D1199" s="16" t="str">
        <f t="shared" si="229"/>
        <v>239</v>
      </c>
      <c r="E1199" s="17">
        <f t="shared" si="220"/>
        <v>239</v>
      </c>
      <c r="F1199" s="18" t="str">
        <f t="shared" si="230"/>
        <v>239</v>
      </c>
      <c r="G1199" s="18">
        <f t="shared" si="221"/>
        <v>239</v>
      </c>
      <c r="H1199" s="19" t="str">
        <f t="shared" si="231"/>
        <v>239</v>
      </c>
      <c r="I1199" s="19">
        <f t="shared" si="222"/>
        <v>239</v>
      </c>
      <c r="J1199" s="30"/>
      <c r="K1199" s="30"/>
      <c r="L1199" s="30"/>
      <c r="M1199" s="30"/>
      <c r="N1199" s="30"/>
      <c r="O1199" s="30"/>
      <c r="P1199" s="29"/>
      <c r="Q1199" s="29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  <c r="AJ1199" s="25"/>
      <c r="AK1199" s="30"/>
      <c r="AL1199" s="30"/>
      <c r="AM1199" s="30"/>
      <c r="AN1199" s="30"/>
      <c r="AO1199" s="30"/>
      <c r="AP1199" s="30"/>
      <c r="AQ1199" s="30"/>
      <c r="AR1199" s="30"/>
      <c r="AS1199" s="30"/>
      <c r="AT1199" s="30"/>
      <c r="AU1199" s="30"/>
      <c r="AW1199" s="27">
        <f t="shared" si="223"/>
        <v>1.199E-3</v>
      </c>
      <c r="AX1199" s="27">
        <f t="shared" si="224"/>
        <v>1.199E-3</v>
      </c>
      <c r="AY1199" s="27">
        <f t="shared" si="225"/>
        <v>1.199E-3</v>
      </c>
      <c r="AZ1199" s="27">
        <f t="shared" si="226"/>
        <v>1.199E-3</v>
      </c>
    </row>
    <row r="1200" spans="1:52" ht="15" customHeight="1" x14ac:dyDescent="0.25">
      <c r="A1200" s="13" t="e">
        <f>VLOOKUP(L1200,[1]VALIDAÇÃO!$D$13:$E$350,2,0)</f>
        <v>#N/A</v>
      </c>
      <c r="B1200" s="14" t="str">
        <f t="shared" si="228"/>
        <v>238</v>
      </c>
      <c r="C1200" s="15">
        <f t="shared" si="227"/>
        <v>238</v>
      </c>
      <c r="D1200" s="16" t="str">
        <f t="shared" si="229"/>
        <v>238</v>
      </c>
      <c r="E1200" s="17">
        <f t="shared" si="220"/>
        <v>238</v>
      </c>
      <c r="F1200" s="18" t="str">
        <f t="shared" si="230"/>
        <v>238</v>
      </c>
      <c r="G1200" s="18">
        <f t="shared" si="221"/>
        <v>238</v>
      </c>
      <c r="H1200" s="19" t="str">
        <f t="shared" si="231"/>
        <v>238</v>
      </c>
      <c r="I1200" s="19">
        <f t="shared" si="222"/>
        <v>238</v>
      </c>
      <c r="J1200" s="30"/>
      <c r="K1200" s="30"/>
      <c r="L1200" s="30"/>
      <c r="M1200" s="30"/>
      <c r="N1200" s="33"/>
      <c r="O1200" s="30"/>
      <c r="P1200" s="29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  <c r="AJ1200" s="25"/>
      <c r="AK1200" s="30"/>
      <c r="AL1200" s="30"/>
      <c r="AM1200" s="30"/>
      <c r="AN1200" s="30"/>
      <c r="AO1200" s="30"/>
      <c r="AP1200" s="30"/>
      <c r="AQ1200" s="30"/>
      <c r="AR1200" s="30"/>
      <c r="AS1200" s="30"/>
      <c r="AT1200" s="30"/>
      <c r="AU1200" s="30"/>
      <c r="AW1200" s="27">
        <f t="shared" si="223"/>
        <v>1.1999999999999999E-3</v>
      </c>
      <c r="AX1200" s="27">
        <f t="shared" si="224"/>
        <v>1.1999999999999999E-3</v>
      </c>
      <c r="AY1200" s="27">
        <f t="shared" si="225"/>
        <v>1.1999999999999999E-3</v>
      </c>
      <c r="AZ1200" s="27">
        <f t="shared" si="226"/>
        <v>1.1999999999999999E-3</v>
      </c>
    </row>
    <row r="1201" spans="1:52" ht="15" customHeight="1" x14ac:dyDescent="0.25">
      <c r="A1201" s="13" t="e">
        <f>VLOOKUP(L1201,[1]VALIDAÇÃO!$D$13:$E$350,2,0)</f>
        <v>#N/A</v>
      </c>
      <c r="B1201" s="14" t="str">
        <f t="shared" si="228"/>
        <v>237</v>
      </c>
      <c r="C1201" s="15">
        <f t="shared" si="227"/>
        <v>237</v>
      </c>
      <c r="D1201" s="16" t="str">
        <f t="shared" si="229"/>
        <v>237</v>
      </c>
      <c r="E1201" s="17">
        <f t="shared" si="220"/>
        <v>237</v>
      </c>
      <c r="F1201" s="18" t="str">
        <f t="shared" si="230"/>
        <v>237</v>
      </c>
      <c r="G1201" s="18">
        <f t="shared" si="221"/>
        <v>237</v>
      </c>
      <c r="H1201" s="19" t="str">
        <f t="shared" si="231"/>
        <v>237</v>
      </c>
      <c r="I1201" s="19">
        <f t="shared" si="222"/>
        <v>237</v>
      </c>
      <c r="J1201" s="30"/>
      <c r="K1201" s="30"/>
      <c r="L1201" s="30"/>
      <c r="M1201" s="30"/>
      <c r="N1201" s="30"/>
      <c r="O1201" s="30"/>
      <c r="P1201" s="29"/>
      <c r="Q1201" s="29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  <c r="AJ1201" s="25"/>
      <c r="AK1201" s="30"/>
      <c r="AL1201" s="30"/>
      <c r="AM1201" s="30"/>
      <c r="AN1201" s="30"/>
      <c r="AO1201" s="30"/>
      <c r="AP1201" s="30"/>
      <c r="AQ1201" s="30"/>
      <c r="AR1201" s="30"/>
      <c r="AS1201" s="30"/>
      <c r="AT1201" s="30"/>
      <c r="AU1201" s="30"/>
      <c r="AW1201" s="27">
        <f t="shared" si="223"/>
        <v>1.201E-3</v>
      </c>
      <c r="AX1201" s="27">
        <f t="shared" si="224"/>
        <v>1.201E-3</v>
      </c>
      <c r="AY1201" s="27">
        <f t="shared" si="225"/>
        <v>1.201E-3</v>
      </c>
      <c r="AZ1201" s="27">
        <f t="shared" si="226"/>
        <v>1.201E-3</v>
      </c>
    </row>
    <row r="1202" spans="1:52" ht="15" customHeight="1" x14ac:dyDescent="0.25">
      <c r="A1202" s="13" t="e">
        <f>VLOOKUP(L1202,[1]VALIDAÇÃO!$D$13:$E$350,2,0)</f>
        <v>#N/A</v>
      </c>
      <c r="B1202" s="14" t="str">
        <f t="shared" si="228"/>
        <v>236</v>
      </c>
      <c r="C1202" s="15">
        <f t="shared" si="227"/>
        <v>236</v>
      </c>
      <c r="D1202" s="16" t="str">
        <f t="shared" si="229"/>
        <v>236</v>
      </c>
      <c r="E1202" s="17">
        <f t="shared" si="220"/>
        <v>236</v>
      </c>
      <c r="F1202" s="18" t="str">
        <f t="shared" si="230"/>
        <v>236</v>
      </c>
      <c r="G1202" s="18">
        <f t="shared" si="221"/>
        <v>236</v>
      </c>
      <c r="H1202" s="19" t="str">
        <f t="shared" si="231"/>
        <v>236</v>
      </c>
      <c r="I1202" s="19">
        <f t="shared" si="222"/>
        <v>236</v>
      </c>
      <c r="J1202" s="30"/>
      <c r="K1202" s="30"/>
      <c r="L1202" s="30"/>
      <c r="M1202" s="30"/>
      <c r="N1202" s="33"/>
      <c r="O1202" s="30"/>
      <c r="P1202" s="29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  <c r="AJ1202" s="25"/>
      <c r="AK1202" s="30"/>
      <c r="AL1202" s="30"/>
      <c r="AM1202" s="30"/>
      <c r="AN1202" s="30"/>
      <c r="AO1202" s="30"/>
      <c r="AP1202" s="30"/>
      <c r="AQ1202" s="30"/>
      <c r="AR1202" s="30"/>
      <c r="AS1202" s="30"/>
      <c r="AT1202" s="30"/>
      <c r="AU1202" s="30"/>
      <c r="AW1202" s="27">
        <f t="shared" si="223"/>
        <v>1.2019999999999999E-3</v>
      </c>
      <c r="AX1202" s="27">
        <f t="shared" si="224"/>
        <v>1.2019999999999999E-3</v>
      </c>
      <c r="AY1202" s="27">
        <f t="shared" si="225"/>
        <v>1.2019999999999999E-3</v>
      </c>
      <c r="AZ1202" s="27">
        <f t="shared" si="226"/>
        <v>1.2019999999999999E-3</v>
      </c>
    </row>
    <row r="1203" spans="1:52" ht="15" customHeight="1" x14ac:dyDescent="0.25">
      <c r="A1203" s="13" t="e">
        <f>VLOOKUP(L1203,[1]VALIDAÇÃO!$D$13:$E$350,2,0)</f>
        <v>#N/A</v>
      </c>
      <c r="B1203" s="14" t="str">
        <f t="shared" si="228"/>
        <v>235</v>
      </c>
      <c r="C1203" s="15">
        <f t="shared" si="227"/>
        <v>235</v>
      </c>
      <c r="D1203" s="16" t="str">
        <f t="shared" si="229"/>
        <v>235</v>
      </c>
      <c r="E1203" s="17">
        <f t="shared" si="220"/>
        <v>235</v>
      </c>
      <c r="F1203" s="18" t="str">
        <f t="shared" si="230"/>
        <v>235</v>
      </c>
      <c r="G1203" s="18">
        <f t="shared" si="221"/>
        <v>235</v>
      </c>
      <c r="H1203" s="19" t="str">
        <f t="shared" si="231"/>
        <v>235</v>
      </c>
      <c r="I1203" s="19">
        <f t="shared" si="222"/>
        <v>235</v>
      </c>
      <c r="J1203" s="30"/>
      <c r="K1203" s="30"/>
      <c r="L1203" s="30"/>
      <c r="M1203" s="30"/>
      <c r="N1203" s="30"/>
      <c r="O1203" s="30"/>
      <c r="P1203" s="29"/>
      <c r="Q1203" s="29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25"/>
      <c r="AK1203" s="30"/>
      <c r="AL1203" s="30"/>
      <c r="AM1203" s="30"/>
      <c r="AN1203" s="30"/>
      <c r="AO1203" s="30"/>
      <c r="AP1203" s="30"/>
      <c r="AQ1203" s="30"/>
      <c r="AR1203" s="30"/>
      <c r="AS1203" s="30"/>
      <c r="AT1203" s="30"/>
      <c r="AU1203" s="30"/>
      <c r="AW1203" s="27">
        <f t="shared" si="223"/>
        <v>1.2030000000000001E-3</v>
      </c>
      <c r="AX1203" s="27">
        <f t="shared" si="224"/>
        <v>1.2030000000000001E-3</v>
      </c>
      <c r="AY1203" s="27">
        <f t="shared" si="225"/>
        <v>1.2030000000000001E-3</v>
      </c>
      <c r="AZ1203" s="27">
        <f t="shared" si="226"/>
        <v>1.2030000000000001E-3</v>
      </c>
    </row>
    <row r="1204" spans="1:52" ht="15" customHeight="1" x14ac:dyDescent="0.25">
      <c r="A1204" s="13" t="e">
        <f>VLOOKUP(L1204,[1]VALIDAÇÃO!$D$13:$E$350,2,0)</f>
        <v>#N/A</v>
      </c>
      <c r="B1204" s="14" t="str">
        <f t="shared" si="228"/>
        <v>234</v>
      </c>
      <c r="C1204" s="15">
        <f t="shared" si="227"/>
        <v>234</v>
      </c>
      <c r="D1204" s="16" t="str">
        <f t="shared" si="229"/>
        <v>234</v>
      </c>
      <c r="E1204" s="17">
        <f t="shared" si="220"/>
        <v>234</v>
      </c>
      <c r="F1204" s="18" t="str">
        <f t="shared" si="230"/>
        <v>234</v>
      </c>
      <c r="G1204" s="18">
        <f t="shared" si="221"/>
        <v>234</v>
      </c>
      <c r="H1204" s="19" t="str">
        <f t="shared" si="231"/>
        <v>234</v>
      </c>
      <c r="I1204" s="19">
        <f t="shared" si="222"/>
        <v>234</v>
      </c>
      <c r="J1204" s="30"/>
      <c r="K1204" s="30"/>
      <c r="L1204" s="30"/>
      <c r="M1204" s="30"/>
      <c r="N1204" s="33"/>
      <c r="O1204" s="30"/>
      <c r="P1204" s="29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25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W1204" s="27">
        <f t="shared" si="223"/>
        <v>1.204E-3</v>
      </c>
      <c r="AX1204" s="27">
        <f t="shared" si="224"/>
        <v>1.204E-3</v>
      </c>
      <c r="AY1204" s="27">
        <f t="shared" si="225"/>
        <v>1.204E-3</v>
      </c>
      <c r="AZ1204" s="27">
        <f t="shared" si="226"/>
        <v>1.204E-3</v>
      </c>
    </row>
    <row r="1205" spans="1:52" ht="15" customHeight="1" x14ac:dyDescent="0.25">
      <c r="A1205" s="13" t="e">
        <f>VLOOKUP(L1205,[1]VALIDAÇÃO!$D$13:$E$350,2,0)</f>
        <v>#N/A</v>
      </c>
      <c r="B1205" s="14" t="str">
        <f t="shared" si="228"/>
        <v>233</v>
      </c>
      <c r="C1205" s="15">
        <f t="shared" si="227"/>
        <v>233</v>
      </c>
      <c r="D1205" s="16" t="str">
        <f t="shared" si="229"/>
        <v>233</v>
      </c>
      <c r="E1205" s="17">
        <f t="shared" si="220"/>
        <v>233</v>
      </c>
      <c r="F1205" s="18" t="str">
        <f t="shared" si="230"/>
        <v>233</v>
      </c>
      <c r="G1205" s="18">
        <f t="shared" si="221"/>
        <v>233</v>
      </c>
      <c r="H1205" s="19" t="str">
        <f t="shared" si="231"/>
        <v>233</v>
      </c>
      <c r="I1205" s="19">
        <f t="shared" si="222"/>
        <v>233</v>
      </c>
      <c r="J1205" s="30"/>
      <c r="K1205" s="30"/>
      <c r="L1205" s="30"/>
      <c r="M1205" s="30"/>
      <c r="N1205" s="30"/>
      <c r="O1205" s="30"/>
      <c r="P1205" s="29"/>
      <c r="Q1205" s="29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  <c r="AJ1205" s="25"/>
      <c r="AK1205" s="30"/>
      <c r="AL1205" s="30"/>
      <c r="AM1205" s="30"/>
      <c r="AN1205" s="30"/>
      <c r="AO1205" s="30"/>
      <c r="AP1205" s="30"/>
      <c r="AQ1205" s="30"/>
      <c r="AR1205" s="30"/>
      <c r="AS1205" s="30"/>
      <c r="AT1205" s="30"/>
      <c r="AU1205" s="30"/>
      <c r="AW1205" s="27">
        <f t="shared" si="223"/>
        <v>1.2049999999999999E-3</v>
      </c>
      <c r="AX1205" s="27">
        <f t="shared" si="224"/>
        <v>1.2049999999999999E-3</v>
      </c>
      <c r="AY1205" s="27">
        <f t="shared" si="225"/>
        <v>1.2049999999999999E-3</v>
      </c>
      <c r="AZ1205" s="27">
        <f t="shared" si="226"/>
        <v>1.2049999999999999E-3</v>
      </c>
    </row>
    <row r="1206" spans="1:52" ht="15" customHeight="1" x14ac:dyDescent="0.25">
      <c r="A1206" s="13" t="e">
        <f>VLOOKUP(L1206,[1]VALIDAÇÃO!$D$13:$E$350,2,0)</f>
        <v>#N/A</v>
      </c>
      <c r="B1206" s="14" t="str">
        <f t="shared" si="228"/>
        <v>232</v>
      </c>
      <c r="C1206" s="15">
        <f t="shared" si="227"/>
        <v>232</v>
      </c>
      <c r="D1206" s="16" t="str">
        <f t="shared" si="229"/>
        <v>232</v>
      </c>
      <c r="E1206" s="17">
        <f t="shared" si="220"/>
        <v>232</v>
      </c>
      <c r="F1206" s="18" t="str">
        <f t="shared" si="230"/>
        <v>232</v>
      </c>
      <c r="G1206" s="18">
        <f t="shared" si="221"/>
        <v>232</v>
      </c>
      <c r="H1206" s="19" t="str">
        <f t="shared" si="231"/>
        <v>232</v>
      </c>
      <c r="I1206" s="19">
        <f t="shared" si="222"/>
        <v>232</v>
      </c>
      <c r="J1206" s="30"/>
      <c r="K1206" s="30"/>
      <c r="L1206" s="30"/>
      <c r="M1206" s="30"/>
      <c r="N1206" s="30"/>
      <c r="O1206" s="30"/>
      <c r="P1206" s="29"/>
      <c r="Q1206" s="29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  <c r="AJ1206" s="25"/>
      <c r="AK1206" s="30"/>
      <c r="AL1206" s="30"/>
      <c r="AM1206" s="30"/>
      <c r="AN1206" s="30"/>
      <c r="AO1206" s="30"/>
      <c r="AP1206" s="30"/>
      <c r="AQ1206" s="30"/>
      <c r="AR1206" s="30"/>
      <c r="AS1206" s="30"/>
      <c r="AT1206" s="30"/>
      <c r="AU1206" s="30"/>
      <c r="AW1206" s="27">
        <f t="shared" si="223"/>
        <v>1.206E-3</v>
      </c>
      <c r="AX1206" s="27">
        <f t="shared" si="224"/>
        <v>1.206E-3</v>
      </c>
      <c r="AY1206" s="27">
        <f t="shared" si="225"/>
        <v>1.206E-3</v>
      </c>
      <c r="AZ1206" s="27">
        <f t="shared" si="226"/>
        <v>1.206E-3</v>
      </c>
    </row>
    <row r="1207" spans="1:52" ht="15" customHeight="1" x14ac:dyDescent="0.25">
      <c r="A1207" s="13" t="e">
        <f>VLOOKUP(L1207,[1]VALIDAÇÃO!$D$13:$E$350,2,0)</f>
        <v>#N/A</v>
      </c>
      <c r="B1207" s="14" t="str">
        <f t="shared" si="228"/>
        <v>231</v>
      </c>
      <c r="C1207" s="15">
        <f t="shared" si="227"/>
        <v>231</v>
      </c>
      <c r="D1207" s="16" t="str">
        <f t="shared" si="229"/>
        <v>231</v>
      </c>
      <c r="E1207" s="17">
        <f t="shared" si="220"/>
        <v>231</v>
      </c>
      <c r="F1207" s="18" t="str">
        <f t="shared" si="230"/>
        <v>231</v>
      </c>
      <c r="G1207" s="18">
        <f t="shared" si="221"/>
        <v>231</v>
      </c>
      <c r="H1207" s="19" t="str">
        <f t="shared" si="231"/>
        <v>231</v>
      </c>
      <c r="I1207" s="19">
        <f t="shared" si="222"/>
        <v>231</v>
      </c>
      <c r="J1207" s="30"/>
      <c r="K1207" s="30"/>
      <c r="L1207" s="30"/>
      <c r="M1207" s="30"/>
      <c r="N1207" s="30"/>
      <c r="O1207" s="30"/>
      <c r="P1207" s="29"/>
      <c r="Q1207" s="29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  <c r="AJ1207" s="25"/>
      <c r="AK1207" s="30"/>
      <c r="AL1207" s="30"/>
      <c r="AM1207" s="30"/>
      <c r="AN1207" s="30"/>
      <c r="AO1207" s="30"/>
      <c r="AP1207" s="30"/>
      <c r="AQ1207" s="30"/>
      <c r="AR1207" s="30"/>
      <c r="AS1207" s="30"/>
      <c r="AT1207" s="30"/>
      <c r="AU1207" s="30"/>
      <c r="AW1207" s="27">
        <f t="shared" si="223"/>
        <v>1.207E-3</v>
      </c>
      <c r="AX1207" s="27">
        <f t="shared" si="224"/>
        <v>1.207E-3</v>
      </c>
      <c r="AY1207" s="27">
        <f t="shared" si="225"/>
        <v>1.207E-3</v>
      </c>
      <c r="AZ1207" s="27">
        <f t="shared" si="226"/>
        <v>1.207E-3</v>
      </c>
    </row>
    <row r="1208" spans="1:52" ht="15" customHeight="1" x14ac:dyDescent="0.25">
      <c r="A1208" s="13" t="e">
        <f>VLOOKUP(L1208,[1]VALIDAÇÃO!$D$13:$E$350,2,0)</f>
        <v>#N/A</v>
      </c>
      <c r="B1208" s="14" t="str">
        <f t="shared" si="228"/>
        <v>230</v>
      </c>
      <c r="C1208" s="15">
        <f t="shared" si="227"/>
        <v>230</v>
      </c>
      <c r="D1208" s="16" t="str">
        <f t="shared" si="229"/>
        <v>230</v>
      </c>
      <c r="E1208" s="17">
        <f t="shared" si="220"/>
        <v>230</v>
      </c>
      <c r="F1208" s="18" t="str">
        <f t="shared" si="230"/>
        <v>230</v>
      </c>
      <c r="G1208" s="18">
        <f t="shared" si="221"/>
        <v>230</v>
      </c>
      <c r="H1208" s="19" t="str">
        <f t="shared" si="231"/>
        <v>230</v>
      </c>
      <c r="I1208" s="19">
        <f t="shared" si="222"/>
        <v>230</v>
      </c>
      <c r="J1208" s="30"/>
      <c r="K1208" s="30"/>
      <c r="L1208" s="30"/>
      <c r="M1208" s="30"/>
      <c r="N1208" s="33"/>
      <c r="O1208" s="30"/>
      <c r="P1208" s="29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  <c r="AJ1208" s="25"/>
      <c r="AK1208" s="30"/>
      <c r="AL1208" s="30"/>
      <c r="AM1208" s="30"/>
      <c r="AN1208" s="30"/>
      <c r="AO1208" s="30"/>
      <c r="AP1208" s="30"/>
      <c r="AQ1208" s="30"/>
      <c r="AR1208" s="30"/>
      <c r="AS1208" s="30"/>
      <c r="AT1208" s="30"/>
      <c r="AU1208" s="30"/>
      <c r="AW1208" s="27">
        <f t="shared" si="223"/>
        <v>1.2080000000000001E-3</v>
      </c>
      <c r="AX1208" s="27">
        <f t="shared" si="224"/>
        <v>1.2080000000000001E-3</v>
      </c>
      <c r="AY1208" s="27">
        <f t="shared" si="225"/>
        <v>1.2080000000000001E-3</v>
      </c>
      <c r="AZ1208" s="27">
        <f t="shared" si="226"/>
        <v>1.2080000000000001E-3</v>
      </c>
    </row>
    <row r="1209" spans="1:52" ht="15" customHeight="1" x14ac:dyDescent="0.25">
      <c r="A1209" s="13" t="e">
        <f>VLOOKUP(L1209,[1]VALIDAÇÃO!$D$13:$E$350,2,0)</f>
        <v>#N/A</v>
      </c>
      <c r="B1209" s="14" t="str">
        <f t="shared" si="228"/>
        <v>229</v>
      </c>
      <c r="C1209" s="15">
        <f t="shared" si="227"/>
        <v>229</v>
      </c>
      <c r="D1209" s="16" t="str">
        <f t="shared" si="229"/>
        <v>229</v>
      </c>
      <c r="E1209" s="17">
        <f t="shared" si="220"/>
        <v>229</v>
      </c>
      <c r="F1209" s="18" t="str">
        <f t="shared" si="230"/>
        <v>229</v>
      </c>
      <c r="G1209" s="18">
        <f t="shared" si="221"/>
        <v>229</v>
      </c>
      <c r="H1209" s="19" t="str">
        <f t="shared" si="231"/>
        <v>229</v>
      </c>
      <c r="I1209" s="19">
        <f t="shared" si="222"/>
        <v>229</v>
      </c>
      <c r="J1209" s="30"/>
      <c r="K1209" s="30"/>
      <c r="L1209" s="30"/>
      <c r="M1209" s="30"/>
      <c r="N1209" s="30"/>
      <c r="O1209" s="30"/>
      <c r="P1209" s="29"/>
      <c r="Q1209" s="29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  <c r="AJ1209" s="25"/>
      <c r="AK1209" s="30"/>
      <c r="AL1209" s="30"/>
      <c r="AM1209" s="30"/>
      <c r="AN1209" s="30"/>
      <c r="AO1209" s="30"/>
      <c r="AP1209" s="30"/>
      <c r="AQ1209" s="30"/>
      <c r="AR1209" s="30"/>
      <c r="AS1209" s="30"/>
      <c r="AT1209" s="30"/>
      <c r="AU1209" s="30"/>
      <c r="AW1209" s="27">
        <f t="shared" si="223"/>
        <v>1.209E-3</v>
      </c>
      <c r="AX1209" s="27">
        <f t="shared" si="224"/>
        <v>1.209E-3</v>
      </c>
      <c r="AY1209" s="27">
        <f t="shared" si="225"/>
        <v>1.209E-3</v>
      </c>
      <c r="AZ1209" s="27">
        <f t="shared" si="226"/>
        <v>1.209E-3</v>
      </c>
    </row>
    <row r="1210" spans="1:52" ht="15" customHeight="1" x14ac:dyDescent="0.25">
      <c r="A1210" s="13" t="e">
        <f>VLOOKUP(L1210,[1]VALIDAÇÃO!$D$13:$E$350,2,0)</f>
        <v>#N/A</v>
      </c>
      <c r="B1210" s="14" t="str">
        <f t="shared" si="228"/>
        <v>228</v>
      </c>
      <c r="C1210" s="15">
        <f t="shared" si="227"/>
        <v>228</v>
      </c>
      <c r="D1210" s="16" t="str">
        <f t="shared" si="229"/>
        <v>228</v>
      </c>
      <c r="E1210" s="17">
        <f t="shared" si="220"/>
        <v>228</v>
      </c>
      <c r="F1210" s="18" t="str">
        <f t="shared" si="230"/>
        <v>228</v>
      </c>
      <c r="G1210" s="18">
        <f t="shared" si="221"/>
        <v>228</v>
      </c>
      <c r="H1210" s="19" t="str">
        <f t="shared" si="231"/>
        <v>228</v>
      </c>
      <c r="I1210" s="19">
        <f t="shared" si="222"/>
        <v>228</v>
      </c>
      <c r="J1210" s="30"/>
      <c r="K1210" s="30"/>
      <c r="L1210" s="30"/>
      <c r="M1210" s="30"/>
      <c r="N1210" s="30"/>
      <c r="O1210" s="30"/>
      <c r="P1210" s="29"/>
      <c r="Q1210" s="29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  <c r="AJ1210" s="25"/>
      <c r="AK1210" s="30"/>
      <c r="AL1210" s="30"/>
      <c r="AM1210" s="30"/>
      <c r="AN1210" s="30"/>
      <c r="AO1210" s="30"/>
      <c r="AP1210" s="30"/>
      <c r="AQ1210" s="30"/>
      <c r="AR1210" s="30"/>
      <c r="AS1210" s="30"/>
      <c r="AT1210" s="30"/>
      <c r="AU1210" s="30"/>
      <c r="AW1210" s="27">
        <f t="shared" si="223"/>
        <v>1.2099999999999999E-3</v>
      </c>
      <c r="AX1210" s="27">
        <f t="shared" si="224"/>
        <v>1.2099999999999999E-3</v>
      </c>
      <c r="AY1210" s="27">
        <f t="shared" si="225"/>
        <v>1.2099999999999999E-3</v>
      </c>
      <c r="AZ1210" s="27">
        <f t="shared" si="226"/>
        <v>1.2099999999999999E-3</v>
      </c>
    </row>
    <row r="1211" spans="1:52" ht="15" customHeight="1" x14ac:dyDescent="0.25">
      <c r="A1211" s="13" t="e">
        <f>VLOOKUP(L1211,[1]VALIDAÇÃO!$D$13:$E$350,2,0)</f>
        <v>#N/A</v>
      </c>
      <c r="B1211" s="14" t="str">
        <f t="shared" si="228"/>
        <v>227</v>
      </c>
      <c r="C1211" s="15">
        <f t="shared" si="227"/>
        <v>227</v>
      </c>
      <c r="D1211" s="16" t="str">
        <f t="shared" si="229"/>
        <v>227</v>
      </c>
      <c r="E1211" s="17">
        <f t="shared" si="220"/>
        <v>227</v>
      </c>
      <c r="F1211" s="18" t="str">
        <f t="shared" si="230"/>
        <v>227</v>
      </c>
      <c r="G1211" s="18">
        <f t="shared" si="221"/>
        <v>227</v>
      </c>
      <c r="H1211" s="19" t="str">
        <f t="shared" si="231"/>
        <v>227</v>
      </c>
      <c r="I1211" s="19">
        <f t="shared" si="222"/>
        <v>227</v>
      </c>
      <c r="J1211" s="30"/>
      <c r="K1211" s="30"/>
      <c r="L1211" s="30"/>
      <c r="M1211" s="30"/>
      <c r="N1211" s="30"/>
      <c r="O1211" s="30"/>
      <c r="P1211" s="29"/>
      <c r="Q1211" s="29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  <c r="AJ1211" s="25"/>
      <c r="AK1211" s="30"/>
      <c r="AL1211" s="30"/>
      <c r="AM1211" s="30"/>
      <c r="AN1211" s="30"/>
      <c r="AO1211" s="30"/>
      <c r="AP1211" s="30"/>
      <c r="AQ1211" s="30"/>
      <c r="AR1211" s="30"/>
      <c r="AS1211" s="30"/>
      <c r="AT1211" s="30"/>
      <c r="AU1211" s="30"/>
      <c r="AW1211" s="27">
        <f t="shared" si="223"/>
        <v>1.2110000000000001E-3</v>
      </c>
      <c r="AX1211" s="27">
        <f t="shared" si="224"/>
        <v>1.2110000000000001E-3</v>
      </c>
      <c r="AY1211" s="27">
        <f t="shared" si="225"/>
        <v>1.2110000000000001E-3</v>
      </c>
      <c r="AZ1211" s="27">
        <f t="shared" si="226"/>
        <v>1.2110000000000001E-3</v>
      </c>
    </row>
    <row r="1212" spans="1:52" ht="15" customHeight="1" x14ac:dyDescent="0.25">
      <c r="A1212" s="13" t="e">
        <f>VLOOKUP(L1212,[1]VALIDAÇÃO!$D$13:$E$350,2,0)</f>
        <v>#N/A</v>
      </c>
      <c r="B1212" s="14" t="str">
        <f t="shared" si="228"/>
        <v>226</v>
      </c>
      <c r="C1212" s="15">
        <f t="shared" si="227"/>
        <v>226</v>
      </c>
      <c r="D1212" s="16" t="str">
        <f t="shared" si="229"/>
        <v>226</v>
      </c>
      <c r="E1212" s="17">
        <f t="shared" si="220"/>
        <v>226</v>
      </c>
      <c r="F1212" s="18" t="str">
        <f t="shared" si="230"/>
        <v>226</v>
      </c>
      <c r="G1212" s="18">
        <f t="shared" si="221"/>
        <v>226</v>
      </c>
      <c r="H1212" s="19" t="str">
        <f t="shared" si="231"/>
        <v>226</v>
      </c>
      <c r="I1212" s="19">
        <f t="shared" si="222"/>
        <v>226</v>
      </c>
      <c r="J1212" s="30"/>
      <c r="K1212" s="30"/>
      <c r="L1212" s="30"/>
      <c r="M1212" s="30"/>
      <c r="N1212" s="33"/>
      <c r="O1212" s="30"/>
      <c r="P1212" s="29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  <c r="AJ1212" s="25"/>
      <c r="AK1212" s="30"/>
      <c r="AL1212" s="30"/>
      <c r="AM1212" s="30"/>
      <c r="AN1212" s="30"/>
      <c r="AO1212" s="30"/>
      <c r="AP1212" s="30"/>
      <c r="AQ1212" s="30"/>
      <c r="AR1212" s="30"/>
      <c r="AS1212" s="30"/>
      <c r="AT1212" s="30"/>
      <c r="AU1212" s="30"/>
      <c r="AW1212" s="27">
        <f t="shared" si="223"/>
        <v>1.212E-3</v>
      </c>
      <c r="AX1212" s="27">
        <f t="shared" si="224"/>
        <v>1.212E-3</v>
      </c>
      <c r="AY1212" s="27">
        <f t="shared" si="225"/>
        <v>1.212E-3</v>
      </c>
      <c r="AZ1212" s="27">
        <f t="shared" si="226"/>
        <v>1.212E-3</v>
      </c>
    </row>
    <row r="1213" spans="1:52" ht="15" customHeight="1" x14ac:dyDescent="0.25">
      <c r="A1213" s="13" t="e">
        <f>VLOOKUP(L1213,[1]VALIDAÇÃO!$D$13:$E$350,2,0)</f>
        <v>#N/A</v>
      </c>
      <c r="B1213" s="14" t="str">
        <f t="shared" si="228"/>
        <v>225</v>
      </c>
      <c r="C1213" s="15">
        <f t="shared" si="227"/>
        <v>225</v>
      </c>
      <c r="D1213" s="16" t="str">
        <f t="shared" si="229"/>
        <v>225</v>
      </c>
      <c r="E1213" s="17">
        <f t="shared" si="220"/>
        <v>225</v>
      </c>
      <c r="F1213" s="18" t="str">
        <f t="shared" si="230"/>
        <v>225</v>
      </c>
      <c r="G1213" s="18">
        <f t="shared" si="221"/>
        <v>225</v>
      </c>
      <c r="H1213" s="19" t="str">
        <f t="shared" si="231"/>
        <v>225</v>
      </c>
      <c r="I1213" s="19">
        <f t="shared" si="222"/>
        <v>225</v>
      </c>
      <c r="J1213" s="30"/>
      <c r="K1213" s="30"/>
      <c r="L1213" s="30"/>
      <c r="M1213" s="30"/>
      <c r="N1213" s="33"/>
      <c r="O1213" s="30"/>
      <c r="P1213" s="29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  <c r="AJ1213" s="25"/>
      <c r="AK1213" s="30"/>
      <c r="AL1213" s="30"/>
      <c r="AM1213" s="30"/>
      <c r="AN1213" s="30"/>
      <c r="AO1213" s="30"/>
      <c r="AP1213" s="30"/>
      <c r="AQ1213" s="30"/>
      <c r="AR1213" s="30"/>
      <c r="AS1213" s="30"/>
      <c r="AT1213" s="30"/>
      <c r="AU1213" s="30"/>
      <c r="AW1213" s="27">
        <f t="shared" si="223"/>
        <v>1.2130000000000001E-3</v>
      </c>
      <c r="AX1213" s="27">
        <f t="shared" si="224"/>
        <v>1.2130000000000001E-3</v>
      </c>
      <c r="AY1213" s="27">
        <f t="shared" si="225"/>
        <v>1.2130000000000001E-3</v>
      </c>
      <c r="AZ1213" s="27">
        <f t="shared" si="226"/>
        <v>1.2130000000000001E-3</v>
      </c>
    </row>
    <row r="1214" spans="1:52" ht="15" customHeight="1" x14ac:dyDescent="0.25">
      <c r="A1214" s="13" t="e">
        <f>VLOOKUP(L1214,[1]VALIDAÇÃO!$D$13:$E$350,2,0)</f>
        <v>#N/A</v>
      </c>
      <c r="B1214" s="14" t="str">
        <f t="shared" si="228"/>
        <v>224</v>
      </c>
      <c r="C1214" s="15">
        <f t="shared" si="227"/>
        <v>224</v>
      </c>
      <c r="D1214" s="16" t="str">
        <f t="shared" si="229"/>
        <v>224</v>
      </c>
      <c r="E1214" s="17">
        <f t="shared" si="220"/>
        <v>224</v>
      </c>
      <c r="F1214" s="18" t="str">
        <f t="shared" si="230"/>
        <v>224</v>
      </c>
      <c r="G1214" s="18">
        <f t="shared" si="221"/>
        <v>224</v>
      </c>
      <c r="H1214" s="19" t="str">
        <f t="shared" si="231"/>
        <v>224</v>
      </c>
      <c r="I1214" s="19">
        <f t="shared" si="222"/>
        <v>224</v>
      </c>
      <c r="J1214" s="30"/>
      <c r="K1214" s="30"/>
      <c r="L1214" s="30"/>
      <c r="M1214" s="30"/>
      <c r="N1214" s="30"/>
      <c r="O1214" s="30"/>
      <c r="P1214" s="29"/>
      <c r="Q1214" s="29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  <c r="AJ1214" s="25"/>
      <c r="AK1214" s="30"/>
      <c r="AL1214" s="30"/>
      <c r="AM1214" s="30"/>
      <c r="AN1214" s="30"/>
      <c r="AO1214" s="30"/>
      <c r="AP1214" s="30"/>
      <c r="AQ1214" s="30"/>
      <c r="AR1214" s="30"/>
      <c r="AS1214" s="30"/>
      <c r="AT1214" s="30"/>
      <c r="AU1214" s="30"/>
      <c r="AW1214" s="27">
        <f t="shared" si="223"/>
        <v>1.214E-3</v>
      </c>
      <c r="AX1214" s="27">
        <f t="shared" si="224"/>
        <v>1.214E-3</v>
      </c>
      <c r="AY1214" s="27">
        <f t="shared" si="225"/>
        <v>1.214E-3</v>
      </c>
      <c r="AZ1214" s="27">
        <f t="shared" si="226"/>
        <v>1.214E-3</v>
      </c>
    </row>
    <row r="1215" spans="1:52" ht="15" customHeight="1" x14ac:dyDescent="0.25">
      <c r="A1215" s="13" t="e">
        <f>VLOOKUP(L1215,[1]VALIDAÇÃO!$D$13:$E$350,2,0)</f>
        <v>#N/A</v>
      </c>
      <c r="B1215" s="14" t="str">
        <f t="shared" si="228"/>
        <v>223</v>
      </c>
      <c r="C1215" s="15">
        <f t="shared" si="227"/>
        <v>223</v>
      </c>
      <c r="D1215" s="16" t="str">
        <f t="shared" si="229"/>
        <v>223</v>
      </c>
      <c r="E1215" s="17">
        <f t="shared" si="220"/>
        <v>223</v>
      </c>
      <c r="F1215" s="18" t="str">
        <f t="shared" si="230"/>
        <v>223</v>
      </c>
      <c r="G1215" s="18">
        <f t="shared" si="221"/>
        <v>223</v>
      </c>
      <c r="H1215" s="19" t="str">
        <f t="shared" si="231"/>
        <v>223</v>
      </c>
      <c r="I1215" s="19">
        <f t="shared" si="222"/>
        <v>223</v>
      </c>
      <c r="J1215" s="30"/>
      <c r="K1215" s="30"/>
      <c r="L1215" s="30"/>
      <c r="M1215" s="30"/>
      <c r="N1215" s="33"/>
      <c r="O1215" s="30"/>
      <c r="P1215" s="29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  <c r="AJ1215" s="25"/>
      <c r="AK1215" s="30"/>
      <c r="AL1215" s="30"/>
      <c r="AM1215" s="30"/>
      <c r="AN1215" s="30"/>
      <c r="AO1215" s="30"/>
      <c r="AP1215" s="30"/>
      <c r="AQ1215" s="30"/>
      <c r="AR1215" s="30"/>
      <c r="AS1215" s="30"/>
      <c r="AT1215" s="30"/>
      <c r="AU1215" s="30"/>
      <c r="AW1215" s="27">
        <f t="shared" si="223"/>
        <v>1.2149999999999999E-3</v>
      </c>
      <c r="AX1215" s="27">
        <f t="shared" si="224"/>
        <v>1.2149999999999999E-3</v>
      </c>
      <c r="AY1215" s="27">
        <f t="shared" si="225"/>
        <v>1.2149999999999999E-3</v>
      </c>
      <c r="AZ1215" s="27">
        <f t="shared" si="226"/>
        <v>1.2149999999999999E-3</v>
      </c>
    </row>
    <row r="1216" spans="1:52" ht="15" customHeight="1" x14ac:dyDescent="0.25">
      <c r="A1216" s="13" t="e">
        <f>VLOOKUP(L1216,[1]VALIDAÇÃO!$D$13:$E$350,2,0)</f>
        <v>#N/A</v>
      </c>
      <c r="B1216" s="14" t="str">
        <f t="shared" si="228"/>
        <v>222</v>
      </c>
      <c r="C1216" s="15">
        <f t="shared" si="227"/>
        <v>222</v>
      </c>
      <c r="D1216" s="16" t="str">
        <f t="shared" si="229"/>
        <v>222</v>
      </c>
      <c r="E1216" s="17">
        <f t="shared" si="220"/>
        <v>222</v>
      </c>
      <c r="F1216" s="18" t="str">
        <f t="shared" si="230"/>
        <v>222</v>
      </c>
      <c r="G1216" s="18">
        <f t="shared" si="221"/>
        <v>222</v>
      </c>
      <c r="H1216" s="19" t="str">
        <f t="shared" si="231"/>
        <v>222</v>
      </c>
      <c r="I1216" s="19">
        <f t="shared" si="222"/>
        <v>222</v>
      </c>
      <c r="J1216" s="30"/>
      <c r="K1216" s="30"/>
      <c r="L1216" s="30"/>
      <c r="M1216" s="30"/>
      <c r="N1216" s="30"/>
      <c r="O1216" s="30"/>
      <c r="P1216" s="29"/>
      <c r="Q1216" s="29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  <c r="AJ1216" s="25"/>
      <c r="AK1216" s="30"/>
      <c r="AL1216" s="30"/>
      <c r="AM1216" s="30"/>
      <c r="AN1216" s="30"/>
      <c r="AO1216" s="30"/>
      <c r="AP1216" s="30"/>
      <c r="AQ1216" s="30"/>
      <c r="AR1216" s="30"/>
      <c r="AS1216" s="30"/>
      <c r="AT1216" s="30"/>
      <c r="AU1216" s="30"/>
      <c r="AW1216" s="27">
        <f t="shared" si="223"/>
        <v>1.2160000000000001E-3</v>
      </c>
      <c r="AX1216" s="27">
        <f t="shared" si="224"/>
        <v>1.2160000000000001E-3</v>
      </c>
      <c r="AY1216" s="27">
        <f t="shared" si="225"/>
        <v>1.2160000000000001E-3</v>
      </c>
      <c r="AZ1216" s="27">
        <f t="shared" si="226"/>
        <v>1.2160000000000001E-3</v>
      </c>
    </row>
    <row r="1217" spans="1:52" ht="15" customHeight="1" x14ac:dyDescent="0.25">
      <c r="A1217" s="13" t="e">
        <f>VLOOKUP(L1217,[1]VALIDAÇÃO!$D$13:$E$350,2,0)</f>
        <v>#N/A</v>
      </c>
      <c r="B1217" s="14" t="str">
        <f t="shared" si="228"/>
        <v>221</v>
      </c>
      <c r="C1217" s="15">
        <f t="shared" si="227"/>
        <v>221</v>
      </c>
      <c r="D1217" s="16" t="str">
        <f t="shared" si="229"/>
        <v>221</v>
      </c>
      <c r="E1217" s="17">
        <f t="shared" si="220"/>
        <v>221</v>
      </c>
      <c r="F1217" s="18" t="str">
        <f t="shared" si="230"/>
        <v>221</v>
      </c>
      <c r="G1217" s="18">
        <f t="shared" si="221"/>
        <v>221</v>
      </c>
      <c r="H1217" s="19" t="str">
        <f t="shared" si="231"/>
        <v>221</v>
      </c>
      <c r="I1217" s="19">
        <f t="shared" si="222"/>
        <v>221</v>
      </c>
      <c r="J1217" s="30"/>
      <c r="K1217" s="30"/>
      <c r="L1217" s="30"/>
      <c r="M1217" s="30"/>
      <c r="N1217" s="33"/>
      <c r="O1217" s="30"/>
      <c r="P1217" s="29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  <c r="AJ1217" s="25"/>
      <c r="AK1217" s="30"/>
      <c r="AL1217" s="30"/>
      <c r="AM1217" s="30"/>
      <c r="AN1217" s="30"/>
      <c r="AO1217" s="30"/>
      <c r="AP1217" s="30"/>
      <c r="AQ1217" s="30"/>
      <c r="AR1217" s="30"/>
      <c r="AS1217" s="30"/>
      <c r="AT1217" s="30"/>
      <c r="AU1217" s="30"/>
      <c r="AW1217" s="27">
        <f t="shared" si="223"/>
        <v>1.217E-3</v>
      </c>
      <c r="AX1217" s="27">
        <f t="shared" si="224"/>
        <v>1.217E-3</v>
      </c>
      <c r="AY1217" s="27">
        <f t="shared" si="225"/>
        <v>1.217E-3</v>
      </c>
      <c r="AZ1217" s="27">
        <f t="shared" si="226"/>
        <v>1.217E-3</v>
      </c>
    </row>
    <row r="1218" spans="1:52" ht="15" customHeight="1" x14ac:dyDescent="0.25">
      <c r="A1218" s="13" t="e">
        <f>VLOOKUP(L1218,[1]VALIDAÇÃO!$D$13:$E$350,2,0)</f>
        <v>#N/A</v>
      </c>
      <c r="B1218" s="14" t="str">
        <f t="shared" si="228"/>
        <v>220</v>
      </c>
      <c r="C1218" s="15">
        <f t="shared" si="227"/>
        <v>220</v>
      </c>
      <c r="D1218" s="16" t="str">
        <f t="shared" si="229"/>
        <v>220</v>
      </c>
      <c r="E1218" s="17">
        <f t="shared" ref="E1218:E1281" si="232">1+SUMPRODUCT(($J$2:$J$1437=$J1218)*(AX$2:AX$1437&gt;AX1218))</f>
        <v>220</v>
      </c>
      <c r="F1218" s="18" t="str">
        <f t="shared" si="230"/>
        <v>220</v>
      </c>
      <c r="G1218" s="18">
        <f t="shared" ref="G1218:G1281" si="233">1+SUMPRODUCT(($J$2:$J$1437=$J1218)*(AY$2:AY$1437&gt;AY1218))</f>
        <v>220</v>
      </c>
      <c r="H1218" s="19" t="str">
        <f t="shared" si="231"/>
        <v>220</v>
      </c>
      <c r="I1218" s="19">
        <f t="shared" ref="I1218:I1281" si="234">1+SUMPRODUCT(($J$2:$J$1437=$J1218)*(AZ$2:AZ$1437&gt;AZ1218))</f>
        <v>220</v>
      </c>
      <c r="J1218" s="30"/>
      <c r="K1218" s="30"/>
      <c r="L1218" s="30"/>
      <c r="M1218" s="30"/>
      <c r="N1218" s="30"/>
      <c r="O1218" s="30"/>
      <c r="P1218" s="29"/>
      <c r="Q1218" s="29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  <c r="AJ1218" s="25"/>
      <c r="AK1218" s="30"/>
      <c r="AL1218" s="30"/>
      <c r="AM1218" s="30"/>
      <c r="AN1218" s="30"/>
      <c r="AO1218" s="30"/>
      <c r="AP1218" s="30"/>
      <c r="AQ1218" s="30"/>
      <c r="AR1218" s="30"/>
      <c r="AS1218" s="30"/>
      <c r="AT1218" s="30"/>
      <c r="AU1218" s="30"/>
      <c r="AW1218" s="27">
        <f t="shared" ref="AW1218:AW1281" si="235">AJ1218+ROW(C1218)/1000000</f>
        <v>1.2179999999999999E-3</v>
      </c>
      <c r="AX1218" s="27">
        <f t="shared" ref="AX1218:AX1281" si="236">AD1218+ROW(C1218)/1000000</f>
        <v>1.2179999999999999E-3</v>
      </c>
      <c r="AY1218" s="27">
        <f t="shared" ref="AY1218:AY1281" si="237">AB1218+ROW(A1218)/1000000</f>
        <v>1.2179999999999999E-3</v>
      </c>
      <c r="AZ1218" s="27">
        <f t="shared" ref="AZ1218:AZ1281" si="238">AP1218+ROW(A1218)/1000000</f>
        <v>1.2179999999999999E-3</v>
      </c>
    </row>
    <row r="1219" spans="1:52" ht="15" customHeight="1" x14ac:dyDescent="0.25">
      <c r="A1219" s="13" t="e">
        <f>VLOOKUP(L1219,[1]VALIDAÇÃO!$D$13:$E$350,2,0)</f>
        <v>#N/A</v>
      </c>
      <c r="B1219" s="14" t="str">
        <f t="shared" si="228"/>
        <v>219</v>
      </c>
      <c r="C1219" s="15">
        <f t="shared" ref="C1219:C1282" si="239">1+SUMPRODUCT(($J$2:$J$1437=J1219)*($AW$2:$AW$1437&gt;AW1219))</f>
        <v>219</v>
      </c>
      <c r="D1219" s="16" t="str">
        <f t="shared" si="229"/>
        <v>219</v>
      </c>
      <c r="E1219" s="17">
        <f t="shared" si="232"/>
        <v>219</v>
      </c>
      <c r="F1219" s="18" t="str">
        <f t="shared" si="230"/>
        <v>219</v>
      </c>
      <c r="G1219" s="18">
        <f t="shared" si="233"/>
        <v>219</v>
      </c>
      <c r="H1219" s="19" t="str">
        <f t="shared" si="231"/>
        <v>219</v>
      </c>
      <c r="I1219" s="19">
        <f t="shared" si="234"/>
        <v>219</v>
      </c>
      <c r="J1219" s="30"/>
      <c r="K1219" s="30"/>
      <c r="L1219" s="30"/>
      <c r="M1219" s="30"/>
      <c r="N1219" s="30"/>
      <c r="O1219" s="30"/>
      <c r="P1219" s="29"/>
      <c r="Q1219" s="29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  <c r="AJ1219" s="25"/>
      <c r="AK1219" s="30"/>
      <c r="AL1219" s="30"/>
      <c r="AM1219" s="30"/>
      <c r="AN1219" s="30"/>
      <c r="AO1219" s="30"/>
      <c r="AP1219" s="30"/>
      <c r="AQ1219" s="30"/>
      <c r="AR1219" s="30"/>
      <c r="AS1219" s="30"/>
      <c r="AT1219" s="30"/>
      <c r="AU1219" s="30"/>
      <c r="AW1219" s="27">
        <f t="shared" si="235"/>
        <v>1.219E-3</v>
      </c>
      <c r="AX1219" s="27">
        <f t="shared" si="236"/>
        <v>1.219E-3</v>
      </c>
      <c r="AY1219" s="27">
        <f t="shared" si="237"/>
        <v>1.219E-3</v>
      </c>
      <c r="AZ1219" s="27">
        <f t="shared" si="238"/>
        <v>1.219E-3</v>
      </c>
    </row>
    <row r="1220" spans="1:52" ht="15" customHeight="1" x14ac:dyDescent="0.25">
      <c r="A1220" s="13" t="e">
        <f>VLOOKUP(L1220,[1]VALIDAÇÃO!$D$13:$E$350,2,0)</f>
        <v>#N/A</v>
      </c>
      <c r="B1220" s="14" t="str">
        <f t="shared" si="228"/>
        <v>218</v>
      </c>
      <c r="C1220" s="15">
        <f t="shared" si="239"/>
        <v>218</v>
      </c>
      <c r="D1220" s="16" t="str">
        <f t="shared" si="229"/>
        <v>218</v>
      </c>
      <c r="E1220" s="17">
        <f t="shared" si="232"/>
        <v>218</v>
      </c>
      <c r="F1220" s="18" t="str">
        <f t="shared" si="230"/>
        <v>218</v>
      </c>
      <c r="G1220" s="18">
        <f t="shared" si="233"/>
        <v>218</v>
      </c>
      <c r="H1220" s="19" t="str">
        <f t="shared" si="231"/>
        <v>218</v>
      </c>
      <c r="I1220" s="19">
        <f t="shared" si="234"/>
        <v>218</v>
      </c>
      <c r="J1220" s="30"/>
      <c r="K1220" s="30"/>
      <c r="L1220" s="30"/>
      <c r="M1220" s="30"/>
      <c r="N1220" s="33"/>
      <c r="O1220" s="30"/>
      <c r="P1220" s="29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  <c r="AJ1220" s="25"/>
      <c r="AK1220" s="30"/>
      <c r="AL1220" s="30"/>
      <c r="AM1220" s="30"/>
      <c r="AN1220" s="30"/>
      <c r="AO1220" s="30"/>
      <c r="AP1220" s="30"/>
      <c r="AQ1220" s="30"/>
      <c r="AR1220" s="30"/>
      <c r="AS1220" s="30"/>
      <c r="AT1220" s="30"/>
      <c r="AU1220" s="30"/>
      <c r="AW1220" s="27">
        <f t="shared" si="235"/>
        <v>1.2199999999999999E-3</v>
      </c>
      <c r="AX1220" s="27">
        <f t="shared" si="236"/>
        <v>1.2199999999999999E-3</v>
      </c>
      <c r="AY1220" s="27">
        <f t="shared" si="237"/>
        <v>1.2199999999999999E-3</v>
      </c>
      <c r="AZ1220" s="27">
        <f t="shared" si="238"/>
        <v>1.2199999999999999E-3</v>
      </c>
    </row>
    <row r="1221" spans="1:52" ht="15" customHeight="1" x14ac:dyDescent="0.25">
      <c r="A1221" s="13" t="e">
        <f>VLOOKUP(L1221,[1]VALIDAÇÃO!$D$13:$E$350,2,0)</f>
        <v>#N/A</v>
      </c>
      <c r="B1221" s="14" t="str">
        <f t="shared" si="228"/>
        <v>217</v>
      </c>
      <c r="C1221" s="15">
        <f t="shared" si="239"/>
        <v>217</v>
      </c>
      <c r="D1221" s="16" t="str">
        <f t="shared" si="229"/>
        <v>217</v>
      </c>
      <c r="E1221" s="17">
        <f t="shared" si="232"/>
        <v>217</v>
      </c>
      <c r="F1221" s="18" t="str">
        <f t="shared" si="230"/>
        <v>217</v>
      </c>
      <c r="G1221" s="18">
        <f t="shared" si="233"/>
        <v>217</v>
      </c>
      <c r="H1221" s="19" t="str">
        <f t="shared" si="231"/>
        <v>217</v>
      </c>
      <c r="I1221" s="19">
        <f t="shared" si="234"/>
        <v>217</v>
      </c>
      <c r="J1221" s="30"/>
      <c r="K1221" s="30"/>
      <c r="L1221" s="30"/>
      <c r="M1221" s="30"/>
      <c r="N1221" s="30"/>
      <c r="O1221" s="30"/>
      <c r="P1221" s="29"/>
      <c r="Q1221" s="29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  <c r="AJ1221" s="25"/>
      <c r="AK1221" s="30"/>
      <c r="AL1221" s="30"/>
      <c r="AM1221" s="30"/>
      <c r="AN1221" s="30"/>
      <c r="AO1221" s="30"/>
      <c r="AP1221" s="30"/>
      <c r="AQ1221" s="30"/>
      <c r="AR1221" s="30"/>
      <c r="AS1221" s="30"/>
      <c r="AT1221" s="30"/>
      <c r="AU1221" s="30"/>
      <c r="AW1221" s="27">
        <f t="shared" si="235"/>
        <v>1.2210000000000001E-3</v>
      </c>
      <c r="AX1221" s="27">
        <f t="shared" si="236"/>
        <v>1.2210000000000001E-3</v>
      </c>
      <c r="AY1221" s="27">
        <f t="shared" si="237"/>
        <v>1.2210000000000001E-3</v>
      </c>
      <c r="AZ1221" s="27">
        <f t="shared" si="238"/>
        <v>1.2210000000000001E-3</v>
      </c>
    </row>
    <row r="1222" spans="1:52" ht="15" customHeight="1" x14ac:dyDescent="0.25">
      <c r="A1222" s="13" t="e">
        <f>VLOOKUP(L1222,[1]VALIDAÇÃO!$D$13:$E$350,2,0)</f>
        <v>#N/A</v>
      </c>
      <c r="B1222" s="14" t="str">
        <f t="shared" si="228"/>
        <v>216</v>
      </c>
      <c r="C1222" s="15">
        <f t="shared" si="239"/>
        <v>216</v>
      </c>
      <c r="D1222" s="16" t="str">
        <f t="shared" si="229"/>
        <v>216</v>
      </c>
      <c r="E1222" s="17">
        <f t="shared" si="232"/>
        <v>216</v>
      </c>
      <c r="F1222" s="18" t="str">
        <f t="shared" si="230"/>
        <v>216</v>
      </c>
      <c r="G1222" s="18">
        <f t="shared" si="233"/>
        <v>216</v>
      </c>
      <c r="H1222" s="19" t="str">
        <f t="shared" si="231"/>
        <v>216</v>
      </c>
      <c r="I1222" s="19">
        <f t="shared" si="234"/>
        <v>216</v>
      </c>
      <c r="J1222" s="30"/>
      <c r="K1222" s="30"/>
      <c r="L1222" s="30"/>
      <c r="M1222" s="30"/>
      <c r="N1222" s="30"/>
      <c r="O1222" s="30"/>
      <c r="P1222" s="29"/>
      <c r="Q1222" s="29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  <c r="AJ1222" s="25"/>
      <c r="AK1222" s="30"/>
      <c r="AL1222" s="30"/>
      <c r="AM1222" s="30"/>
      <c r="AN1222" s="30"/>
      <c r="AO1222" s="30"/>
      <c r="AP1222" s="30"/>
      <c r="AQ1222" s="30"/>
      <c r="AR1222" s="30"/>
      <c r="AS1222" s="30"/>
      <c r="AT1222" s="30"/>
      <c r="AU1222" s="30"/>
      <c r="AW1222" s="27">
        <f t="shared" si="235"/>
        <v>1.222E-3</v>
      </c>
      <c r="AX1222" s="27">
        <f t="shared" si="236"/>
        <v>1.222E-3</v>
      </c>
      <c r="AY1222" s="27">
        <f t="shared" si="237"/>
        <v>1.222E-3</v>
      </c>
      <c r="AZ1222" s="27">
        <f t="shared" si="238"/>
        <v>1.222E-3</v>
      </c>
    </row>
    <row r="1223" spans="1:52" ht="15" customHeight="1" x14ac:dyDescent="0.25">
      <c r="A1223" s="13" t="e">
        <f>VLOOKUP(L1223,[1]VALIDAÇÃO!$D$13:$E$350,2,0)</f>
        <v>#N/A</v>
      </c>
      <c r="B1223" s="14" t="str">
        <f t="shared" si="228"/>
        <v>215</v>
      </c>
      <c r="C1223" s="15">
        <f t="shared" si="239"/>
        <v>215</v>
      </c>
      <c r="D1223" s="16" t="str">
        <f t="shared" si="229"/>
        <v>215</v>
      </c>
      <c r="E1223" s="17">
        <f t="shared" si="232"/>
        <v>215</v>
      </c>
      <c r="F1223" s="18" t="str">
        <f t="shared" si="230"/>
        <v>215</v>
      </c>
      <c r="G1223" s="18">
        <f t="shared" si="233"/>
        <v>215</v>
      </c>
      <c r="H1223" s="19" t="str">
        <f t="shared" si="231"/>
        <v>215</v>
      </c>
      <c r="I1223" s="19">
        <f t="shared" si="234"/>
        <v>215</v>
      </c>
      <c r="J1223" s="30"/>
      <c r="K1223" s="30"/>
      <c r="L1223" s="30"/>
      <c r="M1223" s="30"/>
      <c r="N1223" s="33"/>
      <c r="O1223" s="30"/>
      <c r="P1223" s="29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  <c r="AJ1223" s="25"/>
      <c r="AK1223" s="30"/>
      <c r="AL1223" s="30"/>
      <c r="AM1223" s="30"/>
      <c r="AN1223" s="30"/>
      <c r="AO1223" s="30"/>
      <c r="AP1223" s="30"/>
      <c r="AQ1223" s="30"/>
      <c r="AR1223" s="30"/>
      <c r="AS1223" s="30"/>
      <c r="AT1223" s="30"/>
      <c r="AU1223" s="30"/>
      <c r="AW1223" s="27">
        <f t="shared" si="235"/>
        <v>1.2229999999999999E-3</v>
      </c>
      <c r="AX1223" s="27">
        <f t="shared" si="236"/>
        <v>1.2229999999999999E-3</v>
      </c>
      <c r="AY1223" s="27">
        <f t="shared" si="237"/>
        <v>1.2229999999999999E-3</v>
      </c>
      <c r="AZ1223" s="27">
        <f t="shared" si="238"/>
        <v>1.2229999999999999E-3</v>
      </c>
    </row>
    <row r="1224" spans="1:52" ht="15" customHeight="1" x14ac:dyDescent="0.25">
      <c r="A1224" s="13" t="e">
        <f>VLOOKUP(L1224,[1]VALIDAÇÃO!$D$13:$E$350,2,0)</f>
        <v>#N/A</v>
      </c>
      <c r="B1224" s="14" t="str">
        <f t="shared" si="228"/>
        <v>214</v>
      </c>
      <c r="C1224" s="15">
        <f t="shared" si="239"/>
        <v>214</v>
      </c>
      <c r="D1224" s="16" t="str">
        <f t="shared" si="229"/>
        <v>214</v>
      </c>
      <c r="E1224" s="17">
        <f t="shared" si="232"/>
        <v>214</v>
      </c>
      <c r="F1224" s="18" t="str">
        <f t="shared" si="230"/>
        <v>214</v>
      </c>
      <c r="G1224" s="18">
        <f t="shared" si="233"/>
        <v>214</v>
      </c>
      <c r="H1224" s="19" t="str">
        <f t="shared" si="231"/>
        <v>214</v>
      </c>
      <c r="I1224" s="19">
        <f t="shared" si="234"/>
        <v>214</v>
      </c>
      <c r="J1224" s="30"/>
      <c r="K1224" s="30"/>
      <c r="L1224" s="30"/>
      <c r="M1224" s="30"/>
      <c r="N1224" s="33"/>
      <c r="O1224" s="30"/>
      <c r="P1224" s="29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  <c r="AJ1224" s="25"/>
      <c r="AK1224" s="30"/>
      <c r="AL1224" s="30"/>
      <c r="AM1224" s="30"/>
      <c r="AN1224" s="30"/>
      <c r="AO1224" s="30"/>
      <c r="AP1224" s="30"/>
      <c r="AQ1224" s="30"/>
      <c r="AR1224" s="30"/>
      <c r="AS1224" s="30"/>
      <c r="AT1224" s="30"/>
      <c r="AU1224" s="30"/>
      <c r="AW1224" s="27">
        <f t="shared" si="235"/>
        <v>1.224E-3</v>
      </c>
      <c r="AX1224" s="27">
        <f t="shared" si="236"/>
        <v>1.224E-3</v>
      </c>
      <c r="AY1224" s="27">
        <f t="shared" si="237"/>
        <v>1.224E-3</v>
      </c>
      <c r="AZ1224" s="27">
        <f t="shared" si="238"/>
        <v>1.224E-3</v>
      </c>
    </row>
    <row r="1225" spans="1:52" ht="15" customHeight="1" x14ac:dyDescent="0.25">
      <c r="A1225" s="13" t="e">
        <f>VLOOKUP(L1225,[1]VALIDAÇÃO!$D$13:$E$350,2,0)</f>
        <v>#N/A</v>
      </c>
      <c r="B1225" s="14" t="str">
        <f t="shared" si="228"/>
        <v>213</v>
      </c>
      <c r="C1225" s="15">
        <f t="shared" si="239"/>
        <v>213</v>
      </c>
      <c r="D1225" s="16" t="str">
        <f t="shared" si="229"/>
        <v>213</v>
      </c>
      <c r="E1225" s="17">
        <f t="shared" si="232"/>
        <v>213</v>
      </c>
      <c r="F1225" s="18" t="str">
        <f t="shared" si="230"/>
        <v>213</v>
      </c>
      <c r="G1225" s="18">
        <f t="shared" si="233"/>
        <v>213</v>
      </c>
      <c r="H1225" s="19" t="str">
        <f t="shared" si="231"/>
        <v>213</v>
      </c>
      <c r="I1225" s="19">
        <f t="shared" si="234"/>
        <v>213</v>
      </c>
      <c r="J1225" s="30"/>
      <c r="K1225" s="30"/>
      <c r="L1225" s="30"/>
      <c r="M1225" s="30"/>
      <c r="N1225" s="30"/>
      <c r="O1225" s="30"/>
      <c r="P1225" s="29"/>
      <c r="Q1225" s="29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  <c r="AJ1225" s="25"/>
      <c r="AK1225" s="30"/>
      <c r="AL1225" s="30"/>
      <c r="AM1225" s="30"/>
      <c r="AN1225" s="30"/>
      <c r="AO1225" s="30"/>
      <c r="AP1225" s="30"/>
      <c r="AQ1225" s="30"/>
      <c r="AR1225" s="30"/>
      <c r="AS1225" s="30"/>
      <c r="AT1225" s="30"/>
      <c r="AU1225" s="30"/>
      <c r="AW1225" s="27">
        <f t="shared" si="235"/>
        <v>1.225E-3</v>
      </c>
      <c r="AX1225" s="27">
        <f t="shared" si="236"/>
        <v>1.225E-3</v>
      </c>
      <c r="AY1225" s="27">
        <f t="shared" si="237"/>
        <v>1.225E-3</v>
      </c>
      <c r="AZ1225" s="27">
        <f t="shared" si="238"/>
        <v>1.225E-3</v>
      </c>
    </row>
    <row r="1226" spans="1:52" ht="15" customHeight="1" x14ac:dyDescent="0.25">
      <c r="A1226" s="13" t="e">
        <f>VLOOKUP(L1226,[1]VALIDAÇÃO!$D$13:$E$350,2,0)</f>
        <v>#N/A</v>
      </c>
      <c r="B1226" s="14" t="str">
        <f t="shared" si="228"/>
        <v>212</v>
      </c>
      <c r="C1226" s="15">
        <f t="shared" si="239"/>
        <v>212</v>
      </c>
      <c r="D1226" s="16" t="str">
        <f t="shared" si="229"/>
        <v>212</v>
      </c>
      <c r="E1226" s="17">
        <f t="shared" si="232"/>
        <v>212</v>
      </c>
      <c r="F1226" s="18" t="str">
        <f t="shared" si="230"/>
        <v>212</v>
      </c>
      <c r="G1226" s="18">
        <f t="shared" si="233"/>
        <v>212</v>
      </c>
      <c r="H1226" s="19" t="str">
        <f t="shared" si="231"/>
        <v>212</v>
      </c>
      <c r="I1226" s="19">
        <f t="shared" si="234"/>
        <v>212</v>
      </c>
      <c r="J1226" s="30"/>
      <c r="K1226" s="30"/>
      <c r="L1226" s="30"/>
      <c r="M1226" s="30"/>
      <c r="N1226" s="30"/>
      <c r="O1226" s="30"/>
      <c r="P1226" s="29"/>
      <c r="Q1226" s="29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  <c r="AJ1226" s="25"/>
      <c r="AK1226" s="30"/>
      <c r="AL1226" s="30"/>
      <c r="AM1226" s="30"/>
      <c r="AN1226" s="30"/>
      <c r="AO1226" s="30"/>
      <c r="AP1226" s="30"/>
      <c r="AQ1226" s="30"/>
      <c r="AR1226" s="30"/>
      <c r="AS1226" s="30"/>
      <c r="AT1226" s="30"/>
      <c r="AU1226" s="30"/>
      <c r="AW1226" s="27">
        <f t="shared" si="235"/>
        <v>1.2260000000000001E-3</v>
      </c>
      <c r="AX1226" s="27">
        <f t="shared" si="236"/>
        <v>1.2260000000000001E-3</v>
      </c>
      <c r="AY1226" s="27">
        <f t="shared" si="237"/>
        <v>1.2260000000000001E-3</v>
      </c>
      <c r="AZ1226" s="27">
        <f t="shared" si="238"/>
        <v>1.2260000000000001E-3</v>
      </c>
    </row>
    <row r="1227" spans="1:52" ht="15" customHeight="1" x14ac:dyDescent="0.25">
      <c r="A1227" s="13" t="e">
        <f>VLOOKUP(L1227,[1]VALIDAÇÃO!$D$13:$E$350,2,0)</f>
        <v>#N/A</v>
      </c>
      <c r="B1227" s="14" t="str">
        <f t="shared" si="228"/>
        <v>211</v>
      </c>
      <c r="C1227" s="15">
        <f t="shared" si="239"/>
        <v>211</v>
      </c>
      <c r="D1227" s="16" t="str">
        <f t="shared" si="229"/>
        <v>211</v>
      </c>
      <c r="E1227" s="17">
        <f t="shared" si="232"/>
        <v>211</v>
      </c>
      <c r="F1227" s="18" t="str">
        <f t="shared" si="230"/>
        <v>211</v>
      </c>
      <c r="G1227" s="18">
        <f t="shared" si="233"/>
        <v>211</v>
      </c>
      <c r="H1227" s="19" t="str">
        <f t="shared" si="231"/>
        <v>211</v>
      </c>
      <c r="I1227" s="19">
        <f t="shared" si="234"/>
        <v>211</v>
      </c>
      <c r="J1227" s="30"/>
      <c r="K1227" s="30"/>
      <c r="L1227" s="30"/>
      <c r="M1227" s="30"/>
      <c r="N1227" s="30"/>
      <c r="O1227" s="30"/>
      <c r="P1227" s="29"/>
      <c r="Q1227" s="29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  <c r="AJ1227" s="25"/>
      <c r="AK1227" s="30"/>
      <c r="AL1227" s="30"/>
      <c r="AM1227" s="30"/>
      <c r="AN1227" s="30"/>
      <c r="AO1227" s="30"/>
      <c r="AP1227" s="30"/>
      <c r="AQ1227" s="30"/>
      <c r="AR1227" s="30"/>
      <c r="AS1227" s="30"/>
      <c r="AT1227" s="30"/>
      <c r="AU1227" s="30"/>
      <c r="AW1227" s="27">
        <f t="shared" si="235"/>
        <v>1.227E-3</v>
      </c>
      <c r="AX1227" s="27">
        <f t="shared" si="236"/>
        <v>1.227E-3</v>
      </c>
      <c r="AY1227" s="27">
        <f t="shared" si="237"/>
        <v>1.227E-3</v>
      </c>
      <c r="AZ1227" s="27">
        <f t="shared" si="238"/>
        <v>1.227E-3</v>
      </c>
    </row>
    <row r="1228" spans="1:52" ht="15" customHeight="1" x14ac:dyDescent="0.25">
      <c r="A1228" s="13" t="e">
        <f>VLOOKUP(L1228,[1]VALIDAÇÃO!$D$13:$E$350,2,0)</f>
        <v>#N/A</v>
      </c>
      <c r="B1228" s="14" t="str">
        <f t="shared" si="228"/>
        <v>210</v>
      </c>
      <c r="C1228" s="15">
        <f t="shared" si="239"/>
        <v>210</v>
      </c>
      <c r="D1228" s="16" t="str">
        <f t="shared" si="229"/>
        <v>210</v>
      </c>
      <c r="E1228" s="17">
        <f t="shared" si="232"/>
        <v>210</v>
      </c>
      <c r="F1228" s="18" t="str">
        <f t="shared" si="230"/>
        <v>210</v>
      </c>
      <c r="G1228" s="18">
        <f t="shared" si="233"/>
        <v>210</v>
      </c>
      <c r="H1228" s="19" t="str">
        <f t="shared" si="231"/>
        <v>210</v>
      </c>
      <c r="I1228" s="19">
        <f t="shared" si="234"/>
        <v>210</v>
      </c>
      <c r="J1228" s="30"/>
      <c r="K1228" s="30"/>
      <c r="L1228" s="30"/>
      <c r="M1228" s="30"/>
      <c r="N1228" s="33"/>
      <c r="O1228" s="30"/>
      <c r="P1228" s="29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  <c r="AJ1228" s="25"/>
      <c r="AK1228" s="30"/>
      <c r="AL1228" s="30"/>
      <c r="AM1228" s="30"/>
      <c r="AN1228" s="30"/>
      <c r="AO1228" s="30"/>
      <c r="AP1228" s="30"/>
      <c r="AQ1228" s="30"/>
      <c r="AR1228" s="30"/>
      <c r="AS1228" s="30"/>
      <c r="AT1228" s="30"/>
      <c r="AU1228" s="30"/>
      <c r="AW1228" s="27">
        <f t="shared" si="235"/>
        <v>1.2279999999999999E-3</v>
      </c>
      <c r="AX1228" s="27">
        <f t="shared" si="236"/>
        <v>1.2279999999999999E-3</v>
      </c>
      <c r="AY1228" s="27">
        <f t="shared" si="237"/>
        <v>1.2279999999999999E-3</v>
      </c>
      <c r="AZ1228" s="27">
        <f t="shared" si="238"/>
        <v>1.2279999999999999E-3</v>
      </c>
    </row>
    <row r="1229" spans="1:52" ht="15" customHeight="1" x14ac:dyDescent="0.25">
      <c r="A1229" s="13" t="e">
        <f>VLOOKUP(L1229,[1]VALIDAÇÃO!$D$13:$E$350,2,0)</f>
        <v>#N/A</v>
      </c>
      <c r="B1229" s="14" t="str">
        <f t="shared" si="228"/>
        <v>209</v>
      </c>
      <c r="C1229" s="15">
        <f t="shared" si="239"/>
        <v>209</v>
      </c>
      <c r="D1229" s="16" t="str">
        <f t="shared" si="229"/>
        <v>209</v>
      </c>
      <c r="E1229" s="17">
        <f t="shared" si="232"/>
        <v>209</v>
      </c>
      <c r="F1229" s="18" t="str">
        <f t="shared" si="230"/>
        <v>209</v>
      </c>
      <c r="G1229" s="18">
        <f t="shared" si="233"/>
        <v>209</v>
      </c>
      <c r="H1229" s="19" t="str">
        <f t="shared" si="231"/>
        <v>209</v>
      </c>
      <c r="I1229" s="19">
        <f t="shared" si="234"/>
        <v>209</v>
      </c>
      <c r="J1229" s="30"/>
      <c r="K1229" s="30"/>
      <c r="L1229" s="30"/>
      <c r="M1229" s="30"/>
      <c r="N1229" s="30"/>
      <c r="O1229" s="30"/>
      <c r="P1229" s="29"/>
      <c r="Q1229" s="29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  <c r="AJ1229" s="25"/>
      <c r="AK1229" s="30"/>
      <c r="AL1229" s="30"/>
      <c r="AM1229" s="30"/>
      <c r="AN1229" s="30"/>
      <c r="AO1229" s="30"/>
      <c r="AP1229" s="30"/>
      <c r="AQ1229" s="30"/>
      <c r="AR1229" s="30"/>
      <c r="AS1229" s="30"/>
      <c r="AT1229" s="30"/>
      <c r="AU1229" s="30"/>
      <c r="AW1229" s="27">
        <f t="shared" si="235"/>
        <v>1.2290000000000001E-3</v>
      </c>
      <c r="AX1229" s="27">
        <f t="shared" si="236"/>
        <v>1.2290000000000001E-3</v>
      </c>
      <c r="AY1229" s="27">
        <f t="shared" si="237"/>
        <v>1.2290000000000001E-3</v>
      </c>
      <c r="AZ1229" s="27">
        <f t="shared" si="238"/>
        <v>1.2290000000000001E-3</v>
      </c>
    </row>
    <row r="1230" spans="1:52" ht="15" customHeight="1" x14ac:dyDescent="0.25">
      <c r="A1230" s="13" t="e">
        <f>VLOOKUP(L1230,[1]VALIDAÇÃO!$D$13:$E$350,2,0)</f>
        <v>#N/A</v>
      </c>
      <c r="B1230" s="14" t="str">
        <f t="shared" si="228"/>
        <v>208</v>
      </c>
      <c r="C1230" s="15">
        <f t="shared" si="239"/>
        <v>208</v>
      </c>
      <c r="D1230" s="16" t="str">
        <f t="shared" si="229"/>
        <v>208</v>
      </c>
      <c r="E1230" s="17">
        <f t="shared" si="232"/>
        <v>208</v>
      </c>
      <c r="F1230" s="18" t="str">
        <f t="shared" si="230"/>
        <v>208</v>
      </c>
      <c r="G1230" s="18">
        <f t="shared" si="233"/>
        <v>208</v>
      </c>
      <c r="H1230" s="19" t="str">
        <f t="shared" si="231"/>
        <v>208</v>
      </c>
      <c r="I1230" s="19">
        <f t="shared" si="234"/>
        <v>208</v>
      </c>
      <c r="J1230" s="30"/>
      <c r="K1230" s="30"/>
      <c r="L1230" s="30"/>
      <c r="M1230" s="30"/>
      <c r="N1230" s="33"/>
      <c r="O1230" s="30"/>
      <c r="P1230" s="29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  <c r="AJ1230" s="25"/>
      <c r="AK1230" s="30"/>
      <c r="AL1230" s="30"/>
      <c r="AM1230" s="30"/>
      <c r="AN1230" s="30"/>
      <c r="AO1230" s="30"/>
      <c r="AP1230" s="30"/>
      <c r="AQ1230" s="30"/>
      <c r="AR1230" s="30"/>
      <c r="AS1230" s="30"/>
      <c r="AT1230" s="30"/>
      <c r="AU1230" s="30"/>
      <c r="AW1230" s="27">
        <f t="shared" si="235"/>
        <v>1.23E-3</v>
      </c>
      <c r="AX1230" s="27">
        <f t="shared" si="236"/>
        <v>1.23E-3</v>
      </c>
      <c r="AY1230" s="27">
        <f t="shared" si="237"/>
        <v>1.23E-3</v>
      </c>
      <c r="AZ1230" s="27">
        <f t="shared" si="238"/>
        <v>1.23E-3</v>
      </c>
    </row>
    <row r="1231" spans="1:52" ht="15" customHeight="1" x14ac:dyDescent="0.25">
      <c r="A1231" s="13" t="e">
        <f>VLOOKUP(L1231,[1]VALIDAÇÃO!$D$13:$E$350,2,0)</f>
        <v>#N/A</v>
      </c>
      <c r="B1231" s="14" t="str">
        <f t="shared" si="228"/>
        <v>207</v>
      </c>
      <c r="C1231" s="15">
        <f t="shared" si="239"/>
        <v>207</v>
      </c>
      <c r="D1231" s="16" t="str">
        <f t="shared" si="229"/>
        <v>207</v>
      </c>
      <c r="E1231" s="17">
        <f t="shared" si="232"/>
        <v>207</v>
      </c>
      <c r="F1231" s="18" t="str">
        <f t="shared" si="230"/>
        <v>207</v>
      </c>
      <c r="G1231" s="18">
        <f t="shared" si="233"/>
        <v>207</v>
      </c>
      <c r="H1231" s="19" t="str">
        <f t="shared" si="231"/>
        <v>207</v>
      </c>
      <c r="I1231" s="19">
        <f t="shared" si="234"/>
        <v>207</v>
      </c>
      <c r="J1231" s="30"/>
      <c r="K1231" s="30"/>
      <c r="L1231" s="30"/>
      <c r="M1231" s="30"/>
      <c r="N1231" s="30"/>
      <c r="O1231" s="30"/>
      <c r="P1231" s="29"/>
      <c r="Q1231" s="29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  <c r="AJ1231" s="25"/>
      <c r="AK1231" s="30"/>
      <c r="AL1231" s="30"/>
      <c r="AM1231" s="30"/>
      <c r="AN1231" s="30"/>
      <c r="AO1231" s="30"/>
      <c r="AP1231" s="30"/>
      <c r="AQ1231" s="30"/>
      <c r="AR1231" s="30"/>
      <c r="AS1231" s="30"/>
      <c r="AT1231" s="30"/>
      <c r="AU1231" s="30"/>
      <c r="AW1231" s="27">
        <f t="shared" si="235"/>
        <v>1.2310000000000001E-3</v>
      </c>
      <c r="AX1231" s="27">
        <f t="shared" si="236"/>
        <v>1.2310000000000001E-3</v>
      </c>
      <c r="AY1231" s="27">
        <f t="shared" si="237"/>
        <v>1.2310000000000001E-3</v>
      </c>
      <c r="AZ1231" s="27">
        <f t="shared" si="238"/>
        <v>1.2310000000000001E-3</v>
      </c>
    </row>
    <row r="1232" spans="1:52" ht="15" customHeight="1" x14ac:dyDescent="0.25">
      <c r="A1232" s="13" t="e">
        <f>VLOOKUP(L1232,[1]VALIDAÇÃO!$D$13:$E$350,2,0)</f>
        <v>#N/A</v>
      </c>
      <c r="B1232" s="14" t="str">
        <f t="shared" si="228"/>
        <v>206</v>
      </c>
      <c r="C1232" s="15">
        <f t="shared" si="239"/>
        <v>206</v>
      </c>
      <c r="D1232" s="16" t="str">
        <f t="shared" si="229"/>
        <v>206</v>
      </c>
      <c r="E1232" s="17">
        <f t="shared" si="232"/>
        <v>206</v>
      </c>
      <c r="F1232" s="18" t="str">
        <f t="shared" si="230"/>
        <v>206</v>
      </c>
      <c r="G1232" s="18">
        <f t="shared" si="233"/>
        <v>206</v>
      </c>
      <c r="H1232" s="19" t="str">
        <f t="shared" si="231"/>
        <v>206</v>
      </c>
      <c r="I1232" s="19">
        <f t="shared" si="234"/>
        <v>206</v>
      </c>
      <c r="J1232" s="30"/>
      <c r="K1232" s="30"/>
      <c r="L1232" s="30"/>
      <c r="M1232" s="30"/>
      <c r="N1232" s="33"/>
      <c r="O1232" s="30"/>
      <c r="P1232" s="29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  <c r="AJ1232" s="25"/>
      <c r="AK1232" s="30"/>
      <c r="AL1232" s="30"/>
      <c r="AM1232" s="30"/>
      <c r="AN1232" s="30"/>
      <c r="AO1232" s="30"/>
      <c r="AP1232" s="30"/>
      <c r="AQ1232" s="30"/>
      <c r="AR1232" s="30"/>
      <c r="AS1232" s="30"/>
      <c r="AT1232" s="30"/>
      <c r="AU1232" s="30"/>
      <c r="AW1232" s="27">
        <f t="shared" si="235"/>
        <v>1.232E-3</v>
      </c>
      <c r="AX1232" s="27">
        <f t="shared" si="236"/>
        <v>1.232E-3</v>
      </c>
      <c r="AY1232" s="27">
        <f t="shared" si="237"/>
        <v>1.232E-3</v>
      </c>
      <c r="AZ1232" s="27">
        <f t="shared" si="238"/>
        <v>1.232E-3</v>
      </c>
    </row>
    <row r="1233" spans="1:52" ht="15" customHeight="1" x14ac:dyDescent="0.25">
      <c r="A1233" s="13" t="e">
        <f>VLOOKUP(L1233,[1]VALIDAÇÃO!$D$13:$E$350,2,0)</f>
        <v>#N/A</v>
      </c>
      <c r="B1233" s="14" t="str">
        <f t="shared" si="228"/>
        <v>205</v>
      </c>
      <c r="C1233" s="15">
        <f t="shared" si="239"/>
        <v>205</v>
      </c>
      <c r="D1233" s="16" t="str">
        <f t="shared" si="229"/>
        <v>205</v>
      </c>
      <c r="E1233" s="17">
        <f t="shared" si="232"/>
        <v>205</v>
      </c>
      <c r="F1233" s="18" t="str">
        <f t="shared" si="230"/>
        <v>205</v>
      </c>
      <c r="G1233" s="18">
        <f t="shared" si="233"/>
        <v>205</v>
      </c>
      <c r="H1233" s="19" t="str">
        <f t="shared" si="231"/>
        <v>205</v>
      </c>
      <c r="I1233" s="19">
        <f t="shared" si="234"/>
        <v>205</v>
      </c>
      <c r="J1233" s="30"/>
      <c r="K1233" s="30"/>
      <c r="L1233" s="30"/>
      <c r="M1233" s="30"/>
      <c r="N1233" s="30"/>
      <c r="O1233" s="30"/>
      <c r="P1233" s="29"/>
      <c r="Q1233" s="29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  <c r="AJ1233" s="25"/>
      <c r="AK1233" s="30"/>
      <c r="AL1233" s="30"/>
      <c r="AM1233" s="30"/>
      <c r="AN1233" s="30"/>
      <c r="AO1233" s="30"/>
      <c r="AP1233" s="30"/>
      <c r="AQ1233" s="30"/>
      <c r="AR1233" s="30"/>
      <c r="AS1233" s="30"/>
      <c r="AT1233" s="30"/>
      <c r="AU1233" s="30"/>
      <c r="AW1233" s="27">
        <f t="shared" si="235"/>
        <v>1.2329999999999999E-3</v>
      </c>
      <c r="AX1233" s="27">
        <f t="shared" si="236"/>
        <v>1.2329999999999999E-3</v>
      </c>
      <c r="AY1233" s="27">
        <f t="shared" si="237"/>
        <v>1.2329999999999999E-3</v>
      </c>
      <c r="AZ1233" s="27">
        <f t="shared" si="238"/>
        <v>1.2329999999999999E-3</v>
      </c>
    </row>
    <row r="1234" spans="1:52" ht="15" customHeight="1" x14ac:dyDescent="0.25">
      <c r="A1234" s="13" t="e">
        <f>VLOOKUP(L1234,[1]VALIDAÇÃO!$D$13:$E$350,2,0)</f>
        <v>#N/A</v>
      </c>
      <c r="B1234" s="14" t="str">
        <f t="shared" si="228"/>
        <v>204</v>
      </c>
      <c r="C1234" s="15">
        <f t="shared" si="239"/>
        <v>204</v>
      </c>
      <c r="D1234" s="16" t="str">
        <f t="shared" si="229"/>
        <v>204</v>
      </c>
      <c r="E1234" s="17">
        <f t="shared" si="232"/>
        <v>204</v>
      </c>
      <c r="F1234" s="18" t="str">
        <f t="shared" si="230"/>
        <v>204</v>
      </c>
      <c r="G1234" s="18">
        <f t="shared" si="233"/>
        <v>204</v>
      </c>
      <c r="H1234" s="19" t="str">
        <f t="shared" si="231"/>
        <v>204</v>
      </c>
      <c r="I1234" s="19">
        <f t="shared" si="234"/>
        <v>204</v>
      </c>
      <c r="J1234" s="30"/>
      <c r="K1234" s="30"/>
      <c r="L1234" s="30"/>
      <c r="M1234" s="30"/>
      <c r="N1234" s="33"/>
      <c r="O1234" s="30"/>
      <c r="P1234" s="29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  <c r="AJ1234" s="25"/>
      <c r="AK1234" s="30"/>
      <c r="AL1234" s="30"/>
      <c r="AM1234" s="30"/>
      <c r="AN1234" s="30"/>
      <c r="AO1234" s="30"/>
      <c r="AP1234" s="30"/>
      <c r="AQ1234" s="30"/>
      <c r="AR1234" s="30"/>
      <c r="AS1234" s="30"/>
      <c r="AT1234" s="30"/>
      <c r="AU1234" s="30"/>
      <c r="AW1234" s="27">
        <f t="shared" si="235"/>
        <v>1.2340000000000001E-3</v>
      </c>
      <c r="AX1234" s="27">
        <f t="shared" si="236"/>
        <v>1.2340000000000001E-3</v>
      </c>
      <c r="AY1234" s="27">
        <f t="shared" si="237"/>
        <v>1.2340000000000001E-3</v>
      </c>
      <c r="AZ1234" s="27">
        <f t="shared" si="238"/>
        <v>1.2340000000000001E-3</v>
      </c>
    </row>
    <row r="1235" spans="1:52" ht="15" customHeight="1" x14ac:dyDescent="0.25">
      <c r="A1235" s="13" t="e">
        <f>VLOOKUP(L1235,[1]VALIDAÇÃO!$D$13:$E$350,2,0)</f>
        <v>#N/A</v>
      </c>
      <c r="B1235" s="14" t="str">
        <f t="shared" si="228"/>
        <v>203</v>
      </c>
      <c r="C1235" s="15">
        <f t="shared" si="239"/>
        <v>203</v>
      </c>
      <c r="D1235" s="16" t="str">
        <f t="shared" si="229"/>
        <v>203</v>
      </c>
      <c r="E1235" s="17">
        <f t="shared" si="232"/>
        <v>203</v>
      </c>
      <c r="F1235" s="18" t="str">
        <f t="shared" si="230"/>
        <v>203</v>
      </c>
      <c r="G1235" s="18">
        <f t="shared" si="233"/>
        <v>203</v>
      </c>
      <c r="H1235" s="19" t="str">
        <f t="shared" si="231"/>
        <v>203</v>
      </c>
      <c r="I1235" s="19">
        <f t="shared" si="234"/>
        <v>203</v>
      </c>
      <c r="J1235" s="30"/>
      <c r="K1235" s="30"/>
      <c r="L1235" s="30"/>
      <c r="M1235" s="30"/>
      <c r="N1235" s="33"/>
      <c r="O1235" s="30"/>
      <c r="P1235" s="29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  <c r="AJ1235" s="25"/>
      <c r="AK1235" s="30"/>
      <c r="AL1235" s="30"/>
      <c r="AM1235" s="30"/>
      <c r="AN1235" s="30"/>
      <c r="AO1235" s="30"/>
      <c r="AP1235" s="30"/>
      <c r="AQ1235" s="30"/>
      <c r="AR1235" s="30"/>
      <c r="AS1235" s="30"/>
      <c r="AT1235" s="30"/>
      <c r="AU1235" s="30"/>
      <c r="AW1235" s="27">
        <f t="shared" si="235"/>
        <v>1.235E-3</v>
      </c>
      <c r="AX1235" s="27">
        <f t="shared" si="236"/>
        <v>1.235E-3</v>
      </c>
      <c r="AY1235" s="27">
        <f t="shared" si="237"/>
        <v>1.235E-3</v>
      </c>
      <c r="AZ1235" s="27">
        <f t="shared" si="238"/>
        <v>1.235E-3</v>
      </c>
    </row>
    <row r="1236" spans="1:52" ht="15" customHeight="1" x14ac:dyDescent="0.25">
      <c r="A1236" s="13" t="e">
        <f>VLOOKUP(L1236,[1]VALIDAÇÃO!$D$13:$E$350,2,0)</f>
        <v>#N/A</v>
      </c>
      <c r="B1236" s="14" t="str">
        <f t="shared" ref="B1236:B1299" si="240">C1236&amp;J1236</f>
        <v>202</v>
      </c>
      <c r="C1236" s="15">
        <f t="shared" si="239"/>
        <v>202</v>
      </c>
      <c r="D1236" s="16" t="str">
        <f t="shared" ref="D1236:D1299" si="241">E1236&amp;J1236</f>
        <v>202</v>
      </c>
      <c r="E1236" s="17">
        <f t="shared" si="232"/>
        <v>202</v>
      </c>
      <c r="F1236" s="18" t="str">
        <f t="shared" ref="F1236:F1299" si="242">G1236&amp;J1236</f>
        <v>202</v>
      </c>
      <c r="G1236" s="18">
        <f t="shared" si="233"/>
        <v>202</v>
      </c>
      <c r="H1236" s="19" t="str">
        <f t="shared" ref="H1236:H1299" si="243">I1236&amp;J1236</f>
        <v>202</v>
      </c>
      <c r="I1236" s="19">
        <f t="shared" si="234"/>
        <v>202</v>
      </c>
      <c r="J1236" s="30"/>
      <c r="K1236" s="30"/>
      <c r="L1236" s="30"/>
      <c r="M1236" s="30"/>
      <c r="N1236" s="30"/>
      <c r="O1236" s="30"/>
      <c r="P1236" s="29"/>
      <c r="Q1236" s="29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  <c r="AJ1236" s="25"/>
      <c r="AK1236" s="30"/>
      <c r="AL1236" s="30"/>
      <c r="AM1236" s="30"/>
      <c r="AN1236" s="30"/>
      <c r="AO1236" s="30"/>
      <c r="AP1236" s="30"/>
      <c r="AQ1236" s="30"/>
      <c r="AR1236" s="30"/>
      <c r="AS1236" s="30"/>
      <c r="AT1236" s="30"/>
      <c r="AU1236" s="30"/>
      <c r="AW1236" s="27">
        <f t="shared" si="235"/>
        <v>1.2359999999999999E-3</v>
      </c>
      <c r="AX1236" s="27">
        <f t="shared" si="236"/>
        <v>1.2359999999999999E-3</v>
      </c>
      <c r="AY1236" s="27">
        <f t="shared" si="237"/>
        <v>1.2359999999999999E-3</v>
      </c>
      <c r="AZ1236" s="27">
        <f t="shared" si="238"/>
        <v>1.2359999999999999E-3</v>
      </c>
    </row>
    <row r="1237" spans="1:52" ht="15" customHeight="1" x14ac:dyDescent="0.25">
      <c r="A1237" s="13" t="e">
        <f>VLOOKUP(L1237,[1]VALIDAÇÃO!$D$13:$E$350,2,0)</f>
        <v>#N/A</v>
      </c>
      <c r="B1237" s="14" t="str">
        <f t="shared" si="240"/>
        <v>201</v>
      </c>
      <c r="C1237" s="15">
        <f t="shared" si="239"/>
        <v>201</v>
      </c>
      <c r="D1237" s="16" t="str">
        <f t="shared" si="241"/>
        <v>201</v>
      </c>
      <c r="E1237" s="17">
        <f t="shared" si="232"/>
        <v>201</v>
      </c>
      <c r="F1237" s="18" t="str">
        <f t="shared" si="242"/>
        <v>201</v>
      </c>
      <c r="G1237" s="18">
        <f t="shared" si="233"/>
        <v>201</v>
      </c>
      <c r="H1237" s="19" t="str">
        <f t="shared" si="243"/>
        <v>201</v>
      </c>
      <c r="I1237" s="19">
        <f t="shared" si="234"/>
        <v>201</v>
      </c>
      <c r="J1237" s="30"/>
      <c r="K1237" s="30"/>
      <c r="L1237" s="30"/>
      <c r="M1237" s="30"/>
      <c r="N1237" s="30"/>
      <c r="O1237" s="30"/>
      <c r="P1237" s="29"/>
      <c r="Q1237" s="29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  <c r="AJ1237" s="25"/>
      <c r="AK1237" s="30"/>
      <c r="AL1237" s="30"/>
      <c r="AM1237" s="30"/>
      <c r="AN1237" s="30"/>
      <c r="AO1237" s="30"/>
      <c r="AP1237" s="30"/>
      <c r="AQ1237" s="30"/>
      <c r="AR1237" s="30"/>
      <c r="AS1237" s="30"/>
      <c r="AT1237" s="30"/>
      <c r="AU1237" s="30"/>
      <c r="AW1237" s="27">
        <f t="shared" si="235"/>
        <v>1.237E-3</v>
      </c>
      <c r="AX1237" s="27">
        <f t="shared" si="236"/>
        <v>1.237E-3</v>
      </c>
      <c r="AY1237" s="27">
        <f t="shared" si="237"/>
        <v>1.237E-3</v>
      </c>
      <c r="AZ1237" s="27">
        <f t="shared" si="238"/>
        <v>1.237E-3</v>
      </c>
    </row>
    <row r="1238" spans="1:52" ht="15" customHeight="1" x14ac:dyDescent="0.25">
      <c r="A1238" s="13" t="e">
        <f>VLOOKUP(L1238,[1]VALIDAÇÃO!$D$13:$E$350,2,0)</f>
        <v>#N/A</v>
      </c>
      <c r="B1238" s="14" t="str">
        <f t="shared" si="240"/>
        <v>200</v>
      </c>
      <c r="C1238" s="15">
        <f t="shared" si="239"/>
        <v>200</v>
      </c>
      <c r="D1238" s="16" t="str">
        <f t="shared" si="241"/>
        <v>200</v>
      </c>
      <c r="E1238" s="17">
        <f t="shared" si="232"/>
        <v>200</v>
      </c>
      <c r="F1238" s="18" t="str">
        <f t="shared" si="242"/>
        <v>200</v>
      </c>
      <c r="G1238" s="18">
        <f t="shared" si="233"/>
        <v>200</v>
      </c>
      <c r="H1238" s="19" t="str">
        <f t="shared" si="243"/>
        <v>200</v>
      </c>
      <c r="I1238" s="19">
        <f t="shared" si="234"/>
        <v>200</v>
      </c>
      <c r="J1238" s="30"/>
      <c r="K1238" s="30"/>
      <c r="L1238" s="30"/>
      <c r="M1238" s="30"/>
      <c r="N1238" s="30"/>
      <c r="O1238" s="30"/>
      <c r="P1238" s="29"/>
      <c r="Q1238" s="29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  <c r="AJ1238" s="25"/>
      <c r="AK1238" s="30"/>
      <c r="AL1238" s="30"/>
      <c r="AM1238" s="30"/>
      <c r="AN1238" s="30"/>
      <c r="AO1238" s="30"/>
      <c r="AP1238" s="30"/>
      <c r="AQ1238" s="30"/>
      <c r="AR1238" s="30"/>
      <c r="AS1238" s="30"/>
      <c r="AT1238" s="30"/>
      <c r="AU1238" s="30"/>
      <c r="AW1238" s="27">
        <f t="shared" si="235"/>
        <v>1.238E-3</v>
      </c>
      <c r="AX1238" s="27">
        <f t="shared" si="236"/>
        <v>1.238E-3</v>
      </c>
      <c r="AY1238" s="27">
        <f t="shared" si="237"/>
        <v>1.238E-3</v>
      </c>
      <c r="AZ1238" s="27">
        <f t="shared" si="238"/>
        <v>1.238E-3</v>
      </c>
    </row>
    <row r="1239" spans="1:52" ht="15" customHeight="1" x14ac:dyDescent="0.25">
      <c r="A1239" s="13" t="e">
        <f>VLOOKUP(L1239,[1]VALIDAÇÃO!$D$13:$E$350,2,0)</f>
        <v>#N/A</v>
      </c>
      <c r="B1239" s="14" t="str">
        <f t="shared" si="240"/>
        <v>199</v>
      </c>
      <c r="C1239" s="15">
        <f t="shared" si="239"/>
        <v>199</v>
      </c>
      <c r="D1239" s="16" t="str">
        <f t="shared" si="241"/>
        <v>199</v>
      </c>
      <c r="E1239" s="17">
        <f t="shared" si="232"/>
        <v>199</v>
      </c>
      <c r="F1239" s="18" t="str">
        <f t="shared" si="242"/>
        <v>199</v>
      </c>
      <c r="G1239" s="18">
        <f t="shared" si="233"/>
        <v>199</v>
      </c>
      <c r="H1239" s="19" t="str">
        <f t="shared" si="243"/>
        <v>199</v>
      </c>
      <c r="I1239" s="19">
        <f t="shared" si="234"/>
        <v>199</v>
      </c>
      <c r="J1239" s="30"/>
      <c r="K1239" s="30"/>
      <c r="L1239" s="30"/>
      <c r="M1239" s="30"/>
      <c r="N1239" s="30"/>
      <c r="O1239" s="30"/>
      <c r="P1239" s="29"/>
      <c r="Q1239" s="29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  <c r="AJ1239" s="25"/>
      <c r="AK1239" s="30"/>
      <c r="AL1239" s="30"/>
      <c r="AM1239" s="30"/>
      <c r="AN1239" s="30"/>
      <c r="AO1239" s="30"/>
      <c r="AP1239" s="30"/>
      <c r="AQ1239" s="30"/>
      <c r="AR1239" s="30"/>
      <c r="AS1239" s="30"/>
      <c r="AT1239" s="30"/>
      <c r="AU1239" s="30"/>
      <c r="AW1239" s="27">
        <f t="shared" si="235"/>
        <v>1.2390000000000001E-3</v>
      </c>
      <c r="AX1239" s="27">
        <f t="shared" si="236"/>
        <v>1.2390000000000001E-3</v>
      </c>
      <c r="AY1239" s="27">
        <f t="shared" si="237"/>
        <v>1.2390000000000001E-3</v>
      </c>
      <c r="AZ1239" s="27">
        <f t="shared" si="238"/>
        <v>1.2390000000000001E-3</v>
      </c>
    </row>
    <row r="1240" spans="1:52" ht="15" customHeight="1" x14ac:dyDescent="0.25">
      <c r="A1240" s="13" t="e">
        <f>VLOOKUP(L1240,[1]VALIDAÇÃO!$D$13:$E$350,2,0)</f>
        <v>#N/A</v>
      </c>
      <c r="B1240" s="14" t="str">
        <f t="shared" si="240"/>
        <v>198</v>
      </c>
      <c r="C1240" s="15">
        <f t="shared" si="239"/>
        <v>198</v>
      </c>
      <c r="D1240" s="16" t="str">
        <f t="shared" si="241"/>
        <v>198</v>
      </c>
      <c r="E1240" s="17">
        <f t="shared" si="232"/>
        <v>198</v>
      </c>
      <c r="F1240" s="18" t="str">
        <f t="shared" si="242"/>
        <v>198</v>
      </c>
      <c r="G1240" s="18">
        <f t="shared" si="233"/>
        <v>198</v>
      </c>
      <c r="H1240" s="19" t="str">
        <f t="shared" si="243"/>
        <v>198</v>
      </c>
      <c r="I1240" s="19">
        <f t="shared" si="234"/>
        <v>198</v>
      </c>
      <c r="J1240" s="30"/>
      <c r="K1240" s="30"/>
      <c r="L1240" s="30"/>
      <c r="M1240" s="30"/>
      <c r="N1240" s="33"/>
      <c r="O1240" s="30"/>
      <c r="P1240" s="29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c r="AJ1240" s="25"/>
      <c r="AK1240" s="30"/>
      <c r="AL1240" s="30"/>
      <c r="AM1240" s="30"/>
      <c r="AN1240" s="30"/>
      <c r="AO1240" s="30"/>
      <c r="AP1240" s="30"/>
      <c r="AQ1240" s="30"/>
      <c r="AR1240" s="30"/>
      <c r="AS1240" s="30"/>
      <c r="AT1240" s="30"/>
      <c r="AU1240" s="30"/>
      <c r="AW1240" s="27">
        <f t="shared" si="235"/>
        <v>1.24E-3</v>
      </c>
      <c r="AX1240" s="27">
        <f t="shared" si="236"/>
        <v>1.24E-3</v>
      </c>
      <c r="AY1240" s="27">
        <f t="shared" si="237"/>
        <v>1.24E-3</v>
      </c>
      <c r="AZ1240" s="27">
        <f t="shared" si="238"/>
        <v>1.24E-3</v>
      </c>
    </row>
    <row r="1241" spans="1:52" ht="15" customHeight="1" x14ac:dyDescent="0.25">
      <c r="A1241" s="13" t="e">
        <f>VLOOKUP(L1241,[1]VALIDAÇÃO!$D$13:$E$350,2,0)</f>
        <v>#N/A</v>
      </c>
      <c r="B1241" s="14" t="str">
        <f t="shared" si="240"/>
        <v>197</v>
      </c>
      <c r="C1241" s="15">
        <f t="shared" si="239"/>
        <v>197</v>
      </c>
      <c r="D1241" s="16" t="str">
        <f t="shared" si="241"/>
        <v>197</v>
      </c>
      <c r="E1241" s="17">
        <f t="shared" si="232"/>
        <v>197</v>
      </c>
      <c r="F1241" s="18" t="str">
        <f t="shared" si="242"/>
        <v>197</v>
      </c>
      <c r="G1241" s="18">
        <f t="shared" si="233"/>
        <v>197</v>
      </c>
      <c r="H1241" s="19" t="str">
        <f t="shared" si="243"/>
        <v>197</v>
      </c>
      <c r="I1241" s="19">
        <f t="shared" si="234"/>
        <v>197</v>
      </c>
      <c r="J1241" s="30"/>
      <c r="K1241" s="30"/>
      <c r="L1241" s="30"/>
      <c r="M1241" s="30"/>
      <c r="N1241" s="33"/>
      <c r="O1241" s="30"/>
      <c r="P1241" s="29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  <c r="AJ1241" s="25"/>
      <c r="AK1241" s="30"/>
      <c r="AL1241" s="30"/>
      <c r="AM1241" s="30"/>
      <c r="AN1241" s="30"/>
      <c r="AO1241" s="30"/>
      <c r="AP1241" s="30"/>
      <c r="AQ1241" s="30"/>
      <c r="AR1241" s="30"/>
      <c r="AS1241" s="30"/>
      <c r="AT1241" s="30"/>
      <c r="AU1241" s="30"/>
      <c r="AW1241" s="27">
        <f t="shared" si="235"/>
        <v>1.2409999999999999E-3</v>
      </c>
      <c r="AX1241" s="27">
        <f t="shared" si="236"/>
        <v>1.2409999999999999E-3</v>
      </c>
      <c r="AY1241" s="27">
        <f t="shared" si="237"/>
        <v>1.2409999999999999E-3</v>
      </c>
      <c r="AZ1241" s="27">
        <f t="shared" si="238"/>
        <v>1.2409999999999999E-3</v>
      </c>
    </row>
    <row r="1242" spans="1:52" ht="15" customHeight="1" x14ac:dyDescent="0.25">
      <c r="A1242" s="13" t="e">
        <f>VLOOKUP(L1242,[1]VALIDAÇÃO!$D$13:$E$350,2,0)</f>
        <v>#N/A</v>
      </c>
      <c r="B1242" s="14" t="str">
        <f t="shared" si="240"/>
        <v>196</v>
      </c>
      <c r="C1242" s="15">
        <f t="shared" si="239"/>
        <v>196</v>
      </c>
      <c r="D1242" s="16" t="str">
        <f t="shared" si="241"/>
        <v>196</v>
      </c>
      <c r="E1242" s="17">
        <f t="shared" si="232"/>
        <v>196</v>
      </c>
      <c r="F1242" s="18" t="str">
        <f t="shared" si="242"/>
        <v>196</v>
      </c>
      <c r="G1242" s="18">
        <f t="shared" si="233"/>
        <v>196</v>
      </c>
      <c r="H1242" s="19" t="str">
        <f t="shared" si="243"/>
        <v>196</v>
      </c>
      <c r="I1242" s="19">
        <f t="shared" si="234"/>
        <v>196</v>
      </c>
      <c r="J1242" s="30"/>
      <c r="K1242" s="30"/>
      <c r="L1242" s="30"/>
      <c r="M1242" s="30"/>
      <c r="N1242" s="30"/>
      <c r="O1242" s="30"/>
      <c r="P1242" s="29"/>
      <c r="Q1242" s="29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  <c r="AJ1242" s="25"/>
      <c r="AK1242" s="30"/>
      <c r="AL1242" s="30"/>
      <c r="AM1242" s="30"/>
      <c r="AN1242" s="30"/>
      <c r="AO1242" s="30"/>
      <c r="AP1242" s="30"/>
      <c r="AQ1242" s="30"/>
      <c r="AR1242" s="30"/>
      <c r="AS1242" s="30"/>
      <c r="AT1242" s="30"/>
      <c r="AU1242" s="30"/>
      <c r="AW1242" s="27">
        <f t="shared" si="235"/>
        <v>1.242E-3</v>
      </c>
      <c r="AX1242" s="27">
        <f t="shared" si="236"/>
        <v>1.242E-3</v>
      </c>
      <c r="AY1242" s="27">
        <f t="shared" si="237"/>
        <v>1.242E-3</v>
      </c>
      <c r="AZ1242" s="27">
        <f t="shared" si="238"/>
        <v>1.242E-3</v>
      </c>
    </row>
    <row r="1243" spans="1:52" ht="15" customHeight="1" x14ac:dyDescent="0.25">
      <c r="A1243" s="13" t="e">
        <f>VLOOKUP(L1243,[1]VALIDAÇÃO!$D$13:$E$350,2,0)</f>
        <v>#N/A</v>
      </c>
      <c r="B1243" s="14" t="str">
        <f t="shared" si="240"/>
        <v>195</v>
      </c>
      <c r="C1243" s="15">
        <f t="shared" si="239"/>
        <v>195</v>
      </c>
      <c r="D1243" s="16" t="str">
        <f t="shared" si="241"/>
        <v>195</v>
      </c>
      <c r="E1243" s="17">
        <f t="shared" si="232"/>
        <v>195</v>
      </c>
      <c r="F1243" s="18" t="str">
        <f t="shared" si="242"/>
        <v>195</v>
      </c>
      <c r="G1243" s="18">
        <f t="shared" si="233"/>
        <v>195</v>
      </c>
      <c r="H1243" s="19" t="str">
        <f t="shared" si="243"/>
        <v>195</v>
      </c>
      <c r="I1243" s="19">
        <f t="shared" si="234"/>
        <v>195</v>
      </c>
      <c r="J1243" s="30"/>
      <c r="K1243" s="30"/>
      <c r="L1243" s="30"/>
      <c r="M1243" s="30"/>
      <c r="N1243" s="30"/>
      <c r="O1243" s="30"/>
      <c r="P1243" s="29"/>
      <c r="Q1243" s="29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  <c r="AJ1243" s="25"/>
      <c r="AK1243" s="30"/>
      <c r="AL1243" s="30"/>
      <c r="AM1243" s="30"/>
      <c r="AN1243" s="30"/>
      <c r="AO1243" s="30"/>
      <c r="AP1243" s="30"/>
      <c r="AQ1243" s="30"/>
      <c r="AR1243" s="30"/>
      <c r="AS1243" s="30"/>
      <c r="AT1243" s="30"/>
      <c r="AU1243" s="30"/>
      <c r="AW1243" s="27">
        <f t="shared" si="235"/>
        <v>1.243E-3</v>
      </c>
      <c r="AX1243" s="27">
        <f t="shared" si="236"/>
        <v>1.243E-3</v>
      </c>
      <c r="AY1243" s="27">
        <f t="shared" si="237"/>
        <v>1.243E-3</v>
      </c>
      <c r="AZ1243" s="27">
        <f t="shared" si="238"/>
        <v>1.243E-3</v>
      </c>
    </row>
    <row r="1244" spans="1:52" ht="15" customHeight="1" x14ac:dyDescent="0.25">
      <c r="A1244" s="13" t="e">
        <f>VLOOKUP(L1244,[1]VALIDAÇÃO!$D$13:$E$350,2,0)</f>
        <v>#N/A</v>
      </c>
      <c r="B1244" s="14" t="str">
        <f t="shared" si="240"/>
        <v>194</v>
      </c>
      <c r="C1244" s="15">
        <f t="shared" si="239"/>
        <v>194</v>
      </c>
      <c r="D1244" s="16" t="str">
        <f t="shared" si="241"/>
        <v>194</v>
      </c>
      <c r="E1244" s="17">
        <f t="shared" si="232"/>
        <v>194</v>
      </c>
      <c r="F1244" s="18" t="str">
        <f t="shared" si="242"/>
        <v>194</v>
      </c>
      <c r="G1244" s="18">
        <f t="shared" si="233"/>
        <v>194</v>
      </c>
      <c r="H1244" s="19" t="str">
        <f t="shared" si="243"/>
        <v>194</v>
      </c>
      <c r="I1244" s="19">
        <f t="shared" si="234"/>
        <v>194</v>
      </c>
      <c r="J1244" s="30"/>
      <c r="K1244" s="30"/>
      <c r="L1244" s="30"/>
      <c r="M1244" s="30"/>
      <c r="N1244" s="33"/>
      <c r="O1244" s="30"/>
      <c r="P1244" s="29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  <c r="AJ1244" s="25"/>
      <c r="AK1244" s="30"/>
      <c r="AL1244" s="30"/>
      <c r="AM1244" s="30"/>
      <c r="AN1244" s="30"/>
      <c r="AO1244" s="30"/>
      <c r="AP1244" s="30"/>
      <c r="AQ1244" s="30"/>
      <c r="AR1244" s="30"/>
      <c r="AS1244" s="30"/>
      <c r="AT1244" s="30"/>
      <c r="AU1244" s="30"/>
      <c r="AW1244" s="27">
        <f t="shared" si="235"/>
        <v>1.2440000000000001E-3</v>
      </c>
      <c r="AX1244" s="27">
        <f t="shared" si="236"/>
        <v>1.2440000000000001E-3</v>
      </c>
      <c r="AY1244" s="27">
        <f t="shared" si="237"/>
        <v>1.2440000000000001E-3</v>
      </c>
      <c r="AZ1244" s="27">
        <f t="shared" si="238"/>
        <v>1.2440000000000001E-3</v>
      </c>
    </row>
    <row r="1245" spans="1:52" ht="15" customHeight="1" x14ac:dyDescent="0.25">
      <c r="A1245" s="13" t="e">
        <f>VLOOKUP(L1245,[1]VALIDAÇÃO!$D$13:$E$350,2,0)</f>
        <v>#N/A</v>
      </c>
      <c r="B1245" s="14" t="str">
        <f t="shared" si="240"/>
        <v>193</v>
      </c>
      <c r="C1245" s="15">
        <f t="shared" si="239"/>
        <v>193</v>
      </c>
      <c r="D1245" s="16" t="str">
        <f t="shared" si="241"/>
        <v>193</v>
      </c>
      <c r="E1245" s="17">
        <f t="shared" si="232"/>
        <v>193</v>
      </c>
      <c r="F1245" s="18" t="str">
        <f t="shared" si="242"/>
        <v>193</v>
      </c>
      <c r="G1245" s="18">
        <f t="shared" si="233"/>
        <v>193</v>
      </c>
      <c r="H1245" s="19" t="str">
        <f t="shared" si="243"/>
        <v>193</v>
      </c>
      <c r="I1245" s="19">
        <f t="shared" si="234"/>
        <v>193</v>
      </c>
      <c r="J1245" s="30"/>
      <c r="K1245" s="30"/>
      <c r="L1245" s="30"/>
      <c r="M1245" s="30"/>
      <c r="N1245" s="30"/>
      <c r="O1245" s="30"/>
      <c r="P1245" s="29"/>
      <c r="Q1245" s="29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  <c r="AJ1245" s="25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30"/>
      <c r="AW1245" s="27">
        <f t="shared" si="235"/>
        <v>1.245E-3</v>
      </c>
      <c r="AX1245" s="27">
        <f t="shared" si="236"/>
        <v>1.245E-3</v>
      </c>
      <c r="AY1245" s="27">
        <f t="shared" si="237"/>
        <v>1.245E-3</v>
      </c>
      <c r="AZ1245" s="27">
        <f t="shared" si="238"/>
        <v>1.245E-3</v>
      </c>
    </row>
    <row r="1246" spans="1:52" ht="15" customHeight="1" x14ac:dyDescent="0.25">
      <c r="A1246" s="13" t="e">
        <f>VLOOKUP(L1246,[1]VALIDAÇÃO!$D$13:$E$350,2,0)</f>
        <v>#N/A</v>
      </c>
      <c r="B1246" s="14" t="str">
        <f t="shared" si="240"/>
        <v>192</v>
      </c>
      <c r="C1246" s="15">
        <f t="shared" si="239"/>
        <v>192</v>
      </c>
      <c r="D1246" s="16" t="str">
        <f t="shared" si="241"/>
        <v>192</v>
      </c>
      <c r="E1246" s="17">
        <f t="shared" si="232"/>
        <v>192</v>
      </c>
      <c r="F1246" s="18" t="str">
        <f t="shared" si="242"/>
        <v>192</v>
      </c>
      <c r="G1246" s="18">
        <f t="shared" si="233"/>
        <v>192</v>
      </c>
      <c r="H1246" s="19" t="str">
        <f t="shared" si="243"/>
        <v>192</v>
      </c>
      <c r="I1246" s="19">
        <f t="shared" si="234"/>
        <v>192</v>
      </c>
      <c r="J1246" s="30"/>
      <c r="K1246" s="30"/>
      <c r="L1246" s="30"/>
      <c r="M1246" s="30"/>
      <c r="N1246" s="33"/>
      <c r="O1246" s="30"/>
      <c r="P1246" s="29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  <c r="AJ1246" s="25"/>
      <c r="AK1246" s="30"/>
      <c r="AL1246" s="30"/>
      <c r="AM1246" s="30"/>
      <c r="AN1246" s="30"/>
      <c r="AO1246" s="30"/>
      <c r="AP1246" s="30"/>
      <c r="AQ1246" s="30"/>
      <c r="AR1246" s="30"/>
      <c r="AS1246" s="30"/>
      <c r="AT1246" s="30"/>
      <c r="AU1246" s="30"/>
      <c r="AW1246" s="27">
        <f t="shared" si="235"/>
        <v>1.2459999999999999E-3</v>
      </c>
      <c r="AX1246" s="27">
        <f t="shared" si="236"/>
        <v>1.2459999999999999E-3</v>
      </c>
      <c r="AY1246" s="27">
        <f t="shared" si="237"/>
        <v>1.2459999999999999E-3</v>
      </c>
      <c r="AZ1246" s="27">
        <f t="shared" si="238"/>
        <v>1.2459999999999999E-3</v>
      </c>
    </row>
    <row r="1247" spans="1:52" ht="15" customHeight="1" x14ac:dyDescent="0.25">
      <c r="A1247" s="13" t="e">
        <f>VLOOKUP(L1247,[1]VALIDAÇÃO!$D$13:$E$350,2,0)</f>
        <v>#N/A</v>
      </c>
      <c r="B1247" s="14" t="str">
        <f t="shared" si="240"/>
        <v>191</v>
      </c>
      <c r="C1247" s="15">
        <f t="shared" si="239"/>
        <v>191</v>
      </c>
      <c r="D1247" s="16" t="str">
        <f t="shared" si="241"/>
        <v>191</v>
      </c>
      <c r="E1247" s="17">
        <f t="shared" si="232"/>
        <v>191</v>
      </c>
      <c r="F1247" s="18" t="str">
        <f t="shared" si="242"/>
        <v>191</v>
      </c>
      <c r="G1247" s="18">
        <f t="shared" si="233"/>
        <v>191</v>
      </c>
      <c r="H1247" s="19" t="str">
        <f t="shared" si="243"/>
        <v>191</v>
      </c>
      <c r="I1247" s="19">
        <f t="shared" si="234"/>
        <v>191</v>
      </c>
      <c r="J1247" s="30"/>
      <c r="K1247" s="30"/>
      <c r="L1247" s="30"/>
      <c r="M1247" s="30"/>
      <c r="N1247" s="33"/>
      <c r="O1247" s="30"/>
      <c r="P1247" s="29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  <c r="AJ1247" s="25"/>
      <c r="AK1247" s="30"/>
      <c r="AL1247" s="30"/>
      <c r="AM1247" s="30"/>
      <c r="AN1247" s="30"/>
      <c r="AO1247" s="30"/>
      <c r="AP1247" s="30"/>
      <c r="AQ1247" s="30"/>
      <c r="AR1247" s="30"/>
      <c r="AS1247" s="30"/>
      <c r="AT1247" s="30"/>
      <c r="AU1247" s="30"/>
      <c r="AW1247" s="27">
        <f t="shared" si="235"/>
        <v>1.2470000000000001E-3</v>
      </c>
      <c r="AX1247" s="27">
        <f t="shared" si="236"/>
        <v>1.2470000000000001E-3</v>
      </c>
      <c r="AY1247" s="27">
        <f t="shared" si="237"/>
        <v>1.2470000000000001E-3</v>
      </c>
      <c r="AZ1247" s="27">
        <f t="shared" si="238"/>
        <v>1.2470000000000001E-3</v>
      </c>
    </row>
    <row r="1248" spans="1:52" ht="15" customHeight="1" x14ac:dyDescent="0.25">
      <c r="A1248" s="13" t="e">
        <f>VLOOKUP(L1248,[1]VALIDAÇÃO!$D$13:$E$350,2,0)</f>
        <v>#N/A</v>
      </c>
      <c r="B1248" s="14" t="str">
        <f t="shared" si="240"/>
        <v>190</v>
      </c>
      <c r="C1248" s="15">
        <f t="shared" si="239"/>
        <v>190</v>
      </c>
      <c r="D1248" s="16" t="str">
        <f t="shared" si="241"/>
        <v>190</v>
      </c>
      <c r="E1248" s="17">
        <f t="shared" si="232"/>
        <v>190</v>
      </c>
      <c r="F1248" s="18" t="str">
        <f t="shared" si="242"/>
        <v>190</v>
      </c>
      <c r="G1248" s="18">
        <f t="shared" si="233"/>
        <v>190</v>
      </c>
      <c r="H1248" s="19" t="str">
        <f t="shared" si="243"/>
        <v>190</v>
      </c>
      <c r="I1248" s="19">
        <f t="shared" si="234"/>
        <v>190</v>
      </c>
      <c r="J1248" s="30"/>
      <c r="K1248" s="30"/>
      <c r="L1248" s="30"/>
      <c r="M1248" s="30"/>
      <c r="N1248" s="30"/>
      <c r="O1248" s="30"/>
      <c r="P1248" s="29"/>
      <c r="Q1248" s="29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  <c r="AJ1248" s="25"/>
      <c r="AK1248" s="30"/>
      <c r="AL1248" s="30"/>
      <c r="AM1248" s="30"/>
      <c r="AN1248" s="30"/>
      <c r="AO1248" s="30"/>
      <c r="AP1248" s="30"/>
      <c r="AQ1248" s="30"/>
      <c r="AR1248" s="30"/>
      <c r="AS1248" s="30"/>
      <c r="AT1248" s="30"/>
      <c r="AU1248" s="30"/>
      <c r="AW1248" s="27">
        <f t="shared" si="235"/>
        <v>1.248E-3</v>
      </c>
      <c r="AX1248" s="27">
        <f t="shared" si="236"/>
        <v>1.248E-3</v>
      </c>
      <c r="AY1248" s="27">
        <f t="shared" si="237"/>
        <v>1.248E-3</v>
      </c>
      <c r="AZ1248" s="27">
        <f t="shared" si="238"/>
        <v>1.248E-3</v>
      </c>
    </row>
    <row r="1249" spans="1:52" ht="15" customHeight="1" x14ac:dyDescent="0.25">
      <c r="A1249" s="13" t="e">
        <f>VLOOKUP(L1249,[1]VALIDAÇÃO!$D$13:$E$350,2,0)</f>
        <v>#N/A</v>
      </c>
      <c r="B1249" s="14" t="str">
        <f t="shared" si="240"/>
        <v>189</v>
      </c>
      <c r="C1249" s="15">
        <f t="shared" si="239"/>
        <v>189</v>
      </c>
      <c r="D1249" s="16" t="str">
        <f t="shared" si="241"/>
        <v>189</v>
      </c>
      <c r="E1249" s="17">
        <f t="shared" si="232"/>
        <v>189</v>
      </c>
      <c r="F1249" s="18" t="str">
        <f t="shared" si="242"/>
        <v>189</v>
      </c>
      <c r="G1249" s="18">
        <f t="shared" si="233"/>
        <v>189</v>
      </c>
      <c r="H1249" s="19" t="str">
        <f t="shared" si="243"/>
        <v>189</v>
      </c>
      <c r="I1249" s="19">
        <f t="shared" si="234"/>
        <v>189</v>
      </c>
      <c r="J1249" s="30"/>
      <c r="K1249" s="30"/>
      <c r="L1249" s="30"/>
      <c r="M1249" s="30"/>
      <c r="N1249" s="30"/>
      <c r="O1249" s="30"/>
      <c r="P1249" s="29"/>
      <c r="Q1249" s="29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  <c r="AJ1249" s="25"/>
      <c r="AK1249" s="30"/>
      <c r="AL1249" s="30"/>
      <c r="AM1249" s="30"/>
      <c r="AN1249" s="30"/>
      <c r="AO1249" s="30"/>
      <c r="AP1249" s="30"/>
      <c r="AQ1249" s="30"/>
      <c r="AR1249" s="30"/>
      <c r="AS1249" s="30"/>
      <c r="AT1249" s="30"/>
      <c r="AU1249" s="30"/>
      <c r="AW1249" s="27">
        <f t="shared" si="235"/>
        <v>1.2489999999999999E-3</v>
      </c>
      <c r="AX1249" s="27">
        <f t="shared" si="236"/>
        <v>1.2489999999999999E-3</v>
      </c>
      <c r="AY1249" s="27">
        <f t="shared" si="237"/>
        <v>1.2489999999999999E-3</v>
      </c>
      <c r="AZ1249" s="27">
        <f t="shared" si="238"/>
        <v>1.2489999999999999E-3</v>
      </c>
    </row>
    <row r="1250" spans="1:52" ht="15" customHeight="1" x14ac:dyDescent="0.25">
      <c r="A1250" s="13" t="e">
        <f>VLOOKUP(L1250,[1]VALIDAÇÃO!$D$13:$E$350,2,0)</f>
        <v>#N/A</v>
      </c>
      <c r="B1250" s="14" t="str">
        <f t="shared" si="240"/>
        <v>188</v>
      </c>
      <c r="C1250" s="15">
        <f t="shared" si="239"/>
        <v>188</v>
      </c>
      <c r="D1250" s="16" t="str">
        <f t="shared" si="241"/>
        <v>188</v>
      </c>
      <c r="E1250" s="17">
        <f t="shared" si="232"/>
        <v>188</v>
      </c>
      <c r="F1250" s="18" t="str">
        <f t="shared" si="242"/>
        <v>188</v>
      </c>
      <c r="G1250" s="18">
        <f t="shared" si="233"/>
        <v>188</v>
      </c>
      <c r="H1250" s="19" t="str">
        <f t="shared" si="243"/>
        <v>188</v>
      </c>
      <c r="I1250" s="19">
        <f t="shared" si="234"/>
        <v>188</v>
      </c>
      <c r="J1250" s="30"/>
      <c r="K1250" s="30"/>
      <c r="L1250" s="30"/>
      <c r="M1250" s="30"/>
      <c r="N1250" s="33"/>
      <c r="O1250" s="30"/>
      <c r="P1250" s="29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c r="AJ1250" s="25"/>
      <c r="AK1250" s="30"/>
      <c r="AL1250" s="30"/>
      <c r="AM1250" s="30"/>
      <c r="AN1250" s="30"/>
      <c r="AO1250" s="30"/>
      <c r="AP1250" s="30"/>
      <c r="AQ1250" s="30"/>
      <c r="AR1250" s="30"/>
      <c r="AS1250" s="30"/>
      <c r="AT1250" s="30"/>
      <c r="AU1250" s="30"/>
      <c r="AW1250" s="27">
        <f t="shared" si="235"/>
        <v>1.25E-3</v>
      </c>
      <c r="AX1250" s="27">
        <f t="shared" si="236"/>
        <v>1.25E-3</v>
      </c>
      <c r="AY1250" s="27">
        <f t="shared" si="237"/>
        <v>1.25E-3</v>
      </c>
      <c r="AZ1250" s="27">
        <f t="shared" si="238"/>
        <v>1.25E-3</v>
      </c>
    </row>
    <row r="1251" spans="1:52" ht="15" customHeight="1" x14ac:dyDescent="0.25">
      <c r="A1251" s="13" t="e">
        <f>VLOOKUP(L1251,[1]VALIDAÇÃO!$D$13:$E$350,2,0)</f>
        <v>#N/A</v>
      </c>
      <c r="B1251" s="14" t="str">
        <f t="shared" si="240"/>
        <v>187</v>
      </c>
      <c r="C1251" s="15">
        <f t="shared" si="239"/>
        <v>187</v>
      </c>
      <c r="D1251" s="16" t="str">
        <f t="shared" si="241"/>
        <v>187</v>
      </c>
      <c r="E1251" s="17">
        <f t="shared" si="232"/>
        <v>187</v>
      </c>
      <c r="F1251" s="18" t="str">
        <f t="shared" si="242"/>
        <v>187</v>
      </c>
      <c r="G1251" s="18">
        <f t="shared" si="233"/>
        <v>187</v>
      </c>
      <c r="H1251" s="19" t="str">
        <f t="shared" si="243"/>
        <v>187</v>
      </c>
      <c r="I1251" s="19">
        <f t="shared" si="234"/>
        <v>187</v>
      </c>
      <c r="J1251" s="30"/>
      <c r="K1251" s="30"/>
      <c r="L1251" s="30"/>
      <c r="M1251" s="30"/>
      <c r="N1251" s="30"/>
      <c r="O1251" s="30"/>
      <c r="P1251" s="29"/>
      <c r="Q1251" s="29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c r="AJ1251" s="25"/>
      <c r="AK1251" s="30"/>
      <c r="AL1251" s="30"/>
      <c r="AM1251" s="30"/>
      <c r="AN1251" s="30"/>
      <c r="AO1251" s="30"/>
      <c r="AP1251" s="30"/>
      <c r="AQ1251" s="30"/>
      <c r="AR1251" s="30"/>
      <c r="AS1251" s="30"/>
      <c r="AT1251" s="30"/>
      <c r="AU1251" s="30"/>
      <c r="AW1251" s="27">
        <f t="shared" si="235"/>
        <v>1.2509999999999999E-3</v>
      </c>
      <c r="AX1251" s="27">
        <f t="shared" si="236"/>
        <v>1.2509999999999999E-3</v>
      </c>
      <c r="AY1251" s="27">
        <f t="shared" si="237"/>
        <v>1.2509999999999999E-3</v>
      </c>
      <c r="AZ1251" s="27">
        <f t="shared" si="238"/>
        <v>1.2509999999999999E-3</v>
      </c>
    </row>
    <row r="1252" spans="1:52" ht="15" customHeight="1" x14ac:dyDescent="0.25">
      <c r="A1252" s="13" t="e">
        <f>VLOOKUP(L1252,[1]VALIDAÇÃO!$D$13:$E$350,2,0)</f>
        <v>#N/A</v>
      </c>
      <c r="B1252" s="14" t="str">
        <f t="shared" si="240"/>
        <v>186</v>
      </c>
      <c r="C1252" s="15">
        <f t="shared" si="239"/>
        <v>186</v>
      </c>
      <c r="D1252" s="16" t="str">
        <f t="shared" si="241"/>
        <v>186</v>
      </c>
      <c r="E1252" s="17">
        <f t="shared" si="232"/>
        <v>186</v>
      </c>
      <c r="F1252" s="18" t="str">
        <f t="shared" si="242"/>
        <v>186</v>
      </c>
      <c r="G1252" s="18">
        <f t="shared" si="233"/>
        <v>186</v>
      </c>
      <c r="H1252" s="19" t="str">
        <f t="shared" si="243"/>
        <v>186</v>
      </c>
      <c r="I1252" s="19">
        <f t="shared" si="234"/>
        <v>186</v>
      </c>
      <c r="J1252" s="30"/>
      <c r="K1252" s="30"/>
      <c r="L1252" s="30"/>
      <c r="M1252" s="30"/>
      <c r="N1252" s="30"/>
      <c r="O1252" s="30"/>
      <c r="P1252" s="29"/>
      <c r="Q1252" s="29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  <c r="AJ1252" s="25"/>
      <c r="AK1252" s="30"/>
      <c r="AL1252" s="30"/>
      <c r="AM1252" s="30"/>
      <c r="AN1252" s="30"/>
      <c r="AO1252" s="30"/>
      <c r="AP1252" s="30"/>
      <c r="AQ1252" s="30"/>
      <c r="AR1252" s="30"/>
      <c r="AS1252" s="30"/>
      <c r="AT1252" s="30"/>
      <c r="AU1252" s="30"/>
      <c r="AW1252" s="27">
        <f t="shared" si="235"/>
        <v>1.2520000000000001E-3</v>
      </c>
      <c r="AX1252" s="27">
        <f t="shared" si="236"/>
        <v>1.2520000000000001E-3</v>
      </c>
      <c r="AY1252" s="27">
        <f t="shared" si="237"/>
        <v>1.2520000000000001E-3</v>
      </c>
      <c r="AZ1252" s="27">
        <f t="shared" si="238"/>
        <v>1.2520000000000001E-3</v>
      </c>
    </row>
    <row r="1253" spans="1:52" ht="15" customHeight="1" x14ac:dyDescent="0.25">
      <c r="A1253" s="13" t="e">
        <f>VLOOKUP(L1253,[1]VALIDAÇÃO!$D$13:$E$350,2,0)</f>
        <v>#N/A</v>
      </c>
      <c r="B1253" s="14" t="str">
        <f t="shared" si="240"/>
        <v>185</v>
      </c>
      <c r="C1253" s="15">
        <f t="shared" si="239"/>
        <v>185</v>
      </c>
      <c r="D1253" s="16" t="str">
        <f t="shared" si="241"/>
        <v>185</v>
      </c>
      <c r="E1253" s="17">
        <f t="shared" si="232"/>
        <v>185</v>
      </c>
      <c r="F1253" s="18" t="str">
        <f t="shared" si="242"/>
        <v>185</v>
      </c>
      <c r="G1253" s="18">
        <f t="shared" si="233"/>
        <v>185</v>
      </c>
      <c r="H1253" s="19" t="str">
        <f t="shared" si="243"/>
        <v>185</v>
      </c>
      <c r="I1253" s="19">
        <f t="shared" si="234"/>
        <v>185</v>
      </c>
      <c r="J1253" s="30"/>
      <c r="K1253" s="30"/>
      <c r="L1253" s="30"/>
      <c r="M1253" s="30"/>
      <c r="N1253" s="30"/>
      <c r="O1253" s="30"/>
      <c r="P1253" s="29"/>
      <c r="Q1253" s="29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  <c r="AJ1253" s="25"/>
      <c r="AK1253" s="30"/>
      <c r="AL1253" s="30"/>
      <c r="AM1253" s="30"/>
      <c r="AN1253" s="30"/>
      <c r="AO1253" s="30"/>
      <c r="AP1253" s="30"/>
      <c r="AQ1253" s="30"/>
      <c r="AR1253" s="30"/>
      <c r="AS1253" s="30"/>
      <c r="AT1253" s="30"/>
      <c r="AU1253" s="30"/>
      <c r="AW1253" s="27">
        <f t="shared" si="235"/>
        <v>1.253E-3</v>
      </c>
      <c r="AX1253" s="27">
        <f t="shared" si="236"/>
        <v>1.253E-3</v>
      </c>
      <c r="AY1253" s="27">
        <f t="shared" si="237"/>
        <v>1.253E-3</v>
      </c>
      <c r="AZ1253" s="27">
        <f t="shared" si="238"/>
        <v>1.253E-3</v>
      </c>
    </row>
    <row r="1254" spans="1:52" ht="15" customHeight="1" x14ac:dyDescent="0.25">
      <c r="A1254" s="13" t="e">
        <f>VLOOKUP(L1254,[1]VALIDAÇÃO!$D$13:$E$350,2,0)</f>
        <v>#N/A</v>
      </c>
      <c r="B1254" s="14" t="str">
        <f t="shared" si="240"/>
        <v>184</v>
      </c>
      <c r="C1254" s="15">
        <f t="shared" si="239"/>
        <v>184</v>
      </c>
      <c r="D1254" s="16" t="str">
        <f t="shared" si="241"/>
        <v>184</v>
      </c>
      <c r="E1254" s="17">
        <f t="shared" si="232"/>
        <v>184</v>
      </c>
      <c r="F1254" s="18" t="str">
        <f t="shared" si="242"/>
        <v>184</v>
      </c>
      <c r="G1254" s="18">
        <f t="shared" si="233"/>
        <v>184</v>
      </c>
      <c r="H1254" s="19" t="str">
        <f t="shared" si="243"/>
        <v>184</v>
      </c>
      <c r="I1254" s="19">
        <f t="shared" si="234"/>
        <v>184</v>
      </c>
      <c r="J1254" s="30"/>
      <c r="K1254" s="30"/>
      <c r="L1254" s="30"/>
      <c r="M1254" s="30"/>
      <c r="N1254" s="33"/>
      <c r="O1254" s="30"/>
      <c r="P1254" s="29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  <c r="AJ1254" s="25"/>
      <c r="AK1254" s="30"/>
      <c r="AL1254" s="30"/>
      <c r="AM1254" s="30"/>
      <c r="AN1254" s="30"/>
      <c r="AO1254" s="30"/>
      <c r="AP1254" s="30"/>
      <c r="AQ1254" s="30"/>
      <c r="AR1254" s="30"/>
      <c r="AS1254" s="30"/>
      <c r="AT1254" s="30"/>
      <c r="AU1254" s="30"/>
      <c r="AW1254" s="27">
        <f t="shared" si="235"/>
        <v>1.2539999999999999E-3</v>
      </c>
      <c r="AX1254" s="27">
        <f t="shared" si="236"/>
        <v>1.2539999999999999E-3</v>
      </c>
      <c r="AY1254" s="27">
        <f t="shared" si="237"/>
        <v>1.2539999999999999E-3</v>
      </c>
      <c r="AZ1254" s="27">
        <f t="shared" si="238"/>
        <v>1.2539999999999999E-3</v>
      </c>
    </row>
    <row r="1255" spans="1:52" ht="15" customHeight="1" x14ac:dyDescent="0.25">
      <c r="A1255" s="13" t="e">
        <f>VLOOKUP(L1255,[1]VALIDAÇÃO!$D$13:$E$350,2,0)</f>
        <v>#N/A</v>
      </c>
      <c r="B1255" s="14" t="str">
        <f t="shared" si="240"/>
        <v>183</v>
      </c>
      <c r="C1255" s="15">
        <f t="shared" si="239"/>
        <v>183</v>
      </c>
      <c r="D1255" s="16" t="str">
        <f t="shared" si="241"/>
        <v>183</v>
      </c>
      <c r="E1255" s="17">
        <f t="shared" si="232"/>
        <v>183</v>
      </c>
      <c r="F1255" s="18" t="str">
        <f t="shared" si="242"/>
        <v>183</v>
      </c>
      <c r="G1255" s="18">
        <f t="shared" si="233"/>
        <v>183</v>
      </c>
      <c r="H1255" s="19" t="str">
        <f t="shared" si="243"/>
        <v>183</v>
      </c>
      <c r="I1255" s="19">
        <f t="shared" si="234"/>
        <v>183</v>
      </c>
      <c r="J1255" s="30"/>
      <c r="K1255" s="30"/>
      <c r="L1255" s="30"/>
      <c r="M1255" s="30"/>
      <c r="N1255" s="33"/>
      <c r="O1255" s="30"/>
      <c r="P1255" s="29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  <c r="AJ1255" s="25"/>
      <c r="AK1255" s="30"/>
      <c r="AL1255" s="30"/>
      <c r="AM1255" s="30"/>
      <c r="AN1255" s="30"/>
      <c r="AO1255" s="30"/>
      <c r="AP1255" s="30"/>
      <c r="AQ1255" s="30"/>
      <c r="AR1255" s="30"/>
      <c r="AS1255" s="30"/>
      <c r="AT1255" s="30"/>
      <c r="AU1255" s="30"/>
      <c r="AW1255" s="27">
        <f t="shared" si="235"/>
        <v>1.255E-3</v>
      </c>
      <c r="AX1255" s="27">
        <f t="shared" si="236"/>
        <v>1.255E-3</v>
      </c>
      <c r="AY1255" s="27">
        <f t="shared" si="237"/>
        <v>1.255E-3</v>
      </c>
      <c r="AZ1255" s="27">
        <f t="shared" si="238"/>
        <v>1.255E-3</v>
      </c>
    </row>
    <row r="1256" spans="1:52" ht="15" customHeight="1" x14ac:dyDescent="0.25">
      <c r="A1256" s="13" t="e">
        <f>VLOOKUP(L1256,[1]VALIDAÇÃO!$D$13:$E$350,2,0)</f>
        <v>#N/A</v>
      </c>
      <c r="B1256" s="14" t="str">
        <f t="shared" si="240"/>
        <v>182</v>
      </c>
      <c r="C1256" s="15">
        <f t="shared" si="239"/>
        <v>182</v>
      </c>
      <c r="D1256" s="16" t="str">
        <f t="shared" si="241"/>
        <v>182</v>
      </c>
      <c r="E1256" s="17">
        <f t="shared" si="232"/>
        <v>182</v>
      </c>
      <c r="F1256" s="18" t="str">
        <f t="shared" si="242"/>
        <v>182</v>
      </c>
      <c r="G1256" s="18">
        <f t="shared" si="233"/>
        <v>182</v>
      </c>
      <c r="H1256" s="19" t="str">
        <f t="shared" si="243"/>
        <v>182</v>
      </c>
      <c r="I1256" s="19">
        <f t="shared" si="234"/>
        <v>182</v>
      </c>
      <c r="J1256" s="30"/>
      <c r="K1256" s="30"/>
      <c r="L1256" s="30"/>
      <c r="M1256" s="30"/>
      <c r="N1256" s="33"/>
      <c r="O1256" s="30"/>
      <c r="P1256" s="29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  <c r="AJ1256" s="25"/>
      <c r="AK1256" s="30"/>
      <c r="AL1256" s="30"/>
      <c r="AM1256" s="30"/>
      <c r="AN1256" s="30"/>
      <c r="AO1256" s="30"/>
      <c r="AP1256" s="30"/>
      <c r="AQ1256" s="30"/>
      <c r="AR1256" s="30"/>
      <c r="AS1256" s="30"/>
      <c r="AT1256" s="30"/>
      <c r="AU1256" s="30"/>
      <c r="AW1256" s="27">
        <f t="shared" si="235"/>
        <v>1.256E-3</v>
      </c>
      <c r="AX1256" s="27">
        <f t="shared" si="236"/>
        <v>1.256E-3</v>
      </c>
      <c r="AY1256" s="27">
        <f t="shared" si="237"/>
        <v>1.256E-3</v>
      </c>
      <c r="AZ1256" s="27">
        <f t="shared" si="238"/>
        <v>1.256E-3</v>
      </c>
    </row>
    <row r="1257" spans="1:52" ht="15" customHeight="1" x14ac:dyDescent="0.25">
      <c r="A1257" s="13" t="e">
        <f>VLOOKUP(L1257,[1]VALIDAÇÃO!$D$13:$E$350,2,0)</f>
        <v>#N/A</v>
      </c>
      <c r="B1257" s="14" t="str">
        <f t="shared" si="240"/>
        <v>181</v>
      </c>
      <c r="C1257" s="15">
        <f t="shared" si="239"/>
        <v>181</v>
      </c>
      <c r="D1257" s="16" t="str">
        <f t="shared" si="241"/>
        <v>181</v>
      </c>
      <c r="E1257" s="17">
        <f t="shared" si="232"/>
        <v>181</v>
      </c>
      <c r="F1257" s="18" t="str">
        <f t="shared" si="242"/>
        <v>181</v>
      </c>
      <c r="G1257" s="18">
        <f t="shared" si="233"/>
        <v>181</v>
      </c>
      <c r="H1257" s="19" t="str">
        <f t="shared" si="243"/>
        <v>181</v>
      </c>
      <c r="I1257" s="19">
        <f t="shared" si="234"/>
        <v>181</v>
      </c>
      <c r="J1257" s="30"/>
      <c r="K1257" s="30"/>
      <c r="L1257" s="30"/>
      <c r="M1257" s="30"/>
      <c r="N1257" s="33"/>
      <c r="O1257" s="30"/>
      <c r="P1257" s="29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  <c r="AJ1257" s="25"/>
      <c r="AK1257" s="30"/>
      <c r="AL1257" s="30"/>
      <c r="AM1257" s="30"/>
      <c r="AN1257" s="30"/>
      <c r="AO1257" s="30"/>
      <c r="AP1257" s="30"/>
      <c r="AQ1257" s="30"/>
      <c r="AR1257" s="30"/>
      <c r="AS1257" s="30"/>
      <c r="AT1257" s="30"/>
      <c r="AU1257" s="30"/>
      <c r="AW1257" s="27">
        <f t="shared" si="235"/>
        <v>1.2570000000000001E-3</v>
      </c>
      <c r="AX1257" s="27">
        <f t="shared" si="236"/>
        <v>1.2570000000000001E-3</v>
      </c>
      <c r="AY1257" s="27">
        <f t="shared" si="237"/>
        <v>1.2570000000000001E-3</v>
      </c>
      <c r="AZ1257" s="27">
        <f t="shared" si="238"/>
        <v>1.2570000000000001E-3</v>
      </c>
    </row>
    <row r="1258" spans="1:52" ht="15" customHeight="1" x14ac:dyDescent="0.25">
      <c r="A1258" s="13" t="e">
        <f>VLOOKUP(L1258,[1]VALIDAÇÃO!$D$13:$E$350,2,0)</f>
        <v>#N/A</v>
      </c>
      <c r="B1258" s="14" t="str">
        <f t="shared" si="240"/>
        <v>180</v>
      </c>
      <c r="C1258" s="15">
        <f t="shared" si="239"/>
        <v>180</v>
      </c>
      <c r="D1258" s="16" t="str">
        <f t="shared" si="241"/>
        <v>180</v>
      </c>
      <c r="E1258" s="17">
        <f t="shared" si="232"/>
        <v>180</v>
      </c>
      <c r="F1258" s="18" t="str">
        <f t="shared" si="242"/>
        <v>180</v>
      </c>
      <c r="G1258" s="18">
        <f t="shared" si="233"/>
        <v>180</v>
      </c>
      <c r="H1258" s="19" t="str">
        <f t="shared" si="243"/>
        <v>180</v>
      </c>
      <c r="I1258" s="19">
        <f t="shared" si="234"/>
        <v>180</v>
      </c>
      <c r="J1258" s="30"/>
      <c r="K1258" s="30"/>
      <c r="L1258" s="30"/>
      <c r="M1258" s="30"/>
      <c r="N1258" s="33"/>
      <c r="O1258" s="30"/>
      <c r="P1258" s="29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  <c r="AJ1258" s="25"/>
      <c r="AK1258" s="30"/>
      <c r="AL1258" s="30"/>
      <c r="AM1258" s="30"/>
      <c r="AN1258" s="30"/>
      <c r="AO1258" s="30"/>
      <c r="AP1258" s="30"/>
      <c r="AQ1258" s="30"/>
      <c r="AR1258" s="30"/>
      <c r="AS1258" s="30"/>
      <c r="AT1258" s="30"/>
      <c r="AU1258" s="30"/>
      <c r="AW1258" s="27">
        <f t="shared" si="235"/>
        <v>1.258E-3</v>
      </c>
      <c r="AX1258" s="27">
        <f t="shared" si="236"/>
        <v>1.258E-3</v>
      </c>
      <c r="AY1258" s="27">
        <f t="shared" si="237"/>
        <v>1.258E-3</v>
      </c>
      <c r="AZ1258" s="27">
        <f t="shared" si="238"/>
        <v>1.258E-3</v>
      </c>
    </row>
    <row r="1259" spans="1:52" ht="15" customHeight="1" x14ac:dyDescent="0.25">
      <c r="A1259" s="13" t="e">
        <f>VLOOKUP(L1259,[1]VALIDAÇÃO!$D$13:$E$350,2,0)</f>
        <v>#N/A</v>
      </c>
      <c r="B1259" s="14" t="str">
        <f t="shared" si="240"/>
        <v>179</v>
      </c>
      <c r="C1259" s="15">
        <f t="shared" si="239"/>
        <v>179</v>
      </c>
      <c r="D1259" s="16" t="str">
        <f t="shared" si="241"/>
        <v>179</v>
      </c>
      <c r="E1259" s="17">
        <f t="shared" si="232"/>
        <v>179</v>
      </c>
      <c r="F1259" s="18" t="str">
        <f t="shared" si="242"/>
        <v>179</v>
      </c>
      <c r="G1259" s="18">
        <f t="shared" si="233"/>
        <v>179</v>
      </c>
      <c r="H1259" s="19" t="str">
        <f t="shared" si="243"/>
        <v>179</v>
      </c>
      <c r="I1259" s="19">
        <f t="shared" si="234"/>
        <v>179</v>
      </c>
      <c r="J1259" s="30"/>
      <c r="K1259" s="30"/>
      <c r="L1259" s="30"/>
      <c r="M1259" s="30"/>
      <c r="N1259" s="30"/>
      <c r="O1259" s="30"/>
      <c r="P1259" s="29"/>
      <c r="Q1259" s="29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  <c r="AJ1259" s="25"/>
      <c r="AK1259" s="30"/>
      <c r="AL1259" s="30"/>
      <c r="AM1259" s="30"/>
      <c r="AN1259" s="30"/>
      <c r="AO1259" s="30"/>
      <c r="AP1259" s="30"/>
      <c r="AQ1259" s="30"/>
      <c r="AR1259" s="30"/>
      <c r="AS1259" s="30"/>
      <c r="AT1259" s="30"/>
      <c r="AU1259" s="30"/>
      <c r="AW1259" s="27">
        <f t="shared" si="235"/>
        <v>1.2589999999999999E-3</v>
      </c>
      <c r="AX1259" s="27">
        <f t="shared" si="236"/>
        <v>1.2589999999999999E-3</v>
      </c>
      <c r="AY1259" s="27">
        <f t="shared" si="237"/>
        <v>1.2589999999999999E-3</v>
      </c>
      <c r="AZ1259" s="27">
        <f t="shared" si="238"/>
        <v>1.2589999999999999E-3</v>
      </c>
    </row>
    <row r="1260" spans="1:52" ht="15" customHeight="1" x14ac:dyDescent="0.25">
      <c r="A1260" s="13" t="e">
        <f>VLOOKUP(L1260,[1]VALIDAÇÃO!$D$13:$E$350,2,0)</f>
        <v>#N/A</v>
      </c>
      <c r="B1260" s="14" t="str">
        <f t="shared" si="240"/>
        <v>178</v>
      </c>
      <c r="C1260" s="15">
        <f t="shared" si="239"/>
        <v>178</v>
      </c>
      <c r="D1260" s="16" t="str">
        <f t="shared" si="241"/>
        <v>178</v>
      </c>
      <c r="E1260" s="17">
        <f t="shared" si="232"/>
        <v>178</v>
      </c>
      <c r="F1260" s="18" t="str">
        <f t="shared" si="242"/>
        <v>178</v>
      </c>
      <c r="G1260" s="18">
        <f t="shared" si="233"/>
        <v>178</v>
      </c>
      <c r="H1260" s="19" t="str">
        <f t="shared" si="243"/>
        <v>178</v>
      </c>
      <c r="I1260" s="19">
        <f t="shared" si="234"/>
        <v>178</v>
      </c>
      <c r="J1260" s="30"/>
      <c r="K1260" s="30"/>
      <c r="L1260" s="30"/>
      <c r="M1260" s="30"/>
      <c r="N1260" s="30"/>
      <c r="O1260" s="30"/>
      <c r="P1260" s="29"/>
      <c r="Q1260" s="29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  <c r="AJ1260" s="25"/>
      <c r="AK1260" s="30"/>
      <c r="AL1260" s="30"/>
      <c r="AM1260" s="30"/>
      <c r="AN1260" s="30"/>
      <c r="AO1260" s="30"/>
      <c r="AP1260" s="30"/>
      <c r="AQ1260" s="30"/>
      <c r="AR1260" s="30"/>
      <c r="AS1260" s="30"/>
      <c r="AT1260" s="30"/>
      <c r="AU1260" s="30"/>
      <c r="AW1260" s="27">
        <f t="shared" si="235"/>
        <v>1.2600000000000001E-3</v>
      </c>
      <c r="AX1260" s="27">
        <f t="shared" si="236"/>
        <v>1.2600000000000001E-3</v>
      </c>
      <c r="AY1260" s="27">
        <f t="shared" si="237"/>
        <v>1.2600000000000001E-3</v>
      </c>
      <c r="AZ1260" s="27">
        <f t="shared" si="238"/>
        <v>1.2600000000000001E-3</v>
      </c>
    </row>
    <row r="1261" spans="1:52" ht="15" customHeight="1" x14ac:dyDescent="0.25">
      <c r="A1261" s="13" t="e">
        <f>VLOOKUP(L1261,[1]VALIDAÇÃO!$D$13:$E$350,2,0)</f>
        <v>#N/A</v>
      </c>
      <c r="B1261" s="14" t="str">
        <f t="shared" si="240"/>
        <v>177</v>
      </c>
      <c r="C1261" s="15">
        <f t="shared" si="239"/>
        <v>177</v>
      </c>
      <c r="D1261" s="16" t="str">
        <f t="shared" si="241"/>
        <v>177</v>
      </c>
      <c r="E1261" s="17">
        <f t="shared" si="232"/>
        <v>177</v>
      </c>
      <c r="F1261" s="18" t="str">
        <f t="shared" si="242"/>
        <v>177</v>
      </c>
      <c r="G1261" s="18">
        <f t="shared" si="233"/>
        <v>177</v>
      </c>
      <c r="H1261" s="19" t="str">
        <f t="shared" si="243"/>
        <v>177</v>
      </c>
      <c r="I1261" s="19">
        <f t="shared" si="234"/>
        <v>177</v>
      </c>
      <c r="J1261" s="30"/>
      <c r="K1261" s="30"/>
      <c r="L1261" s="30"/>
      <c r="M1261" s="30"/>
      <c r="N1261" s="30"/>
      <c r="O1261" s="30"/>
      <c r="P1261" s="29"/>
      <c r="Q1261" s="29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25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W1261" s="27">
        <f t="shared" si="235"/>
        <v>1.261E-3</v>
      </c>
      <c r="AX1261" s="27">
        <f t="shared" si="236"/>
        <v>1.261E-3</v>
      </c>
      <c r="AY1261" s="27">
        <f t="shared" si="237"/>
        <v>1.261E-3</v>
      </c>
      <c r="AZ1261" s="27">
        <f t="shared" si="238"/>
        <v>1.261E-3</v>
      </c>
    </row>
    <row r="1262" spans="1:52" ht="15" customHeight="1" x14ac:dyDescent="0.25">
      <c r="A1262" s="13" t="e">
        <f>VLOOKUP(L1262,[1]VALIDAÇÃO!$D$13:$E$350,2,0)</f>
        <v>#N/A</v>
      </c>
      <c r="B1262" s="14" t="str">
        <f t="shared" si="240"/>
        <v>176</v>
      </c>
      <c r="C1262" s="15">
        <f t="shared" si="239"/>
        <v>176</v>
      </c>
      <c r="D1262" s="16" t="str">
        <f t="shared" si="241"/>
        <v>176</v>
      </c>
      <c r="E1262" s="17">
        <f t="shared" si="232"/>
        <v>176</v>
      </c>
      <c r="F1262" s="18" t="str">
        <f t="shared" si="242"/>
        <v>176</v>
      </c>
      <c r="G1262" s="18">
        <f t="shared" si="233"/>
        <v>176</v>
      </c>
      <c r="H1262" s="19" t="str">
        <f t="shared" si="243"/>
        <v>176</v>
      </c>
      <c r="I1262" s="19">
        <f t="shared" si="234"/>
        <v>176</v>
      </c>
      <c r="J1262" s="30"/>
      <c r="K1262" s="30"/>
      <c r="L1262" s="30"/>
      <c r="M1262" s="30"/>
      <c r="N1262" s="30"/>
      <c r="O1262" s="30"/>
      <c r="P1262" s="29"/>
      <c r="Q1262" s="29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  <c r="AJ1262" s="25"/>
      <c r="AK1262" s="30"/>
      <c r="AL1262" s="30"/>
      <c r="AM1262" s="30"/>
      <c r="AN1262" s="30"/>
      <c r="AO1262" s="30"/>
      <c r="AP1262" s="30"/>
      <c r="AQ1262" s="30"/>
      <c r="AR1262" s="30"/>
      <c r="AS1262" s="30"/>
      <c r="AT1262" s="30"/>
      <c r="AU1262" s="30"/>
      <c r="AW1262" s="27">
        <f t="shared" si="235"/>
        <v>1.2620000000000001E-3</v>
      </c>
      <c r="AX1262" s="27">
        <f t="shared" si="236"/>
        <v>1.2620000000000001E-3</v>
      </c>
      <c r="AY1262" s="27">
        <f t="shared" si="237"/>
        <v>1.2620000000000001E-3</v>
      </c>
      <c r="AZ1262" s="27">
        <f t="shared" si="238"/>
        <v>1.2620000000000001E-3</v>
      </c>
    </row>
    <row r="1263" spans="1:52" ht="15" customHeight="1" x14ac:dyDescent="0.25">
      <c r="A1263" s="13" t="e">
        <f>VLOOKUP(L1263,[1]VALIDAÇÃO!$D$13:$E$350,2,0)</f>
        <v>#N/A</v>
      </c>
      <c r="B1263" s="14" t="str">
        <f t="shared" si="240"/>
        <v>175</v>
      </c>
      <c r="C1263" s="15">
        <f t="shared" si="239"/>
        <v>175</v>
      </c>
      <c r="D1263" s="16" t="str">
        <f t="shared" si="241"/>
        <v>175</v>
      </c>
      <c r="E1263" s="17">
        <f t="shared" si="232"/>
        <v>175</v>
      </c>
      <c r="F1263" s="18" t="str">
        <f t="shared" si="242"/>
        <v>175</v>
      </c>
      <c r="G1263" s="18">
        <f t="shared" si="233"/>
        <v>175</v>
      </c>
      <c r="H1263" s="19" t="str">
        <f t="shared" si="243"/>
        <v>175</v>
      </c>
      <c r="I1263" s="19">
        <f t="shared" si="234"/>
        <v>175</v>
      </c>
      <c r="J1263" s="30"/>
      <c r="K1263" s="30"/>
      <c r="L1263" s="30"/>
      <c r="M1263" s="30"/>
      <c r="N1263" s="30"/>
      <c r="O1263" s="30"/>
      <c r="P1263" s="29"/>
      <c r="Q1263" s="29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  <c r="AJ1263" s="25"/>
      <c r="AK1263" s="30"/>
      <c r="AL1263" s="30"/>
      <c r="AM1263" s="30"/>
      <c r="AN1263" s="30"/>
      <c r="AO1263" s="30"/>
      <c r="AP1263" s="30"/>
      <c r="AQ1263" s="30"/>
      <c r="AR1263" s="30"/>
      <c r="AS1263" s="30"/>
      <c r="AT1263" s="30"/>
      <c r="AU1263" s="30"/>
      <c r="AW1263" s="27">
        <f t="shared" si="235"/>
        <v>1.263E-3</v>
      </c>
      <c r="AX1263" s="27">
        <f t="shared" si="236"/>
        <v>1.263E-3</v>
      </c>
      <c r="AY1263" s="27">
        <f t="shared" si="237"/>
        <v>1.263E-3</v>
      </c>
      <c r="AZ1263" s="27">
        <f t="shared" si="238"/>
        <v>1.263E-3</v>
      </c>
    </row>
    <row r="1264" spans="1:52" ht="15" customHeight="1" x14ac:dyDescent="0.25">
      <c r="A1264" s="13" t="e">
        <f>VLOOKUP(L1264,[1]VALIDAÇÃO!$D$13:$E$350,2,0)</f>
        <v>#N/A</v>
      </c>
      <c r="B1264" s="14" t="str">
        <f t="shared" si="240"/>
        <v>174</v>
      </c>
      <c r="C1264" s="15">
        <f t="shared" si="239"/>
        <v>174</v>
      </c>
      <c r="D1264" s="16" t="str">
        <f t="shared" si="241"/>
        <v>174</v>
      </c>
      <c r="E1264" s="17">
        <f t="shared" si="232"/>
        <v>174</v>
      </c>
      <c r="F1264" s="18" t="str">
        <f t="shared" si="242"/>
        <v>174</v>
      </c>
      <c r="G1264" s="18">
        <f t="shared" si="233"/>
        <v>174</v>
      </c>
      <c r="H1264" s="19" t="str">
        <f t="shared" si="243"/>
        <v>174</v>
      </c>
      <c r="I1264" s="19">
        <f t="shared" si="234"/>
        <v>174</v>
      </c>
      <c r="J1264" s="30"/>
      <c r="K1264" s="30"/>
      <c r="L1264" s="30"/>
      <c r="M1264" s="30"/>
      <c r="N1264" s="33"/>
      <c r="O1264" s="30"/>
      <c r="P1264" s="29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  <c r="AJ1264" s="25"/>
      <c r="AK1264" s="30"/>
      <c r="AL1264" s="30"/>
      <c r="AM1264" s="30"/>
      <c r="AN1264" s="30"/>
      <c r="AO1264" s="30"/>
      <c r="AP1264" s="30"/>
      <c r="AQ1264" s="30"/>
      <c r="AR1264" s="30"/>
      <c r="AS1264" s="30"/>
      <c r="AT1264" s="30"/>
      <c r="AU1264" s="30"/>
      <c r="AW1264" s="27">
        <f t="shared" si="235"/>
        <v>1.2639999999999999E-3</v>
      </c>
      <c r="AX1264" s="27">
        <f t="shared" si="236"/>
        <v>1.2639999999999999E-3</v>
      </c>
      <c r="AY1264" s="27">
        <f t="shared" si="237"/>
        <v>1.2639999999999999E-3</v>
      </c>
      <c r="AZ1264" s="27">
        <f t="shared" si="238"/>
        <v>1.2639999999999999E-3</v>
      </c>
    </row>
    <row r="1265" spans="1:52" ht="15" customHeight="1" x14ac:dyDescent="0.25">
      <c r="A1265" s="13" t="e">
        <f>VLOOKUP(L1265,[1]VALIDAÇÃO!$D$13:$E$350,2,0)</f>
        <v>#N/A</v>
      </c>
      <c r="B1265" s="14" t="str">
        <f t="shared" si="240"/>
        <v>173</v>
      </c>
      <c r="C1265" s="15">
        <f t="shared" si="239"/>
        <v>173</v>
      </c>
      <c r="D1265" s="16" t="str">
        <f t="shared" si="241"/>
        <v>173</v>
      </c>
      <c r="E1265" s="17">
        <f t="shared" si="232"/>
        <v>173</v>
      </c>
      <c r="F1265" s="18" t="str">
        <f t="shared" si="242"/>
        <v>173</v>
      </c>
      <c r="G1265" s="18">
        <f t="shared" si="233"/>
        <v>173</v>
      </c>
      <c r="H1265" s="19" t="str">
        <f t="shared" si="243"/>
        <v>173</v>
      </c>
      <c r="I1265" s="19">
        <f t="shared" si="234"/>
        <v>173</v>
      </c>
      <c r="J1265" s="30"/>
      <c r="K1265" s="30"/>
      <c r="L1265" s="30"/>
      <c r="M1265" s="30"/>
      <c r="N1265" s="33"/>
      <c r="O1265" s="30"/>
      <c r="P1265" s="29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  <c r="AJ1265" s="25"/>
      <c r="AK1265" s="30"/>
      <c r="AL1265" s="30"/>
      <c r="AM1265" s="30"/>
      <c r="AN1265" s="30"/>
      <c r="AO1265" s="30"/>
      <c r="AP1265" s="30"/>
      <c r="AQ1265" s="30"/>
      <c r="AR1265" s="30"/>
      <c r="AS1265" s="30"/>
      <c r="AT1265" s="30"/>
      <c r="AU1265" s="30"/>
      <c r="AW1265" s="27">
        <f t="shared" si="235"/>
        <v>1.2650000000000001E-3</v>
      </c>
      <c r="AX1265" s="27">
        <f t="shared" si="236"/>
        <v>1.2650000000000001E-3</v>
      </c>
      <c r="AY1265" s="27">
        <f t="shared" si="237"/>
        <v>1.2650000000000001E-3</v>
      </c>
      <c r="AZ1265" s="27">
        <f t="shared" si="238"/>
        <v>1.2650000000000001E-3</v>
      </c>
    </row>
    <row r="1266" spans="1:52" ht="15" customHeight="1" x14ac:dyDescent="0.25">
      <c r="A1266" s="13" t="e">
        <f>VLOOKUP(L1266,[1]VALIDAÇÃO!$D$13:$E$350,2,0)</f>
        <v>#N/A</v>
      </c>
      <c r="B1266" s="14" t="str">
        <f t="shared" si="240"/>
        <v>172</v>
      </c>
      <c r="C1266" s="15">
        <f t="shared" si="239"/>
        <v>172</v>
      </c>
      <c r="D1266" s="16" t="str">
        <f t="shared" si="241"/>
        <v>172</v>
      </c>
      <c r="E1266" s="17">
        <f t="shared" si="232"/>
        <v>172</v>
      </c>
      <c r="F1266" s="18" t="str">
        <f t="shared" si="242"/>
        <v>172</v>
      </c>
      <c r="G1266" s="18">
        <f t="shared" si="233"/>
        <v>172</v>
      </c>
      <c r="H1266" s="19" t="str">
        <f t="shared" si="243"/>
        <v>172</v>
      </c>
      <c r="I1266" s="19">
        <f t="shared" si="234"/>
        <v>172</v>
      </c>
      <c r="J1266" s="30"/>
      <c r="K1266" s="30"/>
      <c r="L1266" s="30"/>
      <c r="M1266" s="30"/>
      <c r="N1266" s="30"/>
      <c r="O1266" s="30"/>
      <c r="P1266" s="29"/>
      <c r="Q1266" s="29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  <c r="AJ1266" s="25"/>
      <c r="AK1266" s="30"/>
      <c r="AL1266" s="30"/>
      <c r="AM1266" s="30"/>
      <c r="AN1266" s="30"/>
      <c r="AO1266" s="30"/>
      <c r="AP1266" s="30"/>
      <c r="AQ1266" s="30"/>
      <c r="AR1266" s="30"/>
      <c r="AS1266" s="30"/>
      <c r="AT1266" s="30"/>
      <c r="AU1266" s="30"/>
      <c r="AW1266" s="27">
        <f t="shared" si="235"/>
        <v>1.266E-3</v>
      </c>
      <c r="AX1266" s="27">
        <f t="shared" si="236"/>
        <v>1.266E-3</v>
      </c>
      <c r="AY1266" s="27">
        <f t="shared" si="237"/>
        <v>1.266E-3</v>
      </c>
      <c r="AZ1266" s="27">
        <f t="shared" si="238"/>
        <v>1.266E-3</v>
      </c>
    </row>
    <row r="1267" spans="1:52" ht="15" customHeight="1" x14ac:dyDescent="0.25">
      <c r="A1267" s="13" t="e">
        <f>VLOOKUP(L1267,[1]VALIDAÇÃO!$D$13:$E$350,2,0)</f>
        <v>#N/A</v>
      </c>
      <c r="B1267" s="14" t="str">
        <f t="shared" si="240"/>
        <v>171</v>
      </c>
      <c r="C1267" s="15">
        <f t="shared" si="239"/>
        <v>171</v>
      </c>
      <c r="D1267" s="16" t="str">
        <f t="shared" si="241"/>
        <v>171</v>
      </c>
      <c r="E1267" s="17">
        <f t="shared" si="232"/>
        <v>171</v>
      </c>
      <c r="F1267" s="18" t="str">
        <f t="shared" si="242"/>
        <v>171</v>
      </c>
      <c r="G1267" s="18">
        <f t="shared" si="233"/>
        <v>171</v>
      </c>
      <c r="H1267" s="19" t="str">
        <f t="shared" si="243"/>
        <v>171</v>
      </c>
      <c r="I1267" s="19">
        <f t="shared" si="234"/>
        <v>171</v>
      </c>
      <c r="J1267" s="30"/>
      <c r="K1267" s="30"/>
      <c r="L1267" s="30"/>
      <c r="M1267" s="30"/>
      <c r="N1267" s="33"/>
      <c r="O1267" s="30"/>
      <c r="P1267" s="29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  <c r="AJ1267" s="25"/>
      <c r="AK1267" s="30"/>
      <c r="AL1267" s="30"/>
      <c r="AM1267" s="30"/>
      <c r="AN1267" s="30"/>
      <c r="AO1267" s="30"/>
      <c r="AP1267" s="30"/>
      <c r="AQ1267" s="30"/>
      <c r="AR1267" s="30"/>
      <c r="AS1267" s="30"/>
      <c r="AT1267" s="30"/>
      <c r="AU1267" s="30"/>
      <c r="AW1267" s="27">
        <f t="shared" si="235"/>
        <v>1.2669999999999999E-3</v>
      </c>
      <c r="AX1267" s="27">
        <f t="shared" si="236"/>
        <v>1.2669999999999999E-3</v>
      </c>
      <c r="AY1267" s="27">
        <f t="shared" si="237"/>
        <v>1.2669999999999999E-3</v>
      </c>
      <c r="AZ1267" s="27">
        <f t="shared" si="238"/>
        <v>1.2669999999999999E-3</v>
      </c>
    </row>
    <row r="1268" spans="1:52" ht="15" customHeight="1" x14ac:dyDescent="0.25">
      <c r="A1268" s="13" t="e">
        <f>VLOOKUP(L1268,[1]VALIDAÇÃO!$D$13:$E$350,2,0)</f>
        <v>#N/A</v>
      </c>
      <c r="B1268" s="14" t="str">
        <f t="shared" si="240"/>
        <v>170</v>
      </c>
      <c r="C1268" s="15">
        <f t="shared" si="239"/>
        <v>170</v>
      </c>
      <c r="D1268" s="16" t="str">
        <f t="shared" si="241"/>
        <v>170</v>
      </c>
      <c r="E1268" s="17">
        <f t="shared" si="232"/>
        <v>170</v>
      </c>
      <c r="F1268" s="18" t="str">
        <f t="shared" si="242"/>
        <v>170</v>
      </c>
      <c r="G1268" s="18">
        <f t="shared" si="233"/>
        <v>170</v>
      </c>
      <c r="H1268" s="19" t="str">
        <f t="shared" si="243"/>
        <v>170</v>
      </c>
      <c r="I1268" s="19">
        <f t="shared" si="234"/>
        <v>170</v>
      </c>
      <c r="J1268" s="30"/>
      <c r="K1268" s="30"/>
      <c r="L1268" s="30"/>
      <c r="M1268" s="30"/>
      <c r="N1268" s="33"/>
      <c r="O1268" s="30"/>
      <c r="P1268" s="29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  <c r="AJ1268" s="25"/>
      <c r="AK1268" s="30"/>
      <c r="AL1268" s="30"/>
      <c r="AM1268" s="30"/>
      <c r="AN1268" s="30"/>
      <c r="AO1268" s="30"/>
      <c r="AP1268" s="30"/>
      <c r="AQ1268" s="30"/>
      <c r="AR1268" s="30"/>
      <c r="AS1268" s="30"/>
      <c r="AT1268" s="30"/>
      <c r="AU1268" s="30"/>
      <c r="AW1268" s="27">
        <f t="shared" si="235"/>
        <v>1.268E-3</v>
      </c>
      <c r="AX1268" s="27">
        <f t="shared" si="236"/>
        <v>1.268E-3</v>
      </c>
      <c r="AY1268" s="27">
        <f t="shared" si="237"/>
        <v>1.268E-3</v>
      </c>
      <c r="AZ1268" s="27">
        <f t="shared" si="238"/>
        <v>1.268E-3</v>
      </c>
    </row>
    <row r="1269" spans="1:52" ht="15" customHeight="1" x14ac:dyDescent="0.25">
      <c r="A1269" s="13" t="e">
        <f>VLOOKUP(L1269,[1]VALIDAÇÃO!$D$13:$E$350,2,0)</f>
        <v>#N/A</v>
      </c>
      <c r="B1269" s="14" t="str">
        <f t="shared" si="240"/>
        <v>169</v>
      </c>
      <c r="C1269" s="15">
        <f t="shared" si="239"/>
        <v>169</v>
      </c>
      <c r="D1269" s="16" t="str">
        <f t="shared" si="241"/>
        <v>169</v>
      </c>
      <c r="E1269" s="17">
        <f t="shared" si="232"/>
        <v>169</v>
      </c>
      <c r="F1269" s="18" t="str">
        <f t="shared" si="242"/>
        <v>169</v>
      </c>
      <c r="G1269" s="18">
        <f t="shared" si="233"/>
        <v>169</v>
      </c>
      <c r="H1269" s="19" t="str">
        <f t="shared" si="243"/>
        <v>169</v>
      </c>
      <c r="I1269" s="19">
        <f t="shared" si="234"/>
        <v>169</v>
      </c>
      <c r="J1269" s="30"/>
      <c r="K1269" s="30"/>
      <c r="L1269" s="30"/>
      <c r="M1269" s="30"/>
      <c r="N1269" s="33"/>
      <c r="O1269" s="30"/>
      <c r="P1269" s="29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  <c r="AJ1269" s="25"/>
      <c r="AK1269" s="30"/>
      <c r="AL1269" s="30"/>
      <c r="AM1269" s="30"/>
      <c r="AN1269" s="30"/>
      <c r="AO1269" s="30"/>
      <c r="AP1269" s="30"/>
      <c r="AQ1269" s="30"/>
      <c r="AR1269" s="30"/>
      <c r="AS1269" s="30"/>
      <c r="AT1269" s="30"/>
      <c r="AU1269" s="30"/>
      <c r="AW1269" s="27">
        <f t="shared" si="235"/>
        <v>1.2689999999999999E-3</v>
      </c>
      <c r="AX1269" s="27">
        <f t="shared" si="236"/>
        <v>1.2689999999999999E-3</v>
      </c>
      <c r="AY1269" s="27">
        <f t="shared" si="237"/>
        <v>1.2689999999999999E-3</v>
      </c>
      <c r="AZ1269" s="27">
        <f t="shared" si="238"/>
        <v>1.2689999999999999E-3</v>
      </c>
    </row>
    <row r="1270" spans="1:52" ht="15" customHeight="1" x14ac:dyDescent="0.25">
      <c r="A1270" s="13" t="e">
        <f>VLOOKUP(L1270,[1]VALIDAÇÃO!$D$13:$E$350,2,0)</f>
        <v>#N/A</v>
      </c>
      <c r="B1270" s="14" t="str">
        <f t="shared" si="240"/>
        <v>168</v>
      </c>
      <c r="C1270" s="15">
        <f t="shared" si="239"/>
        <v>168</v>
      </c>
      <c r="D1270" s="16" t="str">
        <f t="shared" si="241"/>
        <v>168</v>
      </c>
      <c r="E1270" s="17">
        <f t="shared" si="232"/>
        <v>168</v>
      </c>
      <c r="F1270" s="18" t="str">
        <f t="shared" si="242"/>
        <v>168</v>
      </c>
      <c r="G1270" s="18">
        <f t="shared" si="233"/>
        <v>168</v>
      </c>
      <c r="H1270" s="19" t="str">
        <f t="shared" si="243"/>
        <v>168</v>
      </c>
      <c r="I1270" s="19">
        <f t="shared" si="234"/>
        <v>168</v>
      </c>
      <c r="J1270" s="30"/>
      <c r="K1270" s="30"/>
      <c r="L1270" s="30"/>
      <c r="M1270" s="30"/>
      <c r="N1270" s="30"/>
      <c r="O1270" s="30"/>
      <c r="P1270" s="29"/>
      <c r="Q1270" s="29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  <c r="AJ1270" s="25"/>
      <c r="AK1270" s="30"/>
      <c r="AL1270" s="30"/>
      <c r="AM1270" s="30"/>
      <c r="AN1270" s="30"/>
      <c r="AO1270" s="30"/>
      <c r="AP1270" s="30"/>
      <c r="AQ1270" s="30"/>
      <c r="AR1270" s="30"/>
      <c r="AS1270" s="30"/>
      <c r="AT1270" s="30"/>
      <c r="AU1270" s="30"/>
      <c r="AW1270" s="27">
        <f t="shared" si="235"/>
        <v>1.2700000000000001E-3</v>
      </c>
      <c r="AX1270" s="27">
        <f t="shared" si="236"/>
        <v>1.2700000000000001E-3</v>
      </c>
      <c r="AY1270" s="27">
        <f t="shared" si="237"/>
        <v>1.2700000000000001E-3</v>
      </c>
      <c r="AZ1270" s="27">
        <f t="shared" si="238"/>
        <v>1.2700000000000001E-3</v>
      </c>
    </row>
    <row r="1271" spans="1:52" ht="15" customHeight="1" x14ac:dyDescent="0.25">
      <c r="A1271" s="13" t="e">
        <f>VLOOKUP(L1271,[1]VALIDAÇÃO!$D$13:$E$350,2,0)</f>
        <v>#N/A</v>
      </c>
      <c r="B1271" s="14" t="str">
        <f t="shared" si="240"/>
        <v>167</v>
      </c>
      <c r="C1271" s="15">
        <f t="shared" si="239"/>
        <v>167</v>
      </c>
      <c r="D1271" s="16" t="str">
        <f t="shared" si="241"/>
        <v>167</v>
      </c>
      <c r="E1271" s="17">
        <f t="shared" si="232"/>
        <v>167</v>
      </c>
      <c r="F1271" s="18" t="str">
        <f t="shared" si="242"/>
        <v>167</v>
      </c>
      <c r="G1271" s="18">
        <f t="shared" si="233"/>
        <v>167</v>
      </c>
      <c r="H1271" s="19" t="str">
        <f t="shared" si="243"/>
        <v>167</v>
      </c>
      <c r="I1271" s="19">
        <f t="shared" si="234"/>
        <v>167</v>
      </c>
      <c r="J1271" s="30"/>
      <c r="K1271" s="30"/>
      <c r="L1271" s="30"/>
      <c r="M1271" s="30"/>
      <c r="N1271" s="33"/>
      <c r="O1271" s="30"/>
      <c r="P1271" s="29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  <c r="AJ1271" s="25"/>
      <c r="AK1271" s="30"/>
      <c r="AL1271" s="30"/>
      <c r="AM1271" s="30"/>
      <c r="AN1271" s="30"/>
      <c r="AO1271" s="30"/>
      <c r="AP1271" s="30"/>
      <c r="AQ1271" s="30"/>
      <c r="AR1271" s="30"/>
      <c r="AS1271" s="30"/>
      <c r="AT1271" s="30"/>
      <c r="AU1271" s="30"/>
      <c r="AW1271" s="27">
        <f t="shared" si="235"/>
        <v>1.271E-3</v>
      </c>
      <c r="AX1271" s="27">
        <f t="shared" si="236"/>
        <v>1.271E-3</v>
      </c>
      <c r="AY1271" s="27">
        <f t="shared" si="237"/>
        <v>1.271E-3</v>
      </c>
      <c r="AZ1271" s="27">
        <f t="shared" si="238"/>
        <v>1.271E-3</v>
      </c>
    </row>
    <row r="1272" spans="1:52" ht="15" customHeight="1" x14ac:dyDescent="0.25">
      <c r="A1272" s="13" t="e">
        <f>VLOOKUP(L1272,[1]VALIDAÇÃO!$D$13:$E$350,2,0)</f>
        <v>#N/A</v>
      </c>
      <c r="B1272" s="14" t="str">
        <f t="shared" si="240"/>
        <v>166</v>
      </c>
      <c r="C1272" s="15">
        <f t="shared" si="239"/>
        <v>166</v>
      </c>
      <c r="D1272" s="16" t="str">
        <f t="shared" si="241"/>
        <v>166</v>
      </c>
      <c r="E1272" s="17">
        <f t="shared" si="232"/>
        <v>166</v>
      </c>
      <c r="F1272" s="18" t="str">
        <f t="shared" si="242"/>
        <v>166</v>
      </c>
      <c r="G1272" s="18">
        <f t="shared" si="233"/>
        <v>166</v>
      </c>
      <c r="H1272" s="19" t="str">
        <f t="shared" si="243"/>
        <v>166</v>
      </c>
      <c r="I1272" s="19">
        <f t="shared" si="234"/>
        <v>166</v>
      </c>
      <c r="J1272" s="30"/>
      <c r="K1272" s="30"/>
      <c r="L1272" s="30"/>
      <c r="M1272" s="30"/>
      <c r="N1272" s="30"/>
      <c r="O1272" s="30"/>
      <c r="P1272" s="29"/>
      <c r="Q1272" s="29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c r="AJ1272" s="25"/>
      <c r="AK1272" s="30"/>
      <c r="AL1272" s="30"/>
      <c r="AM1272" s="30"/>
      <c r="AN1272" s="30"/>
      <c r="AO1272" s="30"/>
      <c r="AP1272" s="30"/>
      <c r="AQ1272" s="30"/>
      <c r="AR1272" s="30"/>
      <c r="AS1272" s="30"/>
      <c r="AT1272" s="30"/>
      <c r="AU1272" s="30"/>
      <c r="AW1272" s="27">
        <f t="shared" si="235"/>
        <v>1.2719999999999999E-3</v>
      </c>
      <c r="AX1272" s="27">
        <f t="shared" si="236"/>
        <v>1.2719999999999999E-3</v>
      </c>
      <c r="AY1272" s="27">
        <f t="shared" si="237"/>
        <v>1.2719999999999999E-3</v>
      </c>
      <c r="AZ1272" s="27">
        <f t="shared" si="238"/>
        <v>1.2719999999999999E-3</v>
      </c>
    </row>
    <row r="1273" spans="1:52" ht="15" customHeight="1" x14ac:dyDescent="0.25">
      <c r="A1273" s="13" t="e">
        <f>VLOOKUP(L1273,[1]VALIDAÇÃO!$D$13:$E$350,2,0)</f>
        <v>#N/A</v>
      </c>
      <c r="B1273" s="14" t="str">
        <f t="shared" si="240"/>
        <v>165</v>
      </c>
      <c r="C1273" s="15">
        <f t="shared" si="239"/>
        <v>165</v>
      </c>
      <c r="D1273" s="16" t="str">
        <f t="shared" si="241"/>
        <v>165</v>
      </c>
      <c r="E1273" s="17">
        <f t="shared" si="232"/>
        <v>165</v>
      </c>
      <c r="F1273" s="18" t="str">
        <f t="shared" si="242"/>
        <v>165</v>
      </c>
      <c r="G1273" s="18">
        <f t="shared" si="233"/>
        <v>165</v>
      </c>
      <c r="H1273" s="19" t="str">
        <f t="shared" si="243"/>
        <v>165</v>
      </c>
      <c r="I1273" s="19">
        <f t="shared" si="234"/>
        <v>165</v>
      </c>
      <c r="J1273" s="30"/>
      <c r="K1273" s="30"/>
      <c r="L1273" s="30"/>
      <c r="M1273" s="30"/>
      <c r="N1273" s="33"/>
      <c r="O1273" s="30"/>
      <c r="P1273" s="29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  <c r="AJ1273" s="25"/>
      <c r="AK1273" s="30"/>
      <c r="AL1273" s="30"/>
      <c r="AM1273" s="30"/>
      <c r="AN1273" s="30"/>
      <c r="AO1273" s="30"/>
      <c r="AP1273" s="30"/>
      <c r="AQ1273" s="30"/>
      <c r="AR1273" s="30"/>
      <c r="AS1273" s="30"/>
      <c r="AT1273" s="30"/>
      <c r="AU1273" s="30"/>
      <c r="AW1273" s="27">
        <f t="shared" si="235"/>
        <v>1.273E-3</v>
      </c>
      <c r="AX1273" s="27">
        <f t="shared" si="236"/>
        <v>1.273E-3</v>
      </c>
      <c r="AY1273" s="27">
        <f t="shared" si="237"/>
        <v>1.273E-3</v>
      </c>
      <c r="AZ1273" s="27">
        <f t="shared" si="238"/>
        <v>1.273E-3</v>
      </c>
    </row>
    <row r="1274" spans="1:52" ht="15" customHeight="1" x14ac:dyDescent="0.25">
      <c r="A1274" s="13" t="e">
        <f>VLOOKUP(L1274,[1]VALIDAÇÃO!$D$13:$E$350,2,0)</f>
        <v>#N/A</v>
      </c>
      <c r="B1274" s="14" t="str">
        <f t="shared" si="240"/>
        <v>164</v>
      </c>
      <c r="C1274" s="15">
        <f t="shared" si="239"/>
        <v>164</v>
      </c>
      <c r="D1274" s="16" t="str">
        <f t="shared" si="241"/>
        <v>164</v>
      </c>
      <c r="E1274" s="17">
        <f t="shared" si="232"/>
        <v>164</v>
      </c>
      <c r="F1274" s="18" t="str">
        <f t="shared" si="242"/>
        <v>164</v>
      </c>
      <c r="G1274" s="18">
        <f t="shared" si="233"/>
        <v>164</v>
      </c>
      <c r="H1274" s="19" t="str">
        <f t="shared" si="243"/>
        <v>164</v>
      </c>
      <c r="I1274" s="19">
        <f t="shared" si="234"/>
        <v>164</v>
      </c>
      <c r="J1274" s="30"/>
      <c r="K1274" s="30"/>
      <c r="L1274" s="30"/>
      <c r="M1274" s="30"/>
      <c r="N1274" s="33"/>
      <c r="O1274" s="30"/>
      <c r="P1274" s="29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  <c r="AJ1274" s="25"/>
      <c r="AK1274" s="30"/>
      <c r="AL1274" s="30"/>
      <c r="AM1274" s="30"/>
      <c r="AN1274" s="30"/>
      <c r="AO1274" s="30"/>
      <c r="AP1274" s="30"/>
      <c r="AQ1274" s="30"/>
      <c r="AR1274" s="30"/>
      <c r="AS1274" s="30"/>
      <c r="AT1274" s="30"/>
      <c r="AU1274" s="30"/>
      <c r="AW1274" s="27">
        <f t="shared" si="235"/>
        <v>1.274E-3</v>
      </c>
      <c r="AX1274" s="27">
        <f t="shared" si="236"/>
        <v>1.274E-3</v>
      </c>
      <c r="AY1274" s="27">
        <f t="shared" si="237"/>
        <v>1.274E-3</v>
      </c>
      <c r="AZ1274" s="27">
        <f t="shared" si="238"/>
        <v>1.274E-3</v>
      </c>
    </row>
    <row r="1275" spans="1:52" ht="15" customHeight="1" x14ac:dyDescent="0.25">
      <c r="A1275" s="13" t="e">
        <f>VLOOKUP(L1275,[1]VALIDAÇÃO!$D$13:$E$350,2,0)</f>
        <v>#N/A</v>
      </c>
      <c r="B1275" s="14" t="str">
        <f t="shared" si="240"/>
        <v>163</v>
      </c>
      <c r="C1275" s="15">
        <f t="shared" si="239"/>
        <v>163</v>
      </c>
      <c r="D1275" s="16" t="str">
        <f t="shared" si="241"/>
        <v>163</v>
      </c>
      <c r="E1275" s="17">
        <f t="shared" si="232"/>
        <v>163</v>
      </c>
      <c r="F1275" s="18" t="str">
        <f t="shared" si="242"/>
        <v>163</v>
      </c>
      <c r="G1275" s="18">
        <f t="shared" si="233"/>
        <v>163</v>
      </c>
      <c r="H1275" s="19" t="str">
        <f t="shared" si="243"/>
        <v>163</v>
      </c>
      <c r="I1275" s="19">
        <f t="shared" si="234"/>
        <v>163</v>
      </c>
      <c r="J1275" s="30"/>
      <c r="K1275" s="30"/>
      <c r="L1275" s="30"/>
      <c r="M1275" s="30"/>
      <c r="N1275" s="33"/>
      <c r="O1275" s="30"/>
      <c r="P1275" s="29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  <c r="AJ1275" s="25"/>
      <c r="AK1275" s="30"/>
      <c r="AL1275" s="30"/>
      <c r="AM1275" s="30"/>
      <c r="AN1275" s="30"/>
      <c r="AO1275" s="30"/>
      <c r="AP1275" s="30"/>
      <c r="AQ1275" s="30"/>
      <c r="AR1275" s="30"/>
      <c r="AS1275" s="30"/>
      <c r="AT1275" s="30"/>
      <c r="AU1275" s="30"/>
      <c r="AW1275" s="27">
        <f t="shared" si="235"/>
        <v>1.2750000000000001E-3</v>
      </c>
      <c r="AX1275" s="27">
        <f t="shared" si="236"/>
        <v>1.2750000000000001E-3</v>
      </c>
      <c r="AY1275" s="27">
        <f t="shared" si="237"/>
        <v>1.2750000000000001E-3</v>
      </c>
      <c r="AZ1275" s="27">
        <f t="shared" si="238"/>
        <v>1.2750000000000001E-3</v>
      </c>
    </row>
    <row r="1276" spans="1:52" ht="15" customHeight="1" x14ac:dyDescent="0.25">
      <c r="A1276" s="13" t="e">
        <f>VLOOKUP(L1276,[1]VALIDAÇÃO!$D$13:$E$350,2,0)</f>
        <v>#N/A</v>
      </c>
      <c r="B1276" s="14" t="str">
        <f t="shared" si="240"/>
        <v>162</v>
      </c>
      <c r="C1276" s="15">
        <f t="shared" si="239"/>
        <v>162</v>
      </c>
      <c r="D1276" s="16" t="str">
        <f t="shared" si="241"/>
        <v>162</v>
      </c>
      <c r="E1276" s="17">
        <f t="shared" si="232"/>
        <v>162</v>
      </c>
      <c r="F1276" s="18" t="str">
        <f t="shared" si="242"/>
        <v>162</v>
      </c>
      <c r="G1276" s="18">
        <f t="shared" si="233"/>
        <v>162</v>
      </c>
      <c r="H1276" s="19" t="str">
        <f t="shared" si="243"/>
        <v>162</v>
      </c>
      <c r="I1276" s="19">
        <f t="shared" si="234"/>
        <v>162</v>
      </c>
      <c r="J1276" s="30"/>
      <c r="K1276" s="30"/>
      <c r="L1276" s="30"/>
      <c r="M1276" s="30"/>
      <c r="N1276" s="33"/>
      <c r="O1276" s="30"/>
      <c r="P1276" s="29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  <c r="AJ1276" s="25"/>
      <c r="AK1276" s="30"/>
      <c r="AL1276" s="30"/>
      <c r="AM1276" s="30"/>
      <c r="AN1276" s="30"/>
      <c r="AO1276" s="30"/>
      <c r="AP1276" s="30"/>
      <c r="AQ1276" s="30"/>
      <c r="AR1276" s="30"/>
      <c r="AS1276" s="30"/>
      <c r="AT1276" s="30"/>
      <c r="AU1276" s="30"/>
      <c r="AW1276" s="27">
        <f t="shared" si="235"/>
        <v>1.276E-3</v>
      </c>
      <c r="AX1276" s="27">
        <f t="shared" si="236"/>
        <v>1.276E-3</v>
      </c>
      <c r="AY1276" s="27">
        <f t="shared" si="237"/>
        <v>1.276E-3</v>
      </c>
      <c r="AZ1276" s="27">
        <f t="shared" si="238"/>
        <v>1.276E-3</v>
      </c>
    </row>
    <row r="1277" spans="1:52" ht="15" customHeight="1" x14ac:dyDescent="0.25">
      <c r="A1277" s="13" t="e">
        <f>VLOOKUP(L1277,[1]VALIDAÇÃO!$D$13:$E$350,2,0)</f>
        <v>#N/A</v>
      </c>
      <c r="B1277" s="14" t="str">
        <f t="shared" si="240"/>
        <v>161</v>
      </c>
      <c r="C1277" s="15">
        <f t="shared" si="239"/>
        <v>161</v>
      </c>
      <c r="D1277" s="16" t="str">
        <f t="shared" si="241"/>
        <v>161</v>
      </c>
      <c r="E1277" s="17">
        <f t="shared" si="232"/>
        <v>161</v>
      </c>
      <c r="F1277" s="18" t="str">
        <f t="shared" si="242"/>
        <v>161</v>
      </c>
      <c r="G1277" s="18">
        <f t="shared" si="233"/>
        <v>161</v>
      </c>
      <c r="H1277" s="19" t="str">
        <f t="shared" si="243"/>
        <v>161</v>
      </c>
      <c r="I1277" s="19">
        <f t="shared" si="234"/>
        <v>161</v>
      </c>
      <c r="J1277" s="30"/>
      <c r="K1277" s="30"/>
      <c r="L1277" s="30"/>
      <c r="M1277" s="30"/>
      <c r="N1277" s="30"/>
      <c r="O1277" s="30"/>
      <c r="P1277" s="29"/>
      <c r="Q1277" s="29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  <c r="AJ1277" s="25"/>
      <c r="AK1277" s="30"/>
      <c r="AL1277" s="30"/>
      <c r="AM1277" s="30"/>
      <c r="AN1277" s="30"/>
      <c r="AO1277" s="30"/>
      <c r="AP1277" s="30"/>
      <c r="AQ1277" s="30"/>
      <c r="AR1277" s="30"/>
      <c r="AS1277" s="30"/>
      <c r="AT1277" s="30"/>
      <c r="AU1277" s="30"/>
      <c r="AW1277" s="27">
        <f t="shared" si="235"/>
        <v>1.2769999999999999E-3</v>
      </c>
      <c r="AX1277" s="27">
        <f t="shared" si="236"/>
        <v>1.2769999999999999E-3</v>
      </c>
      <c r="AY1277" s="27">
        <f t="shared" si="237"/>
        <v>1.2769999999999999E-3</v>
      </c>
      <c r="AZ1277" s="27">
        <f t="shared" si="238"/>
        <v>1.2769999999999999E-3</v>
      </c>
    </row>
    <row r="1278" spans="1:52" ht="15" customHeight="1" x14ac:dyDescent="0.25">
      <c r="A1278" s="13" t="e">
        <f>VLOOKUP(L1278,[1]VALIDAÇÃO!$D$13:$E$350,2,0)</f>
        <v>#N/A</v>
      </c>
      <c r="B1278" s="14" t="str">
        <f t="shared" si="240"/>
        <v>160</v>
      </c>
      <c r="C1278" s="15">
        <f t="shared" si="239"/>
        <v>160</v>
      </c>
      <c r="D1278" s="16" t="str">
        <f t="shared" si="241"/>
        <v>160</v>
      </c>
      <c r="E1278" s="17">
        <f t="shared" si="232"/>
        <v>160</v>
      </c>
      <c r="F1278" s="18" t="str">
        <f t="shared" si="242"/>
        <v>160</v>
      </c>
      <c r="G1278" s="18">
        <f t="shared" si="233"/>
        <v>160</v>
      </c>
      <c r="H1278" s="19" t="str">
        <f t="shared" si="243"/>
        <v>160</v>
      </c>
      <c r="I1278" s="19">
        <f t="shared" si="234"/>
        <v>160</v>
      </c>
      <c r="J1278" s="30"/>
      <c r="K1278" s="30"/>
      <c r="L1278" s="30"/>
      <c r="M1278" s="30"/>
      <c r="N1278" s="33"/>
      <c r="O1278" s="30"/>
      <c r="P1278" s="29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  <c r="AJ1278" s="25"/>
      <c r="AK1278" s="30"/>
      <c r="AL1278" s="30"/>
      <c r="AM1278" s="30"/>
      <c r="AN1278" s="30"/>
      <c r="AO1278" s="30"/>
      <c r="AP1278" s="30"/>
      <c r="AQ1278" s="30"/>
      <c r="AR1278" s="30"/>
      <c r="AS1278" s="30"/>
      <c r="AT1278" s="30"/>
      <c r="AU1278" s="30"/>
      <c r="AW1278" s="27">
        <f t="shared" si="235"/>
        <v>1.2780000000000001E-3</v>
      </c>
      <c r="AX1278" s="27">
        <f t="shared" si="236"/>
        <v>1.2780000000000001E-3</v>
      </c>
      <c r="AY1278" s="27">
        <f t="shared" si="237"/>
        <v>1.2780000000000001E-3</v>
      </c>
      <c r="AZ1278" s="27">
        <f t="shared" si="238"/>
        <v>1.2780000000000001E-3</v>
      </c>
    </row>
    <row r="1279" spans="1:52" ht="15" customHeight="1" x14ac:dyDescent="0.25">
      <c r="A1279" s="13" t="e">
        <f>VLOOKUP(L1279,[1]VALIDAÇÃO!$D$13:$E$350,2,0)</f>
        <v>#N/A</v>
      </c>
      <c r="B1279" s="14" t="str">
        <f t="shared" si="240"/>
        <v>159</v>
      </c>
      <c r="C1279" s="15">
        <f t="shared" si="239"/>
        <v>159</v>
      </c>
      <c r="D1279" s="16" t="str">
        <f t="shared" si="241"/>
        <v>159</v>
      </c>
      <c r="E1279" s="17">
        <f t="shared" si="232"/>
        <v>159</v>
      </c>
      <c r="F1279" s="18" t="str">
        <f t="shared" si="242"/>
        <v>159</v>
      </c>
      <c r="G1279" s="18">
        <f t="shared" si="233"/>
        <v>159</v>
      </c>
      <c r="H1279" s="19" t="str">
        <f t="shared" si="243"/>
        <v>159</v>
      </c>
      <c r="I1279" s="19">
        <f t="shared" si="234"/>
        <v>159</v>
      </c>
      <c r="J1279" s="30"/>
      <c r="K1279" s="30"/>
      <c r="L1279" s="30"/>
      <c r="M1279" s="30"/>
      <c r="N1279" s="30"/>
      <c r="O1279" s="30"/>
      <c r="P1279" s="29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  <c r="AJ1279" s="25"/>
      <c r="AK1279" s="30"/>
      <c r="AL1279" s="30"/>
      <c r="AM1279" s="30"/>
      <c r="AN1279" s="30"/>
      <c r="AO1279" s="30"/>
      <c r="AP1279" s="30"/>
      <c r="AQ1279" s="30"/>
      <c r="AR1279" s="30"/>
      <c r="AS1279" s="30"/>
      <c r="AT1279" s="30"/>
      <c r="AU1279" s="30"/>
      <c r="AW1279" s="27">
        <f t="shared" si="235"/>
        <v>1.279E-3</v>
      </c>
      <c r="AX1279" s="27">
        <f t="shared" si="236"/>
        <v>1.279E-3</v>
      </c>
      <c r="AY1279" s="27">
        <f t="shared" si="237"/>
        <v>1.279E-3</v>
      </c>
      <c r="AZ1279" s="27">
        <f t="shared" si="238"/>
        <v>1.279E-3</v>
      </c>
    </row>
    <row r="1280" spans="1:52" ht="15" customHeight="1" x14ac:dyDescent="0.25">
      <c r="A1280" s="13" t="e">
        <f>VLOOKUP(L1280,[1]VALIDAÇÃO!$D$13:$E$350,2,0)</f>
        <v>#N/A</v>
      </c>
      <c r="B1280" s="14" t="str">
        <f t="shared" si="240"/>
        <v>158</v>
      </c>
      <c r="C1280" s="15">
        <f t="shared" si="239"/>
        <v>158</v>
      </c>
      <c r="D1280" s="16" t="str">
        <f t="shared" si="241"/>
        <v>158</v>
      </c>
      <c r="E1280" s="17">
        <f t="shared" si="232"/>
        <v>158</v>
      </c>
      <c r="F1280" s="18" t="str">
        <f t="shared" si="242"/>
        <v>158</v>
      </c>
      <c r="G1280" s="18">
        <f t="shared" si="233"/>
        <v>158</v>
      </c>
      <c r="H1280" s="19" t="str">
        <f t="shared" si="243"/>
        <v>158</v>
      </c>
      <c r="I1280" s="19">
        <f t="shared" si="234"/>
        <v>158</v>
      </c>
      <c r="J1280" s="30"/>
      <c r="K1280" s="30"/>
      <c r="L1280" s="30"/>
      <c r="M1280" s="30"/>
      <c r="N1280" s="30"/>
      <c r="O1280" s="30"/>
      <c r="P1280" s="29"/>
      <c r="Q1280" s="29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  <c r="AJ1280" s="25"/>
      <c r="AK1280" s="30"/>
      <c r="AL1280" s="30"/>
      <c r="AM1280" s="30"/>
      <c r="AN1280" s="30"/>
      <c r="AO1280" s="30"/>
      <c r="AP1280" s="30"/>
      <c r="AQ1280" s="30"/>
      <c r="AR1280" s="30"/>
      <c r="AS1280" s="30"/>
      <c r="AT1280" s="30"/>
      <c r="AU1280" s="30"/>
      <c r="AW1280" s="27">
        <f t="shared" si="235"/>
        <v>1.2800000000000001E-3</v>
      </c>
      <c r="AX1280" s="27">
        <f t="shared" si="236"/>
        <v>1.2800000000000001E-3</v>
      </c>
      <c r="AY1280" s="27">
        <f t="shared" si="237"/>
        <v>1.2800000000000001E-3</v>
      </c>
      <c r="AZ1280" s="27">
        <f t="shared" si="238"/>
        <v>1.2800000000000001E-3</v>
      </c>
    </row>
    <row r="1281" spans="1:52" ht="15" customHeight="1" x14ac:dyDescent="0.25">
      <c r="A1281" s="13" t="e">
        <f>VLOOKUP(L1281,[1]VALIDAÇÃO!$D$13:$E$350,2,0)</f>
        <v>#N/A</v>
      </c>
      <c r="B1281" s="14" t="str">
        <f t="shared" si="240"/>
        <v>157</v>
      </c>
      <c r="C1281" s="15">
        <f t="shared" si="239"/>
        <v>157</v>
      </c>
      <c r="D1281" s="16" t="str">
        <f t="shared" si="241"/>
        <v>157</v>
      </c>
      <c r="E1281" s="17">
        <f t="shared" si="232"/>
        <v>157</v>
      </c>
      <c r="F1281" s="18" t="str">
        <f t="shared" si="242"/>
        <v>157</v>
      </c>
      <c r="G1281" s="18">
        <f t="shared" si="233"/>
        <v>157</v>
      </c>
      <c r="H1281" s="19" t="str">
        <f t="shared" si="243"/>
        <v>157</v>
      </c>
      <c r="I1281" s="19">
        <f t="shared" si="234"/>
        <v>157</v>
      </c>
      <c r="J1281" s="30"/>
      <c r="K1281" s="30"/>
      <c r="L1281" s="30"/>
      <c r="M1281" s="30"/>
      <c r="N1281" s="33"/>
      <c r="O1281" s="30"/>
      <c r="P1281" s="29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  <c r="AJ1281" s="25"/>
      <c r="AK1281" s="30"/>
      <c r="AL1281" s="30"/>
      <c r="AM1281" s="30"/>
      <c r="AN1281" s="30"/>
      <c r="AO1281" s="30"/>
      <c r="AP1281" s="30"/>
      <c r="AQ1281" s="30"/>
      <c r="AR1281" s="30"/>
      <c r="AS1281" s="30"/>
      <c r="AT1281" s="30"/>
      <c r="AU1281" s="30"/>
      <c r="AW1281" s="27">
        <f t="shared" si="235"/>
        <v>1.281E-3</v>
      </c>
      <c r="AX1281" s="27">
        <f t="shared" si="236"/>
        <v>1.281E-3</v>
      </c>
      <c r="AY1281" s="27">
        <f t="shared" si="237"/>
        <v>1.281E-3</v>
      </c>
      <c r="AZ1281" s="27">
        <f t="shared" si="238"/>
        <v>1.281E-3</v>
      </c>
    </row>
    <row r="1282" spans="1:52" ht="15" customHeight="1" x14ac:dyDescent="0.25">
      <c r="A1282" s="13" t="e">
        <f>VLOOKUP(L1282,[1]VALIDAÇÃO!$D$13:$E$350,2,0)</f>
        <v>#N/A</v>
      </c>
      <c r="B1282" s="14" t="str">
        <f t="shared" si="240"/>
        <v>156</v>
      </c>
      <c r="C1282" s="15">
        <f t="shared" si="239"/>
        <v>156</v>
      </c>
      <c r="D1282" s="16" t="str">
        <f t="shared" si="241"/>
        <v>156</v>
      </c>
      <c r="E1282" s="17">
        <f t="shared" ref="E1282:E1345" si="244">1+SUMPRODUCT(($J$2:$J$1437=$J1282)*(AX$2:AX$1437&gt;AX1282))</f>
        <v>156</v>
      </c>
      <c r="F1282" s="18" t="str">
        <f t="shared" si="242"/>
        <v>156</v>
      </c>
      <c r="G1282" s="18">
        <f t="shared" ref="G1282:G1345" si="245">1+SUMPRODUCT(($J$2:$J$1437=$J1282)*(AY$2:AY$1437&gt;AY1282))</f>
        <v>156</v>
      </c>
      <c r="H1282" s="19" t="str">
        <f t="shared" si="243"/>
        <v>156</v>
      </c>
      <c r="I1282" s="19">
        <f t="shared" ref="I1282:I1345" si="246">1+SUMPRODUCT(($J$2:$J$1437=$J1282)*(AZ$2:AZ$1437&gt;AZ1282))</f>
        <v>156</v>
      </c>
      <c r="J1282" s="30"/>
      <c r="K1282" s="30"/>
      <c r="L1282" s="30"/>
      <c r="M1282" s="30"/>
      <c r="N1282" s="33"/>
      <c r="O1282" s="30"/>
      <c r="P1282" s="29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  <c r="AJ1282" s="25"/>
      <c r="AK1282" s="30"/>
      <c r="AL1282" s="30"/>
      <c r="AM1282" s="30"/>
      <c r="AN1282" s="30"/>
      <c r="AO1282" s="30"/>
      <c r="AP1282" s="30"/>
      <c r="AQ1282" s="30"/>
      <c r="AR1282" s="30"/>
      <c r="AS1282" s="30"/>
      <c r="AT1282" s="30"/>
      <c r="AU1282" s="30"/>
      <c r="AW1282" s="27">
        <f t="shared" ref="AW1282:AW1345" si="247">AJ1282+ROW(C1282)/1000000</f>
        <v>1.2819999999999999E-3</v>
      </c>
      <c r="AX1282" s="27">
        <f t="shared" ref="AX1282:AX1345" si="248">AD1282+ROW(C1282)/1000000</f>
        <v>1.2819999999999999E-3</v>
      </c>
      <c r="AY1282" s="27">
        <f t="shared" ref="AY1282:AY1345" si="249">AB1282+ROW(A1282)/1000000</f>
        <v>1.2819999999999999E-3</v>
      </c>
      <c r="AZ1282" s="27">
        <f t="shared" ref="AZ1282:AZ1345" si="250">AP1282+ROW(A1282)/1000000</f>
        <v>1.2819999999999999E-3</v>
      </c>
    </row>
    <row r="1283" spans="1:52" ht="15" customHeight="1" x14ac:dyDescent="0.25">
      <c r="A1283" s="13" t="e">
        <f>VLOOKUP(L1283,[1]VALIDAÇÃO!$D$13:$E$350,2,0)</f>
        <v>#N/A</v>
      </c>
      <c r="B1283" s="14" t="str">
        <f t="shared" si="240"/>
        <v>155</v>
      </c>
      <c r="C1283" s="15">
        <f t="shared" ref="C1283:C1346" si="251">1+SUMPRODUCT(($J$2:$J$1437=J1283)*($AW$2:$AW$1437&gt;AW1283))</f>
        <v>155</v>
      </c>
      <c r="D1283" s="16" t="str">
        <f t="shared" si="241"/>
        <v>155</v>
      </c>
      <c r="E1283" s="17">
        <f t="shared" si="244"/>
        <v>155</v>
      </c>
      <c r="F1283" s="18" t="str">
        <f t="shared" si="242"/>
        <v>155</v>
      </c>
      <c r="G1283" s="18">
        <f t="shared" si="245"/>
        <v>155</v>
      </c>
      <c r="H1283" s="19" t="str">
        <f t="shared" si="243"/>
        <v>155</v>
      </c>
      <c r="I1283" s="19">
        <f t="shared" si="246"/>
        <v>155</v>
      </c>
      <c r="J1283" s="30"/>
      <c r="K1283" s="30"/>
      <c r="L1283" s="30"/>
      <c r="M1283" s="30"/>
      <c r="N1283" s="33"/>
      <c r="O1283" s="30"/>
      <c r="P1283" s="29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  <c r="AJ1283" s="25"/>
      <c r="AK1283" s="30"/>
      <c r="AL1283" s="30"/>
      <c r="AM1283" s="30"/>
      <c r="AN1283" s="30"/>
      <c r="AO1283" s="30"/>
      <c r="AP1283" s="30"/>
      <c r="AQ1283" s="30"/>
      <c r="AR1283" s="30"/>
      <c r="AS1283" s="30"/>
      <c r="AT1283" s="30"/>
      <c r="AU1283" s="30"/>
      <c r="AW1283" s="27">
        <f t="shared" si="247"/>
        <v>1.2830000000000001E-3</v>
      </c>
      <c r="AX1283" s="27">
        <f t="shared" si="248"/>
        <v>1.2830000000000001E-3</v>
      </c>
      <c r="AY1283" s="27">
        <f t="shared" si="249"/>
        <v>1.2830000000000001E-3</v>
      </c>
      <c r="AZ1283" s="27">
        <f t="shared" si="250"/>
        <v>1.2830000000000001E-3</v>
      </c>
    </row>
    <row r="1284" spans="1:52" ht="15" customHeight="1" x14ac:dyDescent="0.25">
      <c r="A1284" s="13" t="e">
        <f>VLOOKUP(L1284,[1]VALIDAÇÃO!$D$13:$E$350,2,0)</f>
        <v>#N/A</v>
      </c>
      <c r="B1284" s="14" t="str">
        <f t="shared" si="240"/>
        <v>154</v>
      </c>
      <c r="C1284" s="15">
        <f t="shared" si="251"/>
        <v>154</v>
      </c>
      <c r="D1284" s="16" t="str">
        <f t="shared" si="241"/>
        <v>154</v>
      </c>
      <c r="E1284" s="17">
        <f t="shared" si="244"/>
        <v>154</v>
      </c>
      <c r="F1284" s="18" t="str">
        <f t="shared" si="242"/>
        <v>154</v>
      </c>
      <c r="G1284" s="18">
        <f t="shared" si="245"/>
        <v>154</v>
      </c>
      <c r="H1284" s="19" t="str">
        <f t="shared" si="243"/>
        <v>154</v>
      </c>
      <c r="I1284" s="19">
        <f t="shared" si="246"/>
        <v>154</v>
      </c>
      <c r="J1284" s="30"/>
      <c r="K1284" s="30"/>
      <c r="L1284" s="30"/>
      <c r="M1284" s="30"/>
      <c r="N1284" s="30"/>
      <c r="O1284" s="30"/>
      <c r="P1284" s="29"/>
      <c r="Q1284" s="29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  <c r="AJ1284" s="25"/>
      <c r="AK1284" s="30"/>
      <c r="AL1284" s="30"/>
      <c r="AM1284" s="30"/>
      <c r="AN1284" s="30"/>
      <c r="AO1284" s="30"/>
      <c r="AP1284" s="30"/>
      <c r="AQ1284" s="30"/>
      <c r="AR1284" s="30"/>
      <c r="AS1284" s="30"/>
      <c r="AT1284" s="30"/>
      <c r="AU1284" s="30"/>
      <c r="AW1284" s="27">
        <f t="shared" si="247"/>
        <v>1.284E-3</v>
      </c>
      <c r="AX1284" s="27">
        <f t="shared" si="248"/>
        <v>1.284E-3</v>
      </c>
      <c r="AY1284" s="27">
        <f t="shared" si="249"/>
        <v>1.284E-3</v>
      </c>
      <c r="AZ1284" s="27">
        <f t="shared" si="250"/>
        <v>1.284E-3</v>
      </c>
    </row>
    <row r="1285" spans="1:52" ht="15" customHeight="1" x14ac:dyDescent="0.25">
      <c r="A1285" s="13" t="e">
        <f>VLOOKUP(L1285,[1]VALIDAÇÃO!$D$13:$E$350,2,0)</f>
        <v>#N/A</v>
      </c>
      <c r="B1285" s="14" t="str">
        <f t="shared" si="240"/>
        <v>153</v>
      </c>
      <c r="C1285" s="15">
        <f t="shared" si="251"/>
        <v>153</v>
      </c>
      <c r="D1285" s="16" t="str">
        <f t="shared" si="241"/>
        <v>153</v>
      </c>
      <c r="E1285" s="17">
        <f t="shared" si="244"/>
        <v>153</v>
      </c>
      <c r="F1285" s="18" t="str">
        <f t="shared" si="242"/>
        <v>153</v>
      </c>
      <c r="G1285" s="18">
        <f t="shared" si="245"/>
        <v>153</v>
      </c>
      <c r="H1285" s="19" t="str">
        <f t="shared" si="243"/>
        <v>153</v>
      </c>
      <c r="I1285" s="19">
        <f t="shared" si="246"/>
        <v>153</v>
      </c>
      <c r="J1285" s="30"/>
      <c r="K1285" s="30"/>
      <c r="L1285" s="30"/>
      <c r="M1285" s="30"/>
      <c r="N1285" s="30"/>
      <c r="O1285" s="30"/>
      <c r="P1285" s="29"/>
      <c r="Q1285" s="29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  <c r="AJ1285" s="25"/>
      <c r="AK1285" s="30"/>
      <c r="AL1285" s="30"/>
      <c r="AM1285" s="30"/>
      <c r="AN1285" s="30"/>
      <c r="AO1285" s="30"/>
      <c r="AP1285" s="30"/>
      <c r="AQ1285" s="30"/>
      <c r="AR1285" s="30"/>
      <c r="AS1285" s="30"/>
      <c r="AT1285" s="30"/>
      <c r="AU1285" s="30"/>
      <c r="AW1285" s="27">
        <f t="shared" si="247"/>
        <v>1.2849999999999999E-3</v>
      </c>
      <c r="AX1285" s="27">
        <f t="shared" si="248"/>
        <v>1.2849999999999999E-3</v>
      </c>
      <c r="AY1285" s="27">
        <f t="shared" si="249"/>
        <v>1.2849999999999999E-3</v>
      </c>
      <c r="AZ1285" s="27">
        <f t="shared" si="250"/>
        <v>1.2849999999999999E-3</v>
      </c>
    </row>
    <row r="1286" spans="1:52" ht="15" customHeight="1" x14ac:dyDescent="0.25">
      <c r="A1286" s="13" t="e">
        <f>VLOOKUP(L1286,[1]VALIDAÇÃO!$D$13:$E$350,2,0)</f>
        <v>#N/A</v>
      </c>
      <c r="B1286" s="14" t="str">
        <f t="shared" si="240"/>
        <v>152</v>
      </c>
      <c r="C1286" s="15">
        <f t="shared" si="251"/>
        <v>152</v>
      </c>
      <c r="D1286" s="16" t="str">
        <f t="shared" si="241"/>
        <v>152</v>
      </c>
      <c r="E1286" s="17">
        <f t="shared" si="244"/>
        <v>152</v>
      </c>
      <c r="F1286" s="18" t="str">
        <f t="shared" si="242"/>
        <v>152</v>
      </c>
      <c r="G1286" s="18">
        <f t="shared" si="245"/>
        <v>152</v>
      </c>
      <c r="H1286" s="19" t="str">
        <f t="shared" si="243"/>
        <v>152</v>
      </c>
      <c r="I1286" s="19">
        <f t="shared" si="246"/>
        <v>152</v>
      </c>
      <c r="J1286" s="30"/>
      <c r="K1286" s="30"/>
      <c r="L1286" s="30"/>
      <c r="M1286" s="30"/>
      <c r="N1286" s="33"/>
      <c r="O1286" s="30"/>
      <c r="P1286" s="29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  <c r="AJ1286" s="25"/>
      <c r="AK1286" s="30"/>
      <c r="AL1286" s="30"/>
      <c r="AM1286" s="30"/>
      <c r="AN1286" s="30"/>
      <c r="AO1286" s="30"/>
      <c r="AP1286" s="30"/>
      <c r="AQ1286" s="30"/>
      <c r="AR1286" s="30"/>
      <c r="AS1286" s="30"/>
      <c r="AT1286" s="30"/>
      <c r="AU1286" s="30"/>
      <c r="AW1286" s="27">
        <f t="shared" si="247"/>
        <v>1.286E-3</v>
      </c>
      <c r="AX1286" s="27">
        <f t="shared" si="248"/>
        <v>1.286E-3</v>
      </c>
      <c r="AY1286" s="27">
        <f t="shared" si="249"/>
        <v>1.286E-3</v>
      </c>
      <c r="AZ1286" s="27">
        <f t="shared" si="250"/>
        <v>1.286E-3</v>
      </c>
    </row>
    <row r="1287" spans="1:52" ht="15" customHeight="1" x14ac:dyDescent="0.25">
      <c r="A1287" s="13" t="e">
        <f>VLOOKUP(L1287,[1]VALIDAÇÃO!$D$13:$E$350,2,0)</f>
        <v>#N/A</v>
      </c>
      <c r="B1287" s="14" t="str">
        <f t="shared" si="240"/>
        <v>151</v>
      </c>
      <c r="C1287" s="15">
        <f t="shared" si="251"/>
        <v>151</v>
      </c>
      <c r="D1287" s="16" t="str">
        <f t="shared" si="241"/>
        <v>151</v>
      </c>
      <c r="E1287" s="17">
        <f t="shared" si="244"/>
        <v>151</v>
      </c>
      <c r="F1287" s="18" t="str">
        <f t="shared" si="242"/>
        <v>151</v>
      </c>
      <c r="G1287" s="18">
        <f t="shared" si="245"/>
        <v>151</v>
      </c>
      <c r="H1287" s="19" t="str">
        <f t="shared" si="243"/>
        <v>151</v>
      </c>
      <c r="I1287" s="19">
        <f t="shared" si="246"/>
        <v>151</v>
      </c>
      <c r="J1287" s="30"/>
      <c r="K1287" s="30"/>
      <c r="L1287" s="30"/>
      <c r="M1287" s="30"/>
      <c r="N1287" s="33"/>
      <c r="O1287" s="30"/>
      <c r="P1287" s="29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c r="AJ1287" s="25"/>
      <c r="AK1287" s="30"/>
      <c r="AL1287" s="30"/>
      <c r="AM1287" s="30"/>
      <c r="AN1287" s="30"/>
      <c r="AO1287" s="30"/>
      <c r="AP1287" s="30"/>
      <c r="AQ1287" s="30"/>
      <c r="AR1287" s="30"/>
      <c r="AS1287" s="30"/>
      <c r="AT1287" s="30"/>
      <c r="AU1287" s="30"/>
      <c r="AW1287" s="27">
        <f t="shared" si="247"/>
        <v>1.2869999999999999E-3</v>
      </c>
      <c r="AX1287" s="27">
        <f t="shared" si="248"/>
        <v>1.2869999999999999E-3</v>
      </c>
      <c r="AY1287" s="27">
        <f t="shared" si="249"/>
        <v>1.2869999999999999E-3</v>
      </c>
      <c r="AZ1287" s="27">
        <f t="shared" si="250"/>
        <v>1.2869999999999999E-3</v>
      </c>
    </row>
    <row r="1288" spans="1:52" ht="15" customHeight="1" x14ac:dyDescent="0.25">
      <c r="A1288" s="13" t="e">
        <f>VLOOKUP(L1288,[1]VALIDAÇÃO!$D$13:$E$350,2,0)</f>
        <v>#N/A</v>
      </c>
      <c r="B1288" s="14" t="str">
        <f t="shared" si="240"/>
        <v>150</v>
      </c>
      <c r="C1288" s="15">
        <f t="shared" si="251"/>
        <v>150</v>
      </c>
      <c r="D1288" s="16" t="str">
        <f t="shared" si="241"/>
        <v>150</v>
      </c>
      <c r="E1288" s="17">
        <f t="shared" si="244"/>
        <v>150</v>
      </c>
      <c r="F1288" s="18" t="str">
        <f t="shared" si="242"/>
        <v>150</v>
      </c>
      <c r="G1288" s="18">
        <f t="shared" si="245"/>
        <v>150</v>
      </c>
      <c r="H1288" s="19" t="str">
        <f t="shared" si="243"/>
        <v>150</v>
      </c>
      <c r="I1288" s="19">
        <f t="shared" si="246"/>
        <v>150</v>
      </c>
      <c r="J1288" s="30"/>
      <c r="K1288" s="30"/>
      <c r="L1288" s="30"/>
      <c r="M1288" s="30"/>
      <c r="N1288" s="33"/>
      <c r="O1288" s="30"/>
      <c r="P1288" s="29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c r="AJ1288" s="25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0"/>
      <c r="AW1288" s="27">
        <f t="shared" si="247"/>
        <v>1.2880000000000001E-3</v>
      </c>
      <c r="AX1288" s="27">
        <f t="shared" si="248"/>
        <v>1.2880000000000001E-3</v>
      </c>
      <c r="AY1288" s="27">
        <f t="shared" si="249"/>
        <v>1.2880000000000001E-3</v>
      </c>
      <c r="AZ1288" s="27">
        <f t="shared" si="250"/>
        <v>1.2880000000000001E-3</v>
      </c>
    </row>
    <row r="1289" spans="1:52" ht="15" customHeight="1" x14ac:dyDescent="0.25">
      <c r="A1289" s="13" t="e">
        <f>VLOOKUP(L1289,[1]VALIDAÇÃO!$D$13:$E$350,2,0)</f>
        <v>#N/A</v>
      </c>
      <c r="B1289" s="14" t="str">
        <f t="shared" si="240"/>
        <v>149</v>
      </c>
      <c r="C1289" s="15">
        <f t="shared" si="251"/>
        <v>149</v>
      </c>
      <c r="D1289" s="16" t="str">
        <f t="shared" si="241"/>
        <v>149</v>
      </c>
      <c r="E1289" s="17">
        <f t="shared" si="244"/>
        <v>149</v>
      </c>
      <c r="F1289" s="18" t="str">
        <f t="shared" si="242"/>
        <v>149</v>
      </c>
      <c r="G1289" s="18">
        <f t="shared" si="245"/>
        <v>149</v>
      </c>
      <c r="H1289" s="19" t="str">
        <f t="shared" si="243"/>
        <v>149</v>
      </c>
      <c r="I1289" s="19">
        <f t="shared" si="246"/>
        <v>149</v>
      </c>
      <c r="J1289" s="30"/>
      <c r="K1289" s="30"/>
      <c r="L1289" s="30"/>
      <c r="M1289" s="30"/>
      <c r="N1289" s="33"/>
      <c r="O1289" s="30"/>
      <c r="P1289" s="29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c r="AJ1289" s="25"/>
      <c r="AK1289" s="30"/>
      <c r="AL1289" s="30"/>
      <c r="AM1289" s="30"/>
      <c r="AN1289" s="30"/>
      <c r="AO1289" s="30"/>
      <c r="AP1289" s="30"/>
      <c r="AQ1289" s="30"/>
      <c r="AR1289" s="30"/>
      <c r="AS1289" s="30"/>
      <c r="AT1289" s="30"/>
      <c r="AU1289" s="30"/>
      <c r="AW1289" s="27">
        <f t="shared" si="247"/>
        <v>1.289E-3</v>
      </c>
      <c r="AX1289" s="27">
        <f t="shared" si="248"/>
        <v>1.289E-3</v>
      </c>
      <c r="AY1289" s="27">
        <f t="shared" si="249"/>
        <v>1.289E-3</v>
      </c>
      <c r="AZ1289" s="27">
        <f t="shared" si="250"/>
        <v>1.289E-3</v>
      </c>
    </row>
    <row r="1290" spans="1:52" ht="15" customHeight="1" x14ac:dyDescent="0.25">
      <c r="A1290" s="13" t="e">
        <f>VLOOKUP(L1290,[1]VALIDAÇÃO!$D$13:$E$350,2,0)</f>
        <v>#N/A</v>
      </c>
      <c r="B1290" s="14" t="str">
        <f t="shared" si="240"/>
        <v>148</v>
      </c>
      <c r="C1290" s="15">
        <f t="shared" si="251"/>
        <v>148</v>
      </c>
      <c r="D1290" s="16" t="str">
        <f t="shared" si="241"/>
        <v>148</v>
      </c>
      <c r="E1290" s="17">
        <f t="shared" si="244"/>
        <v>148</v>
      </c>
      <c r="F1290" s="18" t="str">
        <f t="shared" si="242"/>
        <v>148</v>
      </c>
      <c r="G1290" s="18">
        <f t="shared" si="245"/>
        <v>148</v>
      </c>
      <c r="H1290" s="19" t="str">
        <f t="shared" si="243"/>
        <v>148</v>
      </c>
      <c r="I1290" s="19">
        <f t="shared" si="246"/>
        <v>148</v>
      </c>
      <c r="J1290" s="30"/>
      <c r="K1290" s="30"/>
      <c r="L1290" s="30"/>
      <c r="M1290" s="30"/>
      <c r="N1290" s="30"/>
      <c r="O1290" s="30"/>
      <c r="P1290" s="29"/>
      <c r="Q1290" s="29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c r="AJ1290" s="25"/>
      <c r="AK1290" s="30"/>
      <c r="AL1290" s="30"/>
      <c r="AM1290" s="30"/>
      <c r="AN1290" s="30"/>
      <c r="AO1290" s="30"/>
      <c r="AP1290" s="30"/>
      <c r="AQ1290" s="30"/>
      <c r="AR1290" s="30"/>
      <c r="AS1290" s="30"/>
      <c r="AT1290" s="30"/>
      <c r="AU1290" s="30"/>
      <c r="AW1290" s="27">
        <f t="shared" si="247"/>
        <v>1.2899999999999999E-3</v>
      </c>
      <c r="AX1290" s="27">
        <f t="shared" si="248"/>
        <v>1.2899999999999999E-3</v>
      </c>
      <c r="AY1290" s="27">
        <f t="shared" si="249"/>
        <v>1.2899999999999999E-3</v>
      </c>
      <c r="AZ1290" s="27">
        <f t="shared" si="250"/>
        <v>1.2899999999999999E-3</v>
      </c>
    </row>
    <row r="1291" spans="1:52" ht="15" customHeight="1" x14ac:dyDescent="0.25">
      <c r="A1291" s="13" t="e">
        <f>VLOOKUP(L1291,[1]VALIDAÇÃO!$D$13:$E$350,2,0)</f>
        <v>#N/A</v>
      </c>
      <c r="B1291" s="14" t="str">
        <f t="shared" si="240"/>
        <v>147</v>
      </c>
      <c r="C1291" s="15">
        <f t="shared" si="251"/>
        <v>147</v>
      </c>
      <c r="D1291" s="16" t="str">
        <f t="shared" si="241"/>
        <v>147</v>
      </c>
      <c r="E1291" s="17">
        <f t="shared" si="244"/>
        <v>147</v>
      </c>
      <c r="F1291" s="18" t="str">
        <f t="shared" si="242"/>
        <v>147</v>
      </c>
      <c r="G1291" s="18">
        <f t="shared" si="245"/>
        <v>147</v>
      </c>
      <c r="H1291" s="19" t="str">
        <f t="shared" si="243"/>
        <v>147</v>
      </c>
      <c r="I1291" s="19">
        <f t="shared" si="246"/>
        <v>147</v>
      </c>
      <c r="J1291" s="30"/>
      <c r="K1291" s="30"/>
      <c r="L1291" s="30"/>
      <c r="M1291" s="30"/>
      <c r="N1291" s="33"/>
      <c r="O1291" s="30"/>
      <c r="P1291" s="29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c r="AJ1291" s="25"/>
      <c r="AK1291" s="30"/>
      <c r="AL1291" s="30"/>
      <c r="AM1291" s="30"/>
      <c r="AN1291" s="30"/>
      <c r="AO1291" s="30"/>
      <c r="AP1291" s="30"/>
      <c r="AQ1291" s="30"/>
      <c r="AR1291" s="30"/>
      <c r="AS1291" s="30"/>
      <c r="AT1291" s="30"/>
      <c r="AU1291" s="30"/>
      <c r="AW1291" s="27">
        <f t="shared" si="247"/>
        <v>1.291E-3</v>
      </c>
      <c r="AX1291" s="27">
        <f t="shared" si="248"/>
        <v>1.291E-3</v>
      </c>
      <c r="AY1291" s="27">
        <f t="shared" si="249"/>
        <v>1.291E-3</v>
      </c>
      <c r="AZ1291" s="27">
        <f t="shared" si="250"/>
        <v>1.291E-3</v>
      </c>
    </row>
    <row r="1292" spans="1:52" ht="15" customHeight="1" x14ac:dyDescent="0.25">
      <c r="A1292" s="13" t="e">
        <f>VLOOKUP(L1292,[1]VALIDAÇÃO!$D$13:$E$350,2,0)</f>
        <v>#N/A</v>
      </c>
      <c r="B1292" s="14" t="str">
        <f t="shared" si="240"/>
        <v>146</v>
      </c>
      <c r="C1292" s="15">
        <f t="shared" si="251"/>
        <v>146</v>
      </c>
      <c r="D1292" s="16" t="str">
        <f t="shared" si="241"/>
        <v>146</v>
      </c>
      <c r="E1292" s="17">
        <f t="shared" si="244"/>
        <v>146</v>
      </c>
      <c r="F1292" s="18" t="str">
        <f t="shared" si="242"/>
        <v>146</v>
      </c>
      <c r="G1292" s="18">
        <f t="shared" si="245"/>
        <v>146</v>
      </c>
      <c r="H1292" s="19" t="str">
        <f t="shared" si="243"/>
        <v>146</v>
      </c>
      <c r="I1292" s="19">
        <f t="shared" si="246"/>
        <v>146</v>
      </c>
      <c r="J1292" s="30"/>
      <c r="K1292" s="30"/>
      <c r="L1292" s="30"/>
      <c r="M1292" s="30"/>
      <c r="N1292" s="30"/>
      <c r="O1292" s="30"/>
      <c r="P1292" s="29"/>
      <c r="Q1292" s="29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c r="AJ1292" s="25"/>
      <c r="AK1292" s="30"/>
      <c r="AL1292" s="30"/>
      <c r="AM1292" s="30"/>
      <c r="AN1292" s="30"/>
      <c r="AO1292" s="30"/>
      <c r="AP1292" s="30"/>
      <c r="AQ1292" s="30"/>
      <c r="AR1292" s="30"/>
      <c r="AS1292" s="30"/>
      <c r="AT1292" s="30"/>
      <c r="AU1292" s="30"/>
      <c r="AW1292" s="27">
        <f t="shared" si="247"/>
        <v>1.292E-3</v>
      </c>
      <c r="AX1292" s="27">
        <f t="shared" si="248"/>
        <v>1.292E-3</v>
      </c>
      <c r="AY1292" s="27">
        <f t="shared" si="249"/>
        <v>1.292E-3</v>
      </c>
      <c r="AZ1292" s="27">
        <f t="shared" si="250"/>
        <v>1.292E-3</v>
      </c>
    </row>
    <row r="1293" spans="1:52" ht="15" customHeight="1" x14ac:dyDescent="0.25">
      <c r="A1293" s="13" t="e">
        <f>VLOOKUP(L1293,[1]VALIDAÇÃO!$D$13:$E$350,2,0)</f>
        <v>#N/A</v>
      </c>
      <c r="B1293" s="14" t="str">
        <f t="shared" si="240"/>
        <v>145</v>
      </c>
      <c r="C1293" s="15">
        <f t="shared" si="251"/>
        <v>145</v>
      </c>
      <c r="D1293" s="16" t="str">
        <f t="shared" si="241"/>
        <v>145</v>
      </c>
      <c r="E1293" s="17">
        <f t="shared" si="244"/>
        <v>145</v>
      </c>
      <c r="F1293" s="18" t="str">
        <f t="shared" si="242"/>
        <v>145</v>
      </c>
      <c r="G1293" s="18">
        <f t="shared" si="245"/>
        <v>145</v>
      </c>
      <c r="H1293" s="19" t="str">
        <f t="shared" si="243"/>
        <v>145</v>
      </c>
      <c r="I1293" s="19">
        <f t="shared" si="246"/>
        <v>145</v>
      </c>
      <c r="J1293" s="30"/>
      <c r="K1293" s="30"/>
      <c r="L1293" s="30"/>
      <c r="M1293" s="30"/>
      <c r="N1293" s="33"/>
      <c r="O1293" s="30"/>
      <c r="P1293" s="29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c r="AJ1293" s="25"/>
      <c r="AK1293" s="30"/>
      <c r="AL1293" s="30"/>
      <c r="AM1293" s="30"/>
      <c r="AN1293" s="30"/>
      <c r="AO1293" s="30"/>
      <c r="AP1293" s="30"/>
      <c r="AQ1293" s="30"/>
      <c r="AR1293" s="30"/>
      <c r="AS1293" s="30"/>
      <c r="AT1293" s="30"/>
      <c r="AU1293" s="30"/>
      <c r="AW1293" s="27">
        <f t="shared" si="247"/>
        <v>1.2930000000000001E-3</v>
      </c>
      <c r="AX1293" s="27">
        <f t="shared" si="248"/>
        <v>1.2930000000000001E-3</v>
      </c>
      <c r="AY1293" s="27">
        <f t="shared" si="249"/>
        <v>1.2930000000000001E-3</v>
      </c>
      <c r="AZ1293" s="27">
        <f t="shared" si="250"/>
        <v>1.2930000000000001E-3</v>
      </c>
    </row>
    <row r="1294" spans="1:52" ht="15" customHeight="1" x14ac:dyDescent="0.25">
      <c r="A1294" s="13" t="e">
        <f>VLOOKUP(L1294,[1]VALIDAÇÃO!$D$13:$E$350,2,0)</f>
        <v>#N/A</v>
      </c>
      <c r="B1294" s="14" t="str">
        <f t="shared" si="240"/>
        <v>144</v>
      </c>
      <c r="C1294" s="15">
        <f t="shared" si="251"/>
        <v>144</v>
      </c>
      <c r="D1294" s="16" t="str">
        <f t="shared" si="241"/>
        <v>144</v>
      </c>
      <c r="E1294" s="17">
        <f t="shared" si="244"/>
        <v>144</v>
      </c>
      <c r="F1294" s="18" t="str">
        <f t="shared" si="242"/>
        <v>144</v>
      </c>
      <c r="G1294" s="18">
        <f t="shared" si="245"/>
        <v>144</v>
      </c>
      <c r="H1294" s="19" t="str">
        <f t="shared" si="243"/>
        <v>144</v>
      </c>
      <c r="I1294" s="19">
        <f t="shared" si="246"/>
        <v>144</v>
      </c>
      <c r="J1294" s="30"/>
      <c r="K1294" s="30"/>
      <c r="L1294" s="30"/>
      <c r="M1294" s="30"/>
      <c r="N1294" s="33"/>
      <c r="O1294" s="30"/>
      <c r="P1294" s="29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25"/>
      <c r="AK1294" s="30"/>
      <c r="AL1294" s="30"/>
      <c r="AM1294" s="30"/>
      <c r="AN1294" s="30"/>
      <c r="AO1294" s="30"/>
      <c r="AP1294" s="30"/>
      <c r="AQ1294" s="30"/>
      <c r="AR1294" s="30"/>
      <c r="AS1294" s="30"/>
      <c r="AT1294" s="30"/>
      <c r="AU1294" s="30"/>
      <c r="AW1294" s="27">
        <f t="shared" si="247"/>
        <v>1.294E-3</v>
      </c>
      <c r="AX1294" s="27">
        <f t="shared" si="248"/>
        <v>1.294E-3</v>
      </c>
      <c r="AY1294" s="27">
        <f t="shared" si="249"/>
        <v>1.294E-3</v>
      </c>
      <c r="AZ1294" s="27">
        <f t="shared" si="250"/>
        <v>1.294E-3</v>
      </c>
    </row>
    <row r="1295" spans="1:52" ht="15" customHeight="1" x14ac:dyDescent="0.25">
      <c r="A1295" s="13" t="e">
        <f>VLOOKUP(L1295,[1]VALIDAÇÃO!$D$13:$E$350,2,0)</f>
        <v>#N/A</v>
      </c>
      <c r="B1295" s="14" t="str">
        <f t="shared" si="240"/>
        <v>143</v>
      </c>
      <c r="C1295" s="15">
        <f t="shared" si="251"/>
        <v>143</v>
      </c>
      <c r="D1295" s="16" t="str">
        <f t="shared" si="241"/>
        <v>143</v>
      </c>
      <c r="E1295" s="17">
        <f t="shared" si="244"/>
        <v>143</v>
      </c>
      <c r="F1295" s="18" t="str">
        <f t="shared" si="242"/>
        <v>143</v>
      </c>
      <c r="G1295" s="18">
        <f t="shared" si="245"/>
        <v>143</v>
      </c>
      <c r="H1295" s="19" t="str">
        <f t="shared" si="243"/>
        <v>143</v>
      </c>
      <c r="I1295" s="19">
        <f t="shared" si="246"/>
        <v>143</v>
      </c>
      <c r="J1295" s="30"/>
      <c r="K1295" s="30"/>
      <c r="L1295" s="30"/>
      <c r="M1295" s="30"/>
      <c r="N1295" s="33"/>
      <c r="O1295" s="30"/>
      <c r="P1295" s="29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c r="AJ1295" s="25"/>
      <c r="AK1295" s="30"/>
      <c r="AL1295" s="30"/>
      <c r="AM1295" s="30"/>
      <c r="AN1295" s="30"/>
      <c r="AO1295" s="30"/>
      <c r="AP1295" s="30"/>
      <c r="AQ1295" s="30"/>
      <c r="AR1295" s="30"/>
      <c r="AS1295" s="30"/>
      <c r="AT1295" s="30"/>
      <c r="AU1295" s="30"/>
      <c r="AW1295" s="27">
        <f t="shared" si="247"/>
        <v>1.2949999999999999E-3</v>
      </c>
      <c r="AX1295" s="27">
        <f t="shared" si="248"/>
        <v>1.2949999999999999E-3</v>
      </c>
      <c r="AY1295" s="27">
        <f t="shared" si="249"/>
        <v>1.2949999999999999E-3</v>
      </c>
      <c r="AZ1295" s="27">
        <f t="shared" si="250"/>
        <v>1.2949999999999999E-3</v>
      </c>
    </row>
    <row r="1296" spans="1:52" ht="15" customHeight="1" x14ac:dyDescent="0.25">
      <c r="A1296" s="13" t="e">
        <f>VLOOKUP(L1296,[1]VALIDAÇÃO!$D$13:$E$350,2,0)</f>
        <v>#N/A</v>
      </c>
      <c r="B1296" s="14" t="str">
        <f t="shared" si="240"/>
        <v>142</v>
      </c>
      <c r="C1296" s="15">
        <f t="shared" si="251"/>
        <v>142</v>
      </c>
      <c r="D1296" s="16" t="str">
        <f t="shared" si="241"/>
        <v>142</v>
      </c>
      <c r="E1296" s="17">
        <f t="shared" si="244"/>
        <v>142</v>
      </c>
      <c r="F1296" s="18" t="str">
        <f t="shared" si="242"/>
        <v>142</v>
      </c>
      <c r="G1296" s="18">
        <f t="shared" si="245"/>
        <v>142</v>
      </c>
      <c r="H1296" s="19" t="str">
        <f t="shared" si="243"/>
        <v>142</v>
      </c>
      <c r="I1296" s="19">
        <f t="shared" si="246"/>
        <v>142</v>
      </c>
      <c r="J1296" s="30"/>
      <c r="K1296" s="30"/>
      <c r="L1296" s="30"/>
      <c r="M1296" s="30"/>
      <c r="N1296" s="30"/>
      <c r="O1296" s="30"/>
      <c r="P1296" s="29"/>
      <c r="Q1296" s="29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c r="AJ1296" s="25"/>
      <c r="AK1296" s="30"/>
      <c r="AL1296" s="30"/>
      <c r="AM1296" s="30"/>
      <c r="AN1296" s="30"/>
      <c r="AO1296" s="30"/>
      <c r="AP1296" s="30"/>
      <c r="AQ1296" s="30"/>
      <c r="AR1296" s="30"/>
      <c r="AS1296" s="30"/>
      <c r="AT1296" s="30"/>
      <c r="AU1296" s="30"/>
      <c r="AW1296" s="27">
        <f t="shared" si="247"/>
        <v>1.2960000000000001E-3</v>
      </c>
      <c r="AX1296" s="27">
        <f t="shared" si="248"/>
        <v>1.2960000000000001E-3</v>
      </c>
      <c r="AY1296" s="27">
        <f t="shared" si="249"/>
        <v>1.2960000000000001E-3</v>
      </c>
      <c r="AZ1296" s="27">
        <f t="shared" si="250"/>
        <v>1.2960000000000001E-3</v>
      </c>
    </row>
    <row r="1297" spans="1:52" ht="15" customHeight="1" x14ac:dyDescent="0.25">
      <c r="A1297" s="13" t="e">
        <f>VLOOKUP(L1297,[1]VALIDAÇÃO!$D$13:$E$350,2,0)</f>
        <v>#N/A</v>
      </c>
      <c r="B1297" s="14" t="str">
        <f t="shared" si="240"/>
        <v>141</v>
      </c>
      <c r="C1297" s="15">
        <f t="shared" si="251"/>
        <v>141</v>
      </c>
      <c r="D1297" s="16" t="str">
        <f t="shared" si="241"/>
        <v>141</v>
      </c>
      <c r="E1297" s="17">
        <f t="shared" si="244"/>
        <v>141</v>
      </c>
      <c r="F1297" s="18" t="str">
        <f t="shared" si="242"/>
        <v>141</v>
      </c>
      <c r="G1297" s="18">
        <f t="shared" si="245"/>
        <v>141</v>
      </c>
      <c r="H1297" s="19" t="str">
        <f t="shared" si="243"/>
        <v>141</v>
      </c>
      <c r="I1297" s="19">
        <f t="shared" si="246"/>
        <v>141</v>
      </c>
      <c r="J1297" s="30"/>
      <c r="K1297" s="30"/>
      <c r="L1297" s="30"/>
      <c r="M1297" s="30"/>
      <c r="N1297" s="30"/>
      <c r="O1297" s="30"/>
      <c r="P1297" s="29"/>
      <c r="Q1297" s="29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25"/>
      <c r="AK1297" s="30"/>
      <c r="AL1297" s="30"/>
      <c r="AM1297" s="30"/>
      <c r="AN1297" s="30"/>
      <c r="AO1297" s="30"/>
      <c r="AP1297" s="30"/>
      <c r="AQ1297" s="30"/>
      <c r="AR1297" s="30"/>
      <c r="AS1297" s="30"/>
      <c r="AT1297" s="30"/>
      <c r="AU1297" s="30"/>
      <c r="AW1297" s="27">
        <f t="shared" si="247"/>
        <v>1.297E-3</v>
      </c>
      <c r="AX1297" s="27">
        <f t="shared" si="248"/>
        <v>1.297E-3</v>
      </c>
      <c r="AY1297" s="27">
        <f t="shared" si="249"/>
        <v>1.297E-3</v>
      </c>
      <c r="AZ1297" s="27">
        <f t="shared" si="250"/>
        <v>1.297E-3</v>
      </c>
    </row>
    <row r="1298" spans="1:52" ht="15" customHeight="1" x14ac:dyDescent="0.25">
      <c r="A1298" s="13" t="e">
        <f>VLOOKUP(L1298,[1]VALIDAÇÃO!$D$13:$E$350,2,0)</f>
        <v>#N/A</v>
      </c>
      <c r="B1298" s="14" t="str">
        <f t="shared" si="240"/>
        <v>140</v>
      </c>
      <c r="C1298" s="15">
        <f t="shared" si="251"/>
        <v>140</v>
      </c>
      <c r="D1298" s="16" t="str">
        <f t="shared" si="241"/>
        <v>140</v>
      </c>
      <c r="E1298" s="17">
        <f t="shared" si="244"/>
        <v>140</v>
      </c>
      <c r="F1298" s="18" t="str">
        <f t="shared" si="242"/>
        <v>140</v>
      </c>
      <c r="G1298" s="18">
        <f t="shared" si="245"/>
        <v>140</v>
      </c>
      <c r="H1298" s="19" t="str">
        <f t="shared" si="243"/>
        <v>140</v>
      </c>
      <c r="I1298" s="19">
        <f t="shared" si="246"/>
        <v>140</v>
      </c>
      <c r="J1298" s="30"/>
      <c r="K1298" s="30"/>
      <c r="L1298" s="30"/>
      <c r="M1298" s="30"/>
      <c r="N1298" s="33"/>
      <c r="O1298" s="30"/>
      <c r="P1298" s="29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c r="AJ1298" s="25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0"/>
      <c r="AW1298" s="27">
        <f t="shared" si="247"/>
        <v>1.2979999999999999E-3</v>
      </c>
      <c r="AX1298" s="27">
        <f t="shared" si="248"/>
        <v>1.2979999999999999E-3</v>
      </c>
      <c r="AY1298" s="27">
        <f t="shared" si="249"/>
        <v>1.2979999999999999E-3</v>
      </c>
      <c r="AZ1298" s="27">
        <f t="shared" si="250"/>
        <v>1.2979999999999999E-3</v>
      </c>
    </row>
    <row r="1299" spans="1:52" ht="15" customHeight="1" x14ac:dyDescent="0.25">
      <c r="A1299" s="13" t="e">
        <f>VLOOKUP(L1299,[1]VALIDAÇÃO!$D$13:$E$350,2,0)</f>
        <v>#N/A</v>
      </c>
      <c r="B1299" s="14" t="str">
        <f t="shared" si="240"/>
        <v>139</v>
      </c>
      <c r="C1299" s="15">
        <f t="shared" si="251"/>
        <v>139</v>
      </c>
      <c r="D1299" s="16" t="str">
        <f t="shared" si="241"/>
        <v>139</v>
      </c>
      <c r="E1299" s="17">
        <f t="shared" si="244"/>
        <v>139</v>
      </c>
      <c r="F1299" s="18" t="str">
        <f t="shared" si="242"/>
        <v>139</v>
      </c>
      <c r="G1299" s="18">
        <f t="shared" si="245"/>
        <v>139</v>
      </c>
      <c r="H1299" s="19" t="str">
        <f t="shared" si="243"/>
        <v>139</v>
      </c>
      <c r="I1299" s="19">
        <f t="shared" si="246"/>
        <v>139</v>
      </c>
      <c r="J1299" s="30"/>
      <c r="K1299" s="30"/>
      <c r="L1299" s="30"/>
      <c r="M1299" s="30"/>
      <c r="N1299" s="33"/>
      <c r="O1299" s="30"/>
      <c r="P1299" s="29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c r="AJ1299" s="25"/>
      <c r="AK1299" s="30"/>
      <c r="AL1299" s="30"/>
      <c r="AM1299" s="30"/>
      <c r="AN1299" s="30"/>
      <c r="AO1299" s="30"/>
      <c r="AP1299" s="30"/>
      <c r="AQ1299" s="30"/>
      <c r="AR1299" s="30"/>
      <c r="AS1299" s="30"/>
      <c r="AT1299" s="30"/>
      <c r="AU1299" s="30"/>
      <c r="AW1299" s="27">
        <f t="shared" si="247"/>
        <v>1.299E-3</v>
      </c>
      <c r="AX1299" s="27">
        <f t="shared" si="248"/>
        <v>1.299E-3</v>
      </c>
      <c r="AY1299" s="27">
        <f t="shared" si="249"/>
        <v>1.299E-3</v>
      </c>
      <c r="AZ1299" s="27">
        <f t="shared" si="250"/>
        <v>1.299E-3</v>
      </c>
    </row>
    <row r="1300" spans="1:52" ht="15" customHeight="1" x14ac:dyDescent="0.25">
      <c r="A1300" s="13" t="e">
        <f>VLOOKUP(L1300,[1]VALIDAÇÃO!$D$13:$E$350,2,0)</f>
        <v>#N/A</v>
      </c>
      <c r="B1300" s="14" t="str">
        <f t="shared" ref="B1300:B1363" si="252">C1300&amp;J1300</f>
        <v>138</v>
      </c>
      <c r="C1300" s="15">
        <f t="shared" si="251"/>
        <v>138</v>
      </c>
      <c r="D1300" s="16" t="str">
        <f t="shared" ref="D1300:D1363" si="253">E1300&amp;J1300</f>
        <v>138</v>
      </c>
      <c r="E1300" s="17">
        <f t="shared" si="244"/>
        <v>138</v>
      </c>
      <c r="F1300" s="18" t="str">
        <f t="shared" ref="F1300:F1363" si="254">G1300&amp;J1300</f>
        <v>138</v>
      </c>
      <c r="G1300" s="18">
        <f t="shared" si="245"/>
        <v>138</v>
      </c>
      <c r="H1300" s="19" t="str">
        <f t="shared" ref="H1300:H1363" si="255">I1300&amp;J1300</f>
        <v>138</v>
      </c>
      <c r="I1300" s="19">
        <f t="shared" si="246"/>
        <v>138</v>
      </c>
      <c r="J1300" s="30"/>
      <c r="K1300" s="30"/>
      <c r="L1300" s="30"/>
      <c r="M1300" s="30"/>
      <c r="N1300" s="30"/>
      <c r="O1300" s="30"/>
      <c r="P1300" s="29"/>
      <c r="Q1300" s="29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  <c r="AJ1300" s="25"/>
      <c r="AK1300" s="30"/>
      <c r="AL1300" s="30"/>
      <c r="AM1300" s="30"/>
      <c r="AN1300" s="30"/>
      <c r="AO1300" s="30"/>
      <c r="AP1300" s="30"/>
      <c r="AQ1300" s="30"/>
      <c r="AR1300" s="30"/>
      <c r="AS1300" s="30"/>
      <c r="AT1300" s="30"/>
      <c r="AU1300" s="30"/>
      <c r="AW1300" s="27">
        <f t="shared" si="247"/>
        <v>1.2999999999999999E-3</v>
      </c>
      <c r="AX1300" s="27">
        <f t="shared" si="248"/>
        <v>1.2999999999999999E-3</v>
      </c>
      <c r="AY1300" s="27">
        <f t="shared" si="249"/>
        <v>1.2999999999999999E-3</v>
      </c>
      <c r="AZ1300" s="27">
        <f t="shared" si="250"/>
        <v>1.2999999999999999E-3</v>
      </c>
    </row>
    <row r="1301" spans="1:52" ht="15" customHeight="1" x14ac:dyDescent="0.25">
      <c r="A1301" s="13" t="e">
        <f>VLOOKUP(L1301,[1]VALIDAÇÃO!$D$13:$E$350,2,0)</f>
        <v>#N/A</v>
      </c>
      <c r="B1301" s="14" t="str">
        <f t="shared" si="252"/>
        <v>137</v>
      </c>
      <c r="C1301" s="15">
        <f t="shared" si="251"/>
        <v>137</v>
      </c>
      <c r="D1301" s="16" t="str">
        <f t="shared" si="253"/>
        <v>137</v>
      </c>
      <c r="E1301" s="17">
        <f t="shared" si="244"/>
        <v>137</v>
      </c>
      <c r="F1301" s="18" t="str">
        <f t="shared" si="254"/>
        <v>137</v>
      </c>
      <c r="G1301" s="18">
        <f t="shared" si="245"/>
        <v>137</v>
      </c>
      <c r="H1301" s="19" t="str">
        <f t="shared" si="255"/>
        <v>137</v>
      </c>
      <c r="I1301" s="19">
        <f t="shared" si="246"/>
        <v>137</v>
      </c>
      <c r="J1301" s="30"/>
      <c r="K1301" s="30"/>
      <c r="L1301" s="30"/>
      <c r="M1301" s="30"/>
      <c r="N1301" s="30"/>
      <c r="O1301" s="30"/>
      <c r="P1301" s="29"/>
      <c r="Q1301" s="29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  <c r="AJ1301" s="25"/>
      <c r="AK1301" s="30"/>
      <c r="AL1301" s="30"/>
      <c r="AM1301" s="30"/>
      <c r="AN1301" s="30"/>
      <c r="AO1301" s="30"/>
      <c r="AP1301" s="30"/>
      <c r="AQ1301" s="30"/>
      <c r="AR1301" s="30"/>
      <c r="AS1301" s="30"/>
      <c r="AT1301" s="30"/>
      <c r="AU1301" s="30"/>
      <c r="AW1301" s="27">
        <f t="shared" si="247"/>
        <v>1.3010000000000001E-3</v>
      </c>
      <c r="AX1301" s="27">
        <f t="shared" si="248"/>
        <v>1.3010000000000001E-3</v>
      </c>
      <c r="AY1301" s="27">
        <f t="shared" si="249"/>
        <v>1.3010000000000001E-3</v>
      </c>
      <c r="AZ1301" s="27">
        <f t="shared" si="250"/>
        <v>1.3010000000000001E-3</v>
      </c>
    </row>
    <row r="1302" spans="1:52" ht="15" customHeight="1" x14ac:dyDescent="0.25">
      <c r="A1302" s="13" t="e">
        <f>VLOOKUP(L1302,[1]VALIDAÇÃO!$D$13:$E$350,2,0)</f>
        <v>#N/A</v>
      </c>
      <c r="B1302" s="14" t="str">
        <f t="shared" si="252"/>
        <v>136</v>
      </c>
      <c r="C1302" s="15">
        <f t="shared" si="251"/>
        <v>136</v>
      </c>
      <c r="D1302" s="16" t="str">
        <f t="shared" si="253"/>
        <v>136</v>
      </c>
      <c r="E1302" s="17">
        <f t="shared" si="244"/>
        <v>136</v>
      </c>
      <c r="F1302" s="18" t="str">
        <f t="shared" si="254"/>
        <v>136</v>
      </c>
      <c r="G1302" s="18">
        <f t="shared" si="245"/>
        <v>136</v>
      </c>
      <c r="H1302" s="19" t="str">
        <f t="shared" si="255"/>
        <v>136</v>
      </c>
      <c r="I1302" s="19">
        <f t="shared" si="246"/>
        <v>136</v>
      </c>
      <c r="J1302" s="30"/>
      <c r="K1302" s="30"/>
      <c r="L1302" s="30"/>
      <c r="M1302" s="30"/>
      <c r="N1302" s="30"/>
      <c r="O1302" s="30"/>
      <c r="P1302" s="29"/>
      <c r="Q1302" s="29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c r="AJ1302" s="25"/>
      <c r="AK1302" s="30"/>
      <c r="AL1302" s="30"/>
      <c r="AM1302" s="30"/>
      <c r="AN1302" s="30"/>
      <c r="AO1302" s="30"/>
      <c r="AP1302" s="30"/>
      <c r="AQ1302" s="30"/>
      <c r="AR1302" s="30"/>
      <c r="AS1302" s="30"/>
      <c r="AT1302" s="30"/>
      <c r="AU1302" s="30"/>
      <c r="AW1302" s="27">
        <f t="shared" si="247"/>
        <v>1.302E-3</v>
      </c>
      <c r="AX1302" s="27">
        <f t="shared" si="248"/>
        <v>1.302E-3</v>
      </c>
      <c r="AY1302" s="27">
        <f t="shared" si="249"/>
        <v>1.302E-3</v>
      </c>
      <c r="AZ1302" s="27">
        <f t="shared" si="250"/>
        <v>1.302E-3</v>
      </c>
    </row>
    <row r="1303" spans="1:52" ht="15" customHeight="1" x14ac:dyDescent="0.25">
      <c r="A1303" s="13" t="e">
        <f>VLOOKUP(L1303,[1]VALIDAÇÃO!$D$13:$E$350,2,0)</f>
        <v>#N/A</v>
      </c>
      <c r="B1303" s="14" t="str">
        <f t="shared" si="252"/>
        <v>135</v>
      </c>
      <c r="C1303" s="15">
        <f t="shared" si="251"/>
        <v>135</v>
      </c>
      <c r="D1303" s="16" t="str">
        <f t="shared" si="253"/>
        <v>135</v>
      </c>
      <c r="E1303" s="17">
        <f t="shared" si="244"/>
        <v>135</v>
      </c>
      <c r="F1303" s="18" t="str">
        <f t="shared" si="254"/>
        <v>135</v>
      </c>
      <c r="G1303" s="18">
        <f t="shared" si="245"/>
        <v>135</v>
      </c>
      <c r="H1303" s="19" t="str">
        <f t="shared" si="255"/>
        <v>135</v>
      </c>
      <c r="I1303" s="19">
        <f t="shared" si="246"/>
        <v>135</v>
      </c>
      <c r="J1303" s="30"/>
      <c r="K1303" s="30"/>
      <c r="L1303" s="30"/>
      <c r="M1303" s="30"/>
      <c r="N1303" s="33"/>
      <c r="O1303" s="30"/>
      <c r="P1303" s="29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c r="AJ1303" s="25"/>
      <c r="AK1303" s="30"/>
      <c r="AL1303" s="30"/>
      <c r="AM1303" s="30"/>
      <c r="AN1303" s="30"/>
      <c r="AO1303" s="30"/>
      <c r="AP1303" s="30"/>
      <c r="AQ1303" s="30"/>
      <c r="AR1303" s="30"/>
      <c r="AS1303" s="30"/>
      <c r="AT1303" s="30"/>
      <c r="AU1303" s="30"/>
      <c r="AW1303" s="27">
        <f t="shared" si="247"/>
        <v>1.3029999999999999E-3</v>
      </c>
      <c r="AX1303" s="27">
        <f t="shared" si="248"/>
        <v>1.3029999999999999E-3</v>
      </c>
      <c r="AY1303" s="27">
        <f t="shared" si="249"/>
        <v>1.3029999999999999E-3</v>
      </c>
      <c r="AZ1303" s="27">
        <f t="shared" si="250"/>
        <v>1.3029999999999999E-3</v>
      </c>
    </row>
    <row r="1304" spans="1:52" ht="15" customHeight="1" x14ac:dyDescent="0.25">
      <c r="A1304" s="13" t="e">
        <f>VLOOKUP(L1304,[1]VALIDAÇÃO!$D$13:$E$350,2,0)</f>
        <v>#N/A</v>
      </c>
      <c r="B1304" s="14" t="str">
        <f t="shared" si="252"/>
        <v>134</v>
      </c>
      <c r="C1304" s="15">
        <f t="shared" si="251"/>
        <v>134</v>
      </c>
      <c r="D1304" s="16" t="str">
        <f t="shared" si="253"/>
        <v>134</v>
      </c>
      <c r="E1304" s="17">
        <f t="shared" si="244"/>
        <v>134</v>
      </c>
      <c r="F1304" s="18" t="str">
        <f t="shared" si="254"/>
        <v>134</v>
      </c>
      <c r="G1304" s="18">
        <f t="shared" si="245"/>
        <v>134</v>
      </c>
      <c r="H1304" s="19" t="str">
        <f t="shared" si="255"/>
        <v>134</v>
      </c>
      <c r="I1304" s="19">
        <f t="shared" si="246"/>
        <v>134</v>
      </c>
      <c r="J1304" s="30"/>
      <c r="K1304" s="30"/>
      <c r="L1304" s="30"/>
      <c r="M1304" s="30"/>
      <c r="N1304" s="30"/>
      <c r="O1304" s="30"/>
      <c r="P1304" s="29"/>
      <c r="Q1304" s="29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c r="AJ1304" s="25"/>
      <c r="AK1304" s="30"/>
      <c r="AL1304" s="30"/>
      <c r="AM1304" s="30"/>
      <c r="AN1304" s="30"/>
      <c r="AO1304" s="30"/>
      <c r="AP1304" s="30"/>
      <c r="AQ1304" s="30"/>
      <c r="AR1304" s="30"/>
      <c r="AS1304" s="30"/>
      <c r="AT1304" s="30"/>
      <c r="AU1304" s="30"/>
      <c r="AW1304" s="27">
        <f t="shared" si="247"/>
        <v>1.304E-3</v>
      </c>
      <c r="AX1304" s="27">
        <f t="shared" si="248"/>
        <v>1.304E-3</v>
      </c>
      <c r="AY1304" s="27">
        <f t="shared" si="249"/>
        <v>1.304E-3</v>
      </c>
      <c r="AZ1304" s="27">
        <f t="shared" si="250"/>
        <v>1.304E-3</v>
      </c>
    </row>
    <row r="1305" spans="1:52" ht="15" customHeight="1" x14ac:dyDescent="0.25">
      <c r="A1305" s="13" t="e">
        <f>VLOOKUP(L1305,[1]VALIDAÇÃO!$D$13:$E$350,2,0)</f>
        <v>#N/A</v>
      </c>
      <c r="B1305" s="14" t="str">
        <f t="shared" si="252"/>
        <v>133</v>
      </c>
      <c r="C1305" s="15">
        <f t="shared" si="251"/>
        <v>133</v>
      </c>
      <c r="D1305" s="16" t="str">
        <f t="shared" si="253"/>
        <v>133</v>
      </c>
      <c r="E1305" s="17">
        <f t="shared" si="244"/>
        <v>133</v>
      </c>
      <c r="F1305" s="18" t="str">
        <f t="shared" si="254"/>
        <v>133</v>
      </c>
      <c r="G1305" s="18">
        <f t="shared" si="245"/>
        <v>133</v>
      </c>
      <c r="H1305" s="19" t="str">
        <f t="shared" si="255"/>
        <v>133</v>
      </c>
      <c r="I1305" s="19">
        <f t="shared" si="246"/>
        <v>133</v>
      </c>
      <c r="J1305" s="30"/>
      <c r="K1305" s="30"/>
      <c r="L1305" s="30"/>
      <c r="M1305" s="30"/>
      <c r="N1305" s="30"/>
      <c r="O1305" s="30"/>
      <c r="P1305" s="29"/>
      <c r="Q1305" s="29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c r="AJ1305" s="25"/>
      <c r="AK1305" s="30"/>
      <c r="AL1305" s="30"/>
      <c r="AM1305" s="30"/>
      <c r="AN1305" s="30"/>
      <c r="AO1305" s="30"/>
      <c r="AP1305" s="30"/>
      <c r="AQ1305" s="30"/>
      <c r="AR1305" s="30"/>
      <c r="AS1305" s="30"/>
      <c r="AT1305" s="30"/>
      <c r="AU1305" s="30"/>
      <c r="AW1305" s="27">
        <f t="shared" si="247"/>
        <v>1.305E-3</v>
      </c>
      <c r="AX1305" s="27">
        <f t="shared" si="248"/>
        <v>1.305E-3</v>
      </c>
      <c r="AY1305" s="27">
        <f t="shared" si="249"/>
        <v>1.305E-3</v>
      </c>
      <c r="AZ1305" s="27">
        <f t="shared" si="250"/>
        <v>1.305E-3</v>
      </c>
    </row>
    <row r="1306" spans="1:52" ht="15" customHeight="1" x14ac:dyDescent="0.25">
      <c r="A1306" s="13" t="e">
        <f>VLOOKUP(L1306,[1]VALIDAÇÃO!$D$13:$E$350,2,0)</f>
        <v>#N/A</v>
      </c>
      <c r="B1306" s="14" t="str">
        <f t="shared" si="252"/>
        <v>132</v>
      </c>
      <c r="C1306" s="15">
        <f t="shared" si="251"/>
        <v>132</v>
      </c>
      <c r="D1306" s="16" t="str">
        <f t="shared" si="253"/>
        <v>132</v>
      </c>
      <c r="E1306" s="17">
        <f t="shared" si="244"/>
        <v>132</v>
      </c>
      <c r="F1306" s="18" t="str">
        <f t="shared" si="254"/>
        <v>132</v>
      </c>
      <c r="G1306" s="18">
        <f t="shared" si="245"/>
        <v>132</v>
      </c>
      <c r="H1306" s="19" t="str">
        <f t="shared" si="255"/>
        <v>132</v>
      </c>
      <c r="I1306" s="19">
        <f t="shared" si="246"/>
        <v>132</v>
      </c>
      <c r="J1306" s="30"/>
      <c r="K1306" s="30"/>
      <c r="L1306" s="30"/>
      <c r="M1306" s="30"/>
      <c r="N1306" s="33"/>
      <c r="O1306" s="30"/>
      <c r="P1306" s="29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25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W1306" s="27">
        <f t="shared" si="247"/>
        <v>1.3060000000000001E-3</v>
      </c>
      <c r="AX1306" s="27">
        <f t="shared" si="248"/>
        <v>1.3060000000000001E-3</v>
      </c>
      <c r="AY1306" s="27">
        <f t="shared" si="249"/>
        <v>1.3060000000000001E-3</v>
      </c>
      <c r="AZ1306" s="27">
        <f t="shared" si="250"/>
        <v>1.3060000000000001E-3</v>
      </c>
    </row>
    <row r="1307" spans="1:52" ht="15" customHeight="1" x14ac:dyDescent="0.25">
      <c r="A1307" s="13" t="e">
        <f>VLOOKUP(L1307,[1]VALIDAÇÃO!$D$13:$E$350,2,0)</f>
        <v>#N/A</v>
      </c>
      <c r="B1307" s="14" t="str">
        <f t="shared" si="252"/>
        <v>131</v>
      </c>
      <c r="C1307" s="15">
        <f t="shared" si="251"/>
        <v>131</v>
      </c>
      <c r="D1307" s="16" t="str">
        <f t="shared" si="253"/>
        <v>131</v>
      </c>
      <c r="E1307" s="17">
        <f t="shared" si="244"/>
        <v>131</v>
      </c>
      <c r="F1307" s="18" t="str">
        <f t="shared" si="254"/>
        <v>131</v>
      </c>
      <c r="G1307" s="18">
        <f t="shared" si="245"/>
        <v>131</v>
      </c>
      <c r="H1307" s="19" t="str">
        <f t="shared" si="255"/>
        <v>131</v>
      </c>
      <c r="I1307" s="19">
        <f t="shared" si="246"/>
        <v>131</v>
      </c>
      <c r="J1307" s="30"/>
      <c r="K1307" s="30"/>
      <c r="L1307" s="30"/>
      <c r="M1307" s="30"/>
      <c r="N1307" s="33"/>
      <c r="O1307" s="30"/>
      <c r="P1307" s="29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c r="AJ1307" s="25"/>
      <c r="AK1307" s="30"/>
      <c r="AL1307" s="30"/>
      <c r="AM1307" s="30"/>
      <c r="AN1307" s="30"/>
      <c r="AO1307" s="30"/>
      <c r="AP1307" s="30"/>
      <c r="AQ1307" s="30"/>
      <c r="AR1307" s="30"/>
      <c r="AS1307" s="30"/>
      <c r="AT1307" s="30"/>
      <c r="AU1307" s="30"/>
      <c r="AW1307" s="27">
        <f t="shared" si="247"/>
        <v>1.307E-3</v>
      </c>
      <c r="AX1307" s="27">
        <f t="shared" si="248"/>
        <v>1.307E-3</v>
      </c>
      <c r="AY1307" s="27">
        <f t="shared" si="249"/>
        <v>1.307E-3</v>
      </c>
      <c r="AZ1307" s="27">
        <f t="shared" si="250"/>
        <v>1.307E-3</v>
      </c>
    </row>
    <row r="1308" spans="1:52" ht="15" customHeight="1" x14ac:dyDescent="0.25">
      <c r="A1308" s="13" t="e">
        <f>VLOOKUP(L1308,[1]VALIDAÇÃO!$D$13:$E$350,2,0)</f>
        <v>#N/A</v>
      </c>
      <c r="B1308" s="14" t="str">
        <f t="shared" si="252"/>
        <v>130</v>
      </c>
      <c r="C1308" s="15">
        <f t="shared" si="251"/>
        <v>130</v>
      </c>
      <c r="D1308" s="16" t="str">
        <f t="shared" si="253"/>
        <v>130</v>
      </c>
      <c r="E1308" s="17">
        <f t="shared" si="244"/>
        <v>130</v>
      </c>
      <c r="F1308" s="18" t="str">
        <f t="shared" si="254"/>
        <v>130</v>
      </c>
      <c r="G1308" s="18">
        <f t="shared" si="245"/>
        <v>130</v>
      </c>
      <c r="H1308" s="19" t="str">
        <f t="shared" si="255"/>
        <v>130</v>
      </c>
      <c r="I1308" s="19">
        <f t="shared" si="246"/>
        <v>130</v>
      </c>
      <c r="J1308" s="30"/>
      <c r="K1308" s="30"/>
      <c r="L1308" s="30"/>
      <c r="M1308" s="30"/>
      <c r="N1308" s="33"/>
      <c r="O1308" s="30"/>
      <c r="P1308" s="29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  <c r="AJ1308" s="25"/>
      <c r="AK1308" s="30"/>
      <c r="AL1308" s="30"/>
      <c r="AM1308" s="30"/>
      <c r="AN1308" s="30"/>
      <c r="AO1308" s="30"/>
      <c r="AP1308" s="30"/>
      <c r="AQ1308" s="30"/>
      <c r="AR1308" s="30"/>
      <c r="AS1308" s="30"/>
      <c r="AT1308" s="30"/>
      <c r="AU1308" s="30"/>
      <c r="AW1308" s="27">
        <f t="shared" si="247"/>
        <v>1.3079999999999999E-3</v>
      </c>
      <c r="AX1308" s="27">
        <f t="shared" si="248"/>
        <v>1.3079999999999999E-3</v>
      </c>
      <c r="AY1308" s="27">
        <f t="shared" si="249"/>
        <v>1.3079999999999999E-3</v>
      </c>
      <c r="AZ1308" s="27">
        <f t="shared" si="250"/>
        <v>1.3079999999999999E-3</v>
      </c>
    </row>
    <row r="1309" spans="1:52" ht="15" customHeight="1" x14ac:dyDescent="0.25">
      <c r="A1309" s="13" t="e">
        <f>VLOOKUP(L1309,[1]VALIDAÇÃO!$D$13:$E$350,2,0)</f>
        <v>#N/A</v>
      </c>
      <c r="B1309" s="14" t="str">
        <f t="shared" si="252"/>
        <v>129</v>
      </c>
      <c r="C1309" s="15">
        <f t="shared" si="251"/>
        <v>129</v>
      </c>
      <c r="D1309" s="16" t="str">
        <f t="shared" si="253"/>
        <v>129</v>
      </c>
      <c r="E1309" s="17">
        <f t="shared" si="244"/>
        <v>129</v>
      </c>
      <c r="F1309" s="18" t="str">
        <f t="shared" si="254"/>
        <v>129</v>
      </c>
      <c r="G1309" s="18">
        <f t="shared" si="245"/>
        <v>129</v>
      </c>
      <c r="H1309" s="19" t="str">
        <f t="shared" si="255"/>
        <v>129</v>
      </c>
      <c r="I1309" s="19">
        <f t="shared" si="246"/>
        <v>129</v>
      </c>
      <c r="J1309" s="30"/>
      <c r="K1309" s="30"/>
      <c r="L1309" s="30"/>
      <c r="M1309" s="30"/>
      <c r="N1309" s="33"/>
      <c r="O1309" s="30"/>
      <c r="P1309" s="29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  <c r="AJ1309" s="25"/>
      <c r="AK1309" s="30"/>
      <c r="AL1309" s="30"/>
      <c r="AM1309" s="30"/>
      <c r="AN1309" s="30"/>
      <c r="AO1309" s="30"/>
      <c r="AP1309" s="30"/>
      <c r="AQ1309" s="30"/>
      <c r="AR1309" s="30"/>
      <c r="AS1309" s="30"/>
      <c r="AT1309" s="30"/>
      <c r="AU1309" s="30"/>
      <c r="AW1309" s="27">
        <f t="shared" si="247"/>
        <v>1.3090000000000001E-3</v>
      </c>
      <c r="AX1309" s="27">
        <f t="shared" si="248"/>
        <v>1.3090000000000001E-3</v>
      </c>
      <c r="AY1309" s="27">
        <f t="shared" si="249"/>
        <v>1.3090000000000001E-3</v>
      </c>
      <c r="AZ1309" s="27">
        <f t="shared" si="250"/>
        <v>1.3090000000000001E-3</v>
      </c>
    </row>
    <row r="1310" spans="1:52" ht="15" customHeight="1" x14ac:dyDescent="0.25">
      <c r="A1310" s="13" t="e">
        <f>VLOOKUP(L1310,[1]VALIDAÇÃO!$D$13:$E$350,2,0)</f>
        <v>#N/A</v>
      </c>
      <c r="B1310" s="14" t="str">
        <f t="shared" si="252"/>
        <v>128</v>
      </c>
      <c r="C1310" s="15">
        <f t="shared" si="251"/>
        <v>128</v>
      </c>
      <c r="D1310" s="16" t="str">
        <f t="shared" si="253"/>
        <v>128</v>
      </c>
      <c r="E1310" s="17">
        <f t="shared" si="244"/>
        <v>128</v>
      </c>
      <c r="F1310" s="18" t="str">
        <f t="shared" si="254"/>
        <v>128</v>
      </c>
      <c r="G1310" s="18">
        <f t="shared" si="245"/>
        <v>128</v>
      </c>
      <c r="H1310" s="19" t="str">
        <f t="shared" si="255"/>
        <v>128</v>
      </c>
      <c r="I1310" s="19">
        <f t="shared" si="246"/>
        <v>128</v>
      </c>
      <c r="J1310" s="30"/>
      <c r="K1310" s="30"/>
      <c r="L1310" s="30"/>
      <c r="M1310" s="30"/>
      <c r="N1310" s="30"/>
      <c r="O1310" s="30"/>
      <c r="P1310" s="29"/>
      <c r="Q1310" s="29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c r="AJ1310" s="25"/>
      <c r="AK1310" s="30"/>
      <c r="AL1310" s="30"/>
      <c r="AM1310" s="30"/>
      <c r="AN1310" s="30"/>
      <c r="AO1310" s="30"/>
      <c r="AP1310" s="30"/>
      <c r="AQ1310" s="30"/>
      <c r="AR1310" s="30"/>
      <c r="AS1310" s="30"/>
      <c r="AT1310" s="30"/>
      <c r="AU1310" s="30"/>
      <c r="AW1310" s="27">
        <f t="shared" si="247"/>
        <v>1.31E-3</v>
      </c>
      <c r="AX1310" s="27">
        <f t="shared" si="248"/>
        <v>1.31E-3</v>
      </c>
      <c r="AY1310" s="27">
        <f t="shared" si="249"/>
        <v>1.31E-3</v>
      </c>
      <c r="AZ1310" s="27">
        <f t="shared" si="250"/>
        <v>1.31E-3</v>
      </c>
    </row>
    <row r="1311" spans="1:52" ht="15" customHeight="1" x14ac:dyDescent="0.25">
      <c r="A1311" s="13" t="e">
        <f>VLOOKUP(L1311,[1]VALIDAÇÃO!$D$13:$E$350,2,0)</f>
        <v>#N/A</v>
      </c>
      <c r="B1311" s="14" t="str">
        <f t="shared" si="252"/>
        <v>127</v>
      </c>
      <c r="C1311" s="15">
        <f t="shared" si="251"/>
        <v>127</v>
      </c>
      <c r="D1311" s="16" t="str">
        <f t="shared" si="253"/>
        <v>127</v>
      </c>
      <c r="E1311" s="17">
        <f t="shared" si="244"/>
        <v>127</v>
      </c>
      <c r="F1311" s="18" t="str">
        <f t="shared" si="254"/>
        <v>127</v>
      </c>
      <c r="G1311" s="18">
        <f t="shared" si="245"/>
        <v>127</v>
      </c>
      <c r="H1311" s="19" t="str">
        <f t="shared" si="255"/>
        <v>127</v>
      </c>
      <c r="I1311" s="19">
        <f t="shared" si="246"/>
        <v>127</v>
      </c>
      <c r="J1311" s="30"/>
      <c r="K1311" s="30"/>
      <c r="L1311" s="30"/>
      <c r="M1311" s="30"/>
      <c r="N1311" s="33"/>
      <c r="O1311" s="30"/>
      <c r="P1311" s="29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c r="AJ1311" s="25"/>
      <c r="AK1311" s="30"/>
      <c r="AL1311" s="30"/>
      <c r="AM1311" s="30"/>
      <c r="AN1311" s="30"/>
      <c r="AO1311" s="30"/>
      <c r="AP1311" s="30"/>
      <c r="AQ1311" s="30"/>
      <c r="AR1311" s="30"/>
      <c r="AS1311" s="30"/>
      <c r="AT1311" s="30"/>
      <c r="AU1311" s="30"/>
      <c r="AW1311" s="27">
        <f t="shared" si="247"/>
        <v>1.3110000000000001E-3</v>
      </c>
      <c r="AX1311" s="27">
        <f t="shared" si="248"/>
        <v>1.3110000000000001E-3</v>
      </c>
      <c r="AY1311" s="27">
        <f t="shared" si="249"/>
        <v>1.3110000000000001E-3</v>
      </c>
      <c r="AZ1311" s="27">
        <f t="shared" si="250"/>
        <v>1.3110000000000001E-3</v>
      </c>
    </row>
    <row r="1312" spans="1:52" ht="15" customHeight="1" x14ac:dyDescent="0.25">
      <c r="A1312" s="13" t="e">
        <f>VLOOKUP(L1312,[1]VALIDAÇÃO!$D$13:$E$350,2,0)</f>
        <v>#N/A</v>
      </c>
      <c r="B1312" s="14" t="str">
        <f t="shared" si="252"/>
        <v>126</v>
      </c>
      <c r="C1312" s="15">
        <f t="shared" si="251"/>
        <v>126</v>
      </c>
      <c r="D1312" s="16" t="str">
        <f t="shared" si="253"/>
        <v>126</v>
      </c>
      <c r="E1312" s="17">
        <f t="shared" si="244"/>
        <v>126</v>
      </c>
      <c r="F1312" s="18" t="str">
        <f t="shared" si="254"/>
        <v>126</v>
      </c>
      <c r="G1312" s="18">
        <f t="shared" si="245"/>
        <v>126</v>
      </c>
      <c r="H1312" s="19" t="str">
        <f t="shared" si="255"/>
        <v>126</v>
      </c>
      <c r="I1312" s="19">
        <f t="shared" si="246"/>
        <v>126</v>
      </c>
      <c r="J1312" s="30"/>
      <c r="K1312" s="30"/>
      <c r="L1312" s="30"/>
      <c r="M1312" s="30"/>
      <c r="N1312" s="33"/>
      <c r="O1312" s="30"/>
      <c r="P1312" s="29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c r="AJ1312" s="25"/>
      <c r="AK1312" s="30"/>
      <c r="AL1312" s="30"/>
      <c r="AM1312" s="30"/>
      <c r="AN1312" s="30"/>
      <c r="AO1312" s="30"/>
      <c r="AP1312" s="30"/>
      <c r="AQ1312" s="30"/>
      <c r="AR1312" s="30"/>
      <c r="AS1312" s="30"/>
      <c r="AT1312" s="30"/>
      <c r="AU1312" s="30"/>
      <c r="AW1312" s="27">
        <f t="shared" si="247"/>
        <v>1.312E-3</v>
      </c>
      <c r="AX1312" s="27">
        <f t="shared" si="248"/>
        <v>1.312E-3</v>
      </c>
      <c r="AY1312" s="27">
        <f t="shared" si="249"/>
        <v>1.312E-3</v>
      </c>
      <c r="AZ1312" s="27">
        <f t="shared" si="250"/>
        <v>1.312E-3</v>
      </c>
    </row>
    <row r="1313" spans="1:52" ht="15" customHeight="1" x14ac:dyDescent="0.25">
      <c r="A1313" s="13" t="e">
        <f>VLOOKUP(L1313,[1]VALIDAÇÃO!$D$13:$E$350,2,0)</f>
        <v>#N/A</v>
      </c>
      <c r="B1313" s="14" t="str">
        <f t="shared" si="252"/>
        <v>125</v>
      </c>
      <c r="C1313" s="15">
        <f t="shared" si="251"/>
        <v>125</v>
      </c>
      <c r="D1313" s="16" t="str">
        <f t="shared" si="253"/>
        <v>125</v>
      </c>
      <c r="E1313" s="17">
        <f t="shared" si="244"/>
        <v>125</v>
      </c>
      <c r="F1313" s="18" t="str">
        <f t="shared" si="254"/>
        <v>125</v>
      </c>
      <c r="G1313" s="18">
        <f t="shared" si="245"/>
        <v>125</v>
      </c>
      <c r="H1313" s="19" t="str">
        <f t="shared" si="255"/>
        <v>125</v>
      </c>
      <c r="I1313" s="19">
        <f t="shared" si="246"/>
        <v>125</v>
      </c>
      <c r="J1313" s="30"/>
      <c r="K1313" s="30"/>
      <c r="L1313" s="30"/>
      <c r="M1313" s="30"/>
      <c r="N1313" s="33"/>
      <c r="O1313" s="30"/>
      <c r="P1313" s="29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  <c r="AJ1313" s="25"/>
      <c r="AK1313" s="30"/>
      <c r="AL1313" s="30"/>
      <c r="AM1313" s="30"/>
      <c r="AN1313" s="30"/>
      <c r="AO1313" s="30"/>
      <c r="AP1313" s="30"/>
      <c r="AQ1313" s="30"/>
      <c r="AR1313" s="30"/>
      <c r="AS1313" s="30"/>
      <c r="AT1313" s="30"/>
      <c r="AU1313" s="30"/>
      <c r="AW1313" s="27">
        <f t="shared" si="247"/>
        <v>1.3129999999999999E-3</v>
      </c>
      <c r="AX1313" s="27">
        <f t="shared" si="248"/>
        <v>1.3129999999999999E-3</v>
      </c>
      <c r="AY1313" s="27">
        <f t="shared" si="249"/>
        <v>1.3129999999999999E-3</v>
      </c>
      <c r="AZ1313" s="27">
        <f t="shared" si="250"/>
        <v>1.3129999999999999E-3</v>
      </c>
    </row>
    <row r="1314" spans="1:52" ht="15" customHeight="1" x14ac:dyDescent="0.25">
      <c r="A1314" s="13" t="e">
        <f>VLOOKUP(L1314,[1]VALIDAÇÃO!$D$13:$E$350,2,0)</f>
        <v>#N/A</v>
      </c>
      <c r="B1314" s="14" t="str">
        <f t="shared" si="252"/>
        <v>124</v>
      </c>
      <c r="C1314" s="15">
        <f t="shared" si="251"/>
        <v>124</v>
      </c>
      <c r="D1314" s="16" t="str">
        <f t="shared" si="253"/>
        <v>124</v>
      </c>
      <c r="E1314" s="17">
        <f t="shared" si="244"/>
        <v>124</v>
      </c>
      <c r="F1314" s="18" t="str">
        <f t="shared" si="254"/>
        <v>124</v>
      </c>
      <c r="G1314" s="18">
        <f t="shared" si="245"/>
        <v>124</v>
      </c>
      <c r="H1314" s="19" t="str">
        <f t="shared" si="255"/>
        <v>124</v>
      </c>
      <c r="I1314" s="19">
        <f t="shared" si="246"/>
        <v>124</v>
      </c>
      <c r="J1314" s="30"/>
      <c r="K1314" s="30"/>
      <c r="L1314" s="30"/>
      <c r="M1314" s="30"/>
      <c r="N1314" s="30"/>
      <c r="O1314" s="30"/>
      <c r="P1314" s="29"/>
      <c r="Q1314" s="29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  <c r="AJ1314" s="25"/>
      <c r="AK1314" s="30"/>
      <c r="AL1314" s="30"/>
      <c r="AM1314" s="30"/>
      <c r="AN1314" s="30"/>
      <c r="AO1314" s="30"/>
      <c r="AP1314" s="30"/>
      <c r="AQ1314" s="30"/>
      <c r="AR1314" s="30"/>
      <c r="AS1314" s="30"/>
      <c r="AT1314" s="30"/>
      <c r="AU1314" s="30"/>
      <c r="AW1314" s="27">
        <f t="shared" si="247"/>
        <v>1.3140000000000001E-3</v>
      </c>
      <c r="AX1314" s="27">
        <f t="shared" si="248"/>
        <v>1.3140000000000001E-3</v>
      </c>
      <c r="AY1314" s="27">
        <f t="shared" si="249"/>
        <v>1.3140000000000001E-3</v>
      </c>
      <c r="AZ1314" s="27">
        <f t="shared" si="250"/>
        <v>1.3140000000000001E-3</v>
      </c>
    </row>
    <row r="1315" spans="1:52" ht="15" customHeight="1" x14ac:dyDescent="0.25">
      <c r="A1315" s="13" t="e">
        <f>VLOOKUP(L1315,[1]VALIDAÇÃO!$D$13:$E$350,2,0)</f>
        <v>#N/A</v>
      </c>
      <c r="B1315" s="14" t="str">
        <f t="shared" si="252"/>
        <v>123</v>
      </c>
      <c r="C1315" s="15">
        <f t="shared" si="251"/>
        <v>123</v>
      </c>
      <c r="D1315" s="16" t="str">
        <f t="shared" si="253"/>
        <v>123</v>
      </c>
      <c r="E1315" s="17">
        <f t="shared" si="244"/>
        <v>123</v>
      </c>
      <c r="F1315" s="18" t="str">
        <f t="shared" si="254"/>
        <v>123</v>
      </c>
      <c r="G1315" s="18">
        <f t="shared" si="245"/>
        <v>123</v>
      </c>
      <c r="H1315" s="19" t="str">
        <f t="shared" si="255"/>
        <v>123</v>
      </c>
      <c r="I1315" s="19">
        <f t="shared" si="246"/>
        <v>123</v>
      </c>
      <c r="J1315" s="30"/>
      <c r="K1315" s="30"/>
      <c r="L1315" s="30"/>
      <c r="M1315" s="30"/>
      <c r="N1315" s="30"/>
      <c r="O1315" s="30"/>
      <c r="P1315" s="29"/>
      <c r="Q1315" s="29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c r="AJ1315" s="25"/>
      <c r="AK1315" s="30"/>
      <c r="AL1315" s="30"/>
      <c r="AM1315" s="30"/>
      <c r="AN1315" s="30"/>
      <c r="AO1315" s="30"/>
      <c r="AP1315" s="30"/>
      <c r="AQ1315" s="30"/>
      <c r="AR1315" s="30"/>
      <c r="AS1315" s="30"/>
      <c r="AT1315" s="30"/>
      <c r="AU1315" s="30"/>
      <c r="AW1315" s="27">
        <f t="shared" si="247"/>
        <v>1.315E-3</v>
      </c>
      <c r="AX1315" s="27">
        <f t="shared" si="248"/>
        <v>1.315E-3</v>
      </c>
      <c r="AY1315" s="27">
        <f t="shared" si="249"/>
        <v>1.315E-3</v>
      </c>
      <c r="AZ1315" s="27">
        <f t="shared" si="250"/>
        <v>1.315E-3</v>
      </c>
    </row>
    <row r="1316" spans="1:52" ht="15" customHeight="1" x14ac:dyDescent="0.25">
      <c r="A1316" s="13" t="e">
        <f>VLOOKUP(L1316,[1]VALIDAÇÃO!$D$13:$E$350,2,0)</f>
        <v>#N/A</v>
      </c>
      <c r="B1316" s="14" t="str">
        <f t="shared" si="252"/>
        <v>122</v>
      </c>
      <c r="C1316" s="15">
        <f t="shared" si="251"/>
        <v>122</v>
      </c>
      <c r="D1316" s="16" t="str">
        <f t="shared" si="253"/>
        <v>122</v>
      </c>
      <c r="E1316" s="17">
        <f t="shared" si="244"/>
        <v>122</v>
      </c>
      <c r="F1316" s="18" t="str">
        <f t="shared" si="254"/>
        <v>122</v>
      </c>
      <c r="G1316" s="18">
        <f t="shared" si="245"/>
        <v>122</v>
      </c>
      <c r="H1316" s="19" t="str">
        <f t="shared" si="255"/>
        <v>122</v>
      </c>
      <c r="I1316" s="19">
        <f t="shared" si="246"/>
        <v>122</v>
      </c>
      <c r="J1316" s="30"/>
      <c r="K1316" s="30"/>
      <c r="L1316" s="30"/>
      <c r="M1316" s="30"/>
      <c r="N1316" s="30"/>
      <c r="O1316" s="30"/>
      <c r="P1316" s="29"/>
      <c r="Q1316" s="29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c r="AJ1316" s="25"/>
      <c r="AK1316" s="30"/>
      <c r="AL1316" s="30"/>
      <c r="AM1316" s="30"/>
      <c r="AN1316" s="30"/>
      <c r="AO1316" s="30"/>
      <c r="AP1316" s="30"/>
      <c r="AQ1316" s="30"/>
      <c r="AR1316" s="30"/>
      <c r="AS1316" s="30"/>
      <c r="AT1316" s="30"/>
      <c r="AU1316" s="30"/>
      <c r="AW1316" s="27">
        <f t="shared" si="247"/>
        <v>1.3159999999999999E-3</v>
      </c>
      <c r="AX1316" s="27">
        <f t="shared" si="248"/>
        <v>1.3159999999999999E-3</v>
      </c>
      <c r="AY1316" s="27">
        <f t="shared" si="249"/>
        <v>1.3159999999999999E-3</v>
      </c>
      <c r="AZ1316" s="27">
        <f t="shared" si="250"/>
        <v>1.3159999999999999E-3</v>
      </c>
    </row>
    <row r="1317" spans="1:52" ht="15" customHeight="1" x14ac:dyDescent="0.25">
      <c r="A1317" s="13" t="e">
        <f>VLOOKUP(L1317,[1]VALIDAÇÃO!$D$13:$E$350,2,0)</f>
        <v>#N/A</v>
      </c>
      <c r="B1317" s="14" t="str">
        <f t="shared" si="252"/>
        <v>121</v>
      </c>
      <c r="C1317" s="15">
        <f t="shared" si="251"/>
        <v>121</v>
      </c>
      <c r="D1317" s="16" t="str">
        <f t="shared" si="253"/>
        <v>121</v>
      </c>
      <c r="E1317" s="17">
        <f t="shared" si="244"/>
        <v>121</v>
      </c>
      <c r="F1317" s="18" t="str">
        <f t="shared" si="254"/>
        <v>121</v>
      </c>
      <c r="G1317" s="18">
        <f t="shared" si="245"/>
        <v>121</v>
      </c>
      <c r="H1317" s="19" t="str">
        <f t="shared" si="255"/>
        <v>121</v>
      </c>
      <c r="I1317" s="19">
        <f t="shared" si="246"/>
        <v>121</v>
      </c>
      <c r="J1317" s="30"/>
      <c r="K1317" s="30"/>
      <c r="L1317" s="30"/>
      <c r="M1317" s="30"/>
      <c r="N1317" s="33"/>
      <c r="O1317" s="30"/>
      <c r="P1317" s="29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c r="AJ1317" s="25"/>
      <c r="AK1317" s="30"/>
      <c r="AL1317" s="30"/>
      <c r="AM1317" s="30"/>
      <c r="AN1317" s="30"/>
      <c r="AO1317" s="30"/>
      <c r="AP1317" s="30"/>
      <c r="AQ1317" s="30"/>
      <c r="AR1317" s="30"/>
      <c r="AS1317" s="30"/>
      <c r="AT1317" s="30"/>
      <c r="AU1317" s="30"/>
      <c r="AW1317" s="27">
        <f t="shared" si="247"/>
        <v>1.317E-3</v>
      </c>
      <c r="AX1317" s="27">
        <f t="shared" si="248"/>
        <v>1.317E-3</v>
      </c>
      <c r="AY1317" s="27">
        <f t="shared" si="249"/>
        <v>1.317E-3</v>
      </c>
      <c r="AZ1317" s="27">
        <f t="shared" si="250"/>
        <v>1.317E-3</v>
      </c>
    </row>
    <row r="1318" spans="1:52" ht="15" customHeight="1" x14ac:dyDescent="0.25">
      <c r="A1318" s="13" t="e">
        <f>VLOOKUP(L1318,[1]VALIDAÇÃO!$D$13:$E$350,2,0)</f>
        <v>#N/A</v>
      </c>
      <c r="B1318" s="14" t="str">
        <f t="shared" si="252"/>
        <v>120</v>
      </c>
      <c r="C1318" s="15">
        <f t="shared" si="251"/>
        <v>120</v>
      </c>
      <c r="D1318" s="16" t="str">
        <f t="shared" si="253"/>
        <v>120</v>
      </c>
      <c r="E1318" s="17">
        <f t="shared" si="244"/>
        <v>120</v>
      </c>
      <c r="F1318" s="18" t="str">
        <f t="shared" si="254"/>
        <v>120</v>
      </c>
      <c r="G1318" s="18">
        <f t="shared" si="245"/>
        <v>120</v>
      </c>
      <c r="H1318" s="19" t="str">
        <f t="shared" si="255"/>
        <v>120</v>
      </c>
      <c r="I1318" s="19">
        <f t="shared" si="246"/>
        <v>120</v>
      </c>
      <c r="J1318" s="30"/>
      <c r="K1318" s="30"/>
      <c r="L1318" s="30"/>
      <c r="M1318" s="30"/>
      <c r="N1318" s="30"/>
      <c r="O1318" s="30"/>
      <c r="P1318" s="29"/>
      <c r="Q1318" s="29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c r="AJ1318" s="25"/>
      <c r="AK1318" s="30"/>
      <c r="AL1318" s="30"/>
      <c r="AM1318" s="30"/>
      <c r="AN1318" s="30"/>
      <c r="AO1318" s="30"/>
      <c r="AP1318" s="30"/>
      <c r="AQ1318" s="30"/>
      <c r="AR1318" s="30"/>
      <c r="AS1318" s="30"/>
      <c r="AT1318" s="30"/>
      <c r="AU1318" s="30"/>
      <c r="AW1318" s="27">
        <f t="shared" si="247"/>
        <v>1.3179999999999999E-3</v>
      </c>
      <c r="AX1318" s="27">
        <f t="shared" si="248"/>
        <v>1.3179999999999999E-3</v>
      </c>
      <c r="AY1318" s="27">
        <f t="shared" si="249"/>
        <v>1.3179999999999999E-3</v>
      </c>
      <c r="AZ1318" s="27">
        <f t="shared" si="250"/>
        <v>1.3179999999999999E-3</v>
      </c>
    </row>
    <row r="1319" spans="1:52" ht="15" customHeight="1" x14ac:dyDescent="0.25">
      <c r="A1319" s="13" t="e">
        <f>VLOOKUP(L1319,[1]VALIDAÇÃO!$D$13:$E$350,2,0)</f>
        <v>#N/A</v>
      </c>
      <c r="B1319" s="14" t="str">
        <f t="shared" si="252"/>
        <v>119</v>
      </c>
      <c r="C1319" s="15">
        <f t="shared" si="251"/>
        <v>119</v>
      </c>
      <c r="D1319" s="16" t="str">
        <f t="shared" si="253"/>
        <v>119</v>
      </c>
      <c r="E1319" s="17">
        <f t="shared" si="244"/>
        <v>119</v>
      </c>
      <c r="F1319" s="18" t="str">
        <f t="shared" si="254"/>
        <v>119</v>
      </c>
      <c r="G1319" s="18">
        <f t="shared" si="245"/>
        <v>119</v>
      </c>
      <c r="H1319" s="19" t="str">
        <f t="shared" si="255"/>
        <v>119</v>
      </c>
      <c r="I1319" s="19">
        <f t="shared" si="246"/>
        <v>119</v>
      </c>
      <c r="J1319" s="30"/>
      <c r="K1319" s="30"/>
      <c r="L1319" s="30"/>
      <c r="M1319" s="30"/>
      <c r="N1319" s="30"/>
      <c r="O1319" s="30"/>
      <c r="P1319" s="29"/>
      <c r="Q1319" s="29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  <c r="AJ1319" s="25"/>
      <c r="AK1319" s="30"/>
      <c r="AL1319" s="30"/>
      <c r="AM1319" s="30"/>
      <c r="AN1319" s="30"/>
      <c r="AO1319" s="30"/>
      <c r="AP1319" s="30"/>
      <c r="AQ1319" s="30"/>
      <c r="AR1319" s="30"/>
      <c r="AS1319" s="30"/>
      <c r="AT1319" s="30"/>
      <c r="AU1319" s="30"/>
      <c r="AW1319" s="27">
        <f t="shared" si="247"/>
        <v>1.3190000000000001E-3</v>
      </c>
      <c r="AX1319" s="27">
        <f t="shared" si="248"/>
        <v>1.3190000000000001E-3</v>
      </c>
      <c r="AY1319" s="27">
        <f t="shared" si="249"/>
        <v>1.3190000000000001E-3</v>
      </c>
      <c r="AZ1319" s="27">
        <f t="shared" si="250"/>
        <v>1.3190000000000001E-3</v>
      </c>
    </row>
    <row r="1320" spans="1:52" ht="15" customHeight="1" x14ac:dyDescent="0.25">
      <c r="A1320" s="13" t="e">
        <f>VLOOKUP(L1320,[1]VALIDAÇÃO!$D$13:$E$350,2,0)</f>
        <v>#N/A</v>
      </c>
      <c r="B1320" s="14" t="str">
        <f t="shared" si="252"/>
        <v>118</v>
      </c>
      <c r="C1320" s="15">
        <f t="shared" si="251"/>
        <v>118</v>
      </c>
      <c r="D1320" s="16" t="str">
        <f t="shared" si="253"/>
        <v>118</v>
      </c>
      <c r="E1320" s="17">
        <f t="shared" si="244"/>
        <v>118</v>
      </c>
      <c r="F1320" s="18" t="str">
        <f t="shared" si="254"/>
        <v>118</v>
      </c>
      <c r="G1320" s="18">
        <f t="shared" si="245"/>
        <v>118</v>
      </c>
      <c r="H1320" s="19" t="str">
        <f t="shared" si="255"/>
        <v>118</v>
      </c>
      <c r="I1320" s="19">
        <f t="shared" si="246"/>
        <v>118</v>
      </c>
      <c r="J1320" s="30"/>
      <c r="K1320" s="30"/>
      <c r="L1320" s="30"/>
      <c r="M1320" s="30"/>
      <c r="N1320" s="33"/>
      <c r="O1320" s="30"/>
      <c r="P1320" s="29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  <c r="AJ1320" s="25"/>
      <c r="AK1320" s="30"/>
      <c r="AL1320" s="30"/>
      <c r="AM1320" s="30"/>
      <c r="AN1320" s="30"/>
      <c r="AO1320" s="30"/>
      <c r="AP1320" s="30"/>
      <c r="AQ1320" s="30"/>
      <c r="AR1320" s="30"/>
      <c r="AS1320" s="30"/>
      <c r="AT1320" s="30"/>
      <c r="AU1320" s="30"/>
      <c r="AW1320" s="27">
        <f t="shared" si="247"/>
        <v>1.32E-3</v>
      </c>
      <c r="AX1320" s="27">
        <f t="shared" si="248"/>
        <v>1.32E-3</v>
      </c>
      <c r="AY1320" s="27">
        <f t="shared" si="249"/>
        <v>1.32E-3</v>
      </c>
      <c r="AZ1320" s="27">
        <f t="shared" si="250"/>
        <v>1.32E-3</v>
      </c>
    </row>
    <row r="1321" spans="1:52" ht="15" customHeight="1" x14ac:dyDescent="0.25">
      <c r="A1321" s="13" t="e">
        <f>VLOOKUP(L1321,[1]VALIDAÇÃO!$D$13:$E$350,2,0)</f>
        <v>#N/A</v>
      </c>
      <c r="B1321" s="14" t="str">
        <f t="shared" si="252"/>
        <v>117</v>
      </c>
      <c r="C1321" s="15">
        <f t="shared" si="251"/>
        <v>117</v>
      </c>
      <c r="D1321" s="16" t="str">
        <f t="shared" si="253"/>
        <v>117</v>
      </c>
      <c r="E1321" s="17">
        <f t="shared" si="244"/>
        <v>117</v>
      </c>
      <c r="F1321" s="18" t="str">
        <f t="shared" si="254"/>
        <v>117</v>
      </c>
      <c r="G1321" s="18">
        <f t="shared" si="245"/>
        <v>117</v>
      </c>
      <c r="H1321" s="19" t="str">
        <f t="shared" si="255"/>
        <v>117</v>
      </c>
      <c r="I1321" s="19">
        <f t="shared" si="246"/>
        <v>117</v>
      </c>
      <c r="J1321" s="30"/>
      <c r="K1321" s="30"/>
      <c r="L1321" s="30"/>
      <c r="M1321" s="30"/>
      <c r="N1321" s="30"/>
      <c r="O1321" s="30"/>
      <c r="P1321" s="29"/>
      <c r="Q1321" s="29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25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W1321" s="27">
        <f t="shared" si="247"/>
        <v>1.3209999999999999E-3</v>
      </c>
      <c r="AX1321" s="27">
        <f t="shared" si="248"/>
        <v>1.3209999999999999E-3</v>
      </c>
      <c r="AY1321" s="27">
        <f t="shared" si="249"/>
        <v>1.3209999999999999E-3</v>
      </c>
      <c r="AZ1321" s="27">
        <f t="shared" si="250"/>
        <v>1.3209999999999999E-3</v>
      </c>
    </row>
    <row r="1322" spans="1:52" ht="15" customHeight="1" x14ac:dyDescent="0.25">
      <c r="A1322" s="13" t="e">
        <f>VLOOKUP(L1322,[1]VALIDAÇÃO!$D$13:$E$350,2,0)</f>
        <v>#N/A</v>
      </c>
      <c r="B1322" s="14" t="str">
        <f t="shared" si="252"/>
        <v>116</v>
      </c>
      <c r="C1322" s="15">
        <f t="shared" si="251"/>
        <v>116</v>
      </c>
      <c r="D1322" s="16" t="str">
        <f t="shared" si="253"/>
        <v>116</v>
      </c>
      <c r="E1322" s="17">
        <f t="shared" si="244"/>
        <v>116</v>
      </c>
      <c r="F1322" s="18" t="str">
        <f t="shared" si="254"/>
        <v>116</v>
      </c>
      <c r="G1322" s="18">
        <f t="shared" si="245"/>
        <v>116</v>
      </c>
      <c r="H1322" s="19" t="str">
        <f t="shared" si="255"/>
        <v>116</v>
      </c>
      <c r="I1322" s="19">
        <f t="shared" si="246"/>
        <v>116</v>
      </c>
      <c r="J1322" s="30"/>
      <c r="K1322" s="30"/>
      <c r="L1322" s="30"/>
      <c r="M1322" s="30"/>
      <c r="N1322" s="30"/>
      <c r="O1322" s="30"/>
      <c r="P1322" s="29"/>
      <c r="Q1322" s="29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c r="AJ1322" s="25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W1322" s="27">
        <f t="shared" si="247"/>
        <v>1.322E-3</v>
      </c>
      <c r="AX1322" s="27">
        <f t="shared" si="248"/>
        <v>1.322E-3</v>
      </c>
      <c r="AY1322" s="27">
        <f t="shared" si="249"/>
        <v>1.322E-3</v>
      </c>
      <c r="AZ1322" s="27">
        <f t="shared" si="250"/>
        <v>1.322E-3</v>
      </c>
    </row>
    <row r="1323" spans="1:52" ht="15" customHeight="1" x14ac:dyDescent="0.25">
      <c r="A1323" s="13" t="e">
        <f>VLOOKUP(L1323,[1]VALIDAÇÃO!$D$13:$E$350,2,0)</f>
        <v>#N/A</v>
      </c>
      <c r="B1323" s="14" t="str">
        <f t="shared" si="252"/>
        <v>115</v>
      </c>
      <c r="C1323" s="15">
        <f t="shared" si="251"/>
        <v>115</v>
      </c>
      <c r="D1323" s="16" t="str">
        <f t="shared" si="253"/>
        <v>115</v>
      </c>
      <c r="E1323" s="17">
        <f t="shared" si="244"/>
        <v>115</v>
      </c>
      <c r="F1323" s="18" t="str">
        <f t="shared" si="254"/>
        <v>115</v>
      </c>
      <c r="G1323" s="18">
        <f t="shared" si="245"/>
        <v>115</v>
      </c>
      <c r="H1323" s="19" t="str">
        <f t="shared" si="255"/>
        <v>115</v>
      </c>
      <c r="I1323" s="19">
        <f t="shared" si="246"/>
        <v>115</v>
      </c>
      <c r="J1323" s="30"/>
      <c r="K1323" s="30"/>
      <c r="L1323" s="30"/>
      <c r="M1323" s="30"/>
      <c r="N1323" s="30"/>
      <c r="O1323" s="30"/>
      <c r="P1323" s="29"/>
      <c r="Q1323" s="29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  <c r="AJ1323" s="25"/>
      <c r="AK1323" s="30"/>
      <c r="AL1323" s="30"/>
      <c r="AM1323" s="30"/>
      <c r="AN1323" s="30"/>
      <c r="AO1323" s="30"/>
      <c r="AP1323" s="30"/>
      <c r="AQ1323" s="30"/>
      <c r="AR1323" s="30"/>
      <c r="AS1323" s="30"/>
      <c r="AT1323" s="30"/>
      <c r="AU1323" s="30"/>
      <c r="AW1323" s="27">
        <f t="shared" si="247"/>
        <v>1.323E-3</v>
      </c>
      <c r="AX1323" s="27">
        <f t="shared" si="248"/>
        <v>1.323E-3</v>
      </c>
      <c r="AY1323" s="27">
        <f t="shared" si="249"/>
        <v>1.323E-3</v>
      </c>
      <c r="AZ1323" s="27">
        <f t="shared" si="250"/>
        <v>1.323E-3</v>
      </c>
    </row>
    <row r="1324" spans="1:52" ht="15" customHeight="1" x14ac:dyDescent="0.25">
      <c r="A1324" s="13" t="e">
        <f>VLOOKUP(L1324,[1]VALIDAÇÃO!$D$13:$E$350,2,0)</f>
        <v>#N/A</v>
      </c>
      <c r="B1324" s="14" t="str">
        <f t="shared" si="252"/>
        <v>114</v>
      </c>
      <c r="C1324" s="15">
        <f t="shared" si="251"/>
        <v>114</v>
      </c>
      <c r="D1324" s="16" t="str">
        <f t="shared" si="253"/>
        <v>114</v>
      </c>
      <c r="E1324" s="17">
        <f t="shared" si="244"/>
        <v>114</v>
      </c>
      <c r="F1324" s="18" t="str">
        <f t="shared" si="254"/>
        <v>114</v>
      </c>
      <c r="G1324" s="18">
        <f t="shared" si="245"/>
        <v>114</v>
      </c>
      <c r="H1324" s="19" t="str">
        <f t="shared" si="255"/>
        <v>114</v>
      </c>
      <c r="I1324" s="19">
        <f t="shared" si="246"/>
        <v>114</v>
      </c>
      <c r="J1324" s="30"/>
      <c r="K1324" s="30"/>
      <c r="L1324" s="30"/>
      <c r="M1324" s="30"/>
      <c r="N1324" s="30"/>
      <c r="O1324" s="30"/>
      <c r="P1324" s="29"/>
      <c r="Q1324" s="29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  <c r="AJ1324" s="25"/>
      <c r="AK1324" s="30"/>
      <c r="AL1324" s="30"/>
      <c r="AM1324" s="30"/>
      <c r="AN1324" s="30"/>
      <c r="AO1324" s="30"/>
      <c r="AP1324" s="30"/>
      <c r="AQ1324" s="30"/>
      <c r="AR1324" s="30"/>
      <c r="AS1324" s="30"/>
      <c r="AT1324" s="30"/>
      <c r="AU1324" s="30"/>
      <c r="AW1324" s="27">
        <f t="shared" si="247"/>
        <v>1.3240000000000001E-3</v>
      </c>
      <c r="AX1324" s="27">
        <f t="shared" si="248"/>
        <v>1.3240000000000001E-3</v>
      </c>
      <c r="AY1324" s="27">
        <f t="shared" si="249"/>
        <v>1.3240000000000001E-3</v>
      </c>
      <c r="AZ1324" s="27">
        <f t="shared" si="250"/>
        <v>1.3240000000000001E-3</v>
      </c>
    </row>
    <row r="1325" spans="1:52" ht="15" customHeight="1" x14ac:dyDescent="0.25">
      <c r="A1325" s="13" t="e">
        <f>VLOOKUP(L1325,[1]VALIDAÇÃO!$D$13:$E$350,2,0)</f>
        <v>#N/A</v>
      </c>
      <c r="B1325" s="14" t="str">
        <f t="shared" si="252"/>
        <v>113</v>
      </c>
      <c r="C1325" s="15">
        <f t="shared" si="251"/>
        <v>113</v>
      </c>
      <c r="D1325" s="16" t="str">
        <f t="shared" si="253"/>
        <v>113</v>
      </c>
      <c r="E1325" s="17">
        <f t="shared" si="244"/>
        <v>113</v>
      </c>
      <c r="F1325" s="18" t="str">
        <f t="shared" si="254"/>
        <v>113</v>
      </c>
      <c r="G1325" s="18">
        <f t="shared" si="245"/>
        <v>113</v>
      </c>
      <c r="H1325" s="19" t="str">
        <f t="shared" si="255"/>
        <v>113</v>
      </c>
      <c r="I1325" s="19">
        <f t="shared" si="246"/>
        <v>113</v>
      </c>
      <c r="J1325" s="30"/>
      <c r="K1325" s="30"/>
      <c r="L1325" s="30"/>
      <c r="M1325" s="30"/>
      <c r="N1325" s="30"/>
      <c r="O1325" s="30"/>
      <c r="P1325" s="29"/>
      <c r="Q1325" s="29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c r="AJ1325" s="25"/>
      <c r="AK1325" s="30"/>
      <c r="AL1325" s="30"/>
      <c r="AM1325" s="30"/>
      <c r="AN1325" s="30"/>
      <c r="AO1325" s="30"/>
      <c r="AP1325" s="30"/>
      <c r="AQ1325" s="30"/>
      <c r="AR1325" s="30"/>
      <c r="AS1325" s="30"/>
      <c r="AT1325" s="30"/>
      <c r="AU1325" s="30"/>
      <c r="AW1325" s="27">
        <f t="shared" si="247"/>
        <v>1.325E-3</v>
      </c>
      <c r="AX1325" s="27">
        <f t="shared" si="248"/>
        <v>1.325E-3</v>
      </c>
      <c r="AY1325" s="27">
        <f t="shared" si="249"/>
        <v>1.325E-3</v>
      </c>
      <c r="AZ1325" s="27">
        <f t="shared" si="250"/>
        <v>1.325E-3</v>
      </c>
    </row>
    <row r="1326" spans="1:52" ht="15" customHeight="1" x14ac:dyDescent="0.25">
      <c r="A1326" s="13" t="e">
        <f>VLOOKUP(L1326,[1]VALIDAÇÃO!$D$13:$E$350,2,0)</f>
        <v>#N/A</v>
      </c>
      <c r="B1326" s="14" t="str">
        <f t="shared" si="252"/>
        <v>112</v>
      </c>
      <c r="C1326" s="15">
        <f t="shared" si="251"/>
        <v>112</v>
      </c>
      <c r="D1326" s="16" t="str">
        <f t="shared" si="253"/>
        <v>112</v>
      </c>
      <c r="E1326" s="17">
        <f t="shared" si="244"/>
        <v>112</v>
      </c>
      <c r="F1326" s="18" t="str">
        <f t="shared" si="254"/>
        <v>112</v>
      </c>
      <c r="G1326" s="18">
        <f t="shared" si="245"/>
        <v>112</v>
      </c>
      <c r="H1326" s="19" t="str">
        <f t="shared" si="255"/>
        <v>112</v>
      </c>
      <c r="I1326" s="19">
        <f t="shared" si="246"/>
        <v>112</v>
      </c>
      <c r="J1326" s="30"/>
      <c r="K1326" s="30"/>
      <c r="L1326" s="30"/>
      <c r="M1326" s="30"/>
      <c r="N1326" s="33"/>
      <c r="O1326" s="30"/>
      <c r="P1326" s="29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c r="AJ1326" s="25"/>
      <c r="AK1326" s="30"/>
      <c r="AL1326" s="30"/>
      <c r="AM1326" s="30"/>
      <c r="AN1326" s="30"/>
      <c r="AO1326" s="30"/>
      <c r="AP1326" s="30"/>
      <c r="AQ1326" s="30"/>
      <c r="AR1326" s="30"/>
      <c r="AS1326" s="30"/>
      <c r="AT1326" s="30"/>
      <c r="AU1326" s="30"/>
      <c r="AW1326" s="27">
        <f t="shared" si="247"/>
        <v>1.3259999999999999E-3</v>
      </c>
      <c r="AX1326" s="27">
        <f t="shared" si="248"/>
        <v>1.3259999999999999E-3</v>
      </c>
      <c r="AY1326" s="27">
        <f t="shared" si="249"/>
        <v>1.3259999999999999E-3</v>
      </c>
      <c r="AZ1326" s="27">
        <f t="shared" si="250"/>
        <v>1.3259999999999999E-3</v>
      </c>
    </row>
    <row r="1327" spans="1:52" ht="15" customHeight="1" x14ac:dyDescent="0.25">
      <c r="A1327" s="13" t="e">
        <f>VLOOKUP(L1327,[1]VALIDAÇÃO!$D$13:$E$350,2,0)</f>
        <v>#N/A</v>
      </c>
      <c r="B1327" s="14" t="str">
        <f t="shared" si="252"/>
        <v>111</v>
      </c>
      <c r="C1327" s="15">
        <f t="shared" si="251"/>
        <v>111</v>
      </c>
      <c r="D1327" s="16" t="str">
        <f t="shared" si="253"/>
        <v>111</v>
      </c>
      <c r="E1327" s="17">
        <f t="shared" si="244"/>
        <v>111</v>
      </c>
      <c r="F1327" s="18" t="str">
        <f t="shared" si="254"/>
        <v>111</v>
      </c>
      <c r="G1327" s="18">
        <f t="shared" si="245"/>
        <v>111</v>
      </c>
      <c r="H1327" s="19" t="str">
        <f t="shared" si="255"/>
        <v>111</v>
      </c>
      <c r="I1327" s="19">
        <f t="shared" si="246"/>
        <v>111</v>
      </c>
      <c r="J1327" s="30"/>
      <c r="K1327" s="30"/>
      <c r="L1327" s="30"/>
      <c r="M1327" s="30"/>
      <c r="N1327" s="33"/>
      <c r="O1327" s="30"/>
      <c r="P1327" s="29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c r="AJ1327" s="25"/>
      <c r="AK1327" s="30"/>
      <c r="AL1327" s="30"/>
      <c r="AM1327" s="30"/>
      <c r="AN1327" s="30"/>
      <c r="AO1327" s="30"/>
      <c r="AP1327" s="30"/>
      <c r="AQ1327" s="30"/>
      <c r="AR1327" s="30"/>
      <c r="AS1327" s="30"/>
      <c r="AT1327" s="30"/>
      <c r="AU1327" s="30"/>
      <c r="AW1327" s="27">
        <f t="shared" si="247"/>
        <v>1.3270000000000001E-3</v>
      </c>
      <c r="AX1327" s="27">
        <f t="shared" si="248"/>
        <v>1.3270000000000001E-3</v>
      </c>
      <c r="AY1327" s="27">
        <f t="shared" si="249"/>
        <v>1.3270000000000001E-3</v>
      </c>
      <c r="AZ1327" s="27">
        <f t="shared" si="250"/>
        <v>1.3270000000000001E-3</v>
      </c>
    </row>
    <row r="1328" spans="1:52" ht="15" customHeight="1" x14ac:dyDescent="0.25">
      <c r="A1328" s="13" t="e">
        <f>VLOOKUP(L1328,[1]VALIDAÇÃO!$D$13:$E$350,2,0)</f>
        <v>#N/A</v>
      </c>
      <c r="B1328" s="14" t="str">
        <f t="shared" si="252"/>
        <v>110</v>
      </c>
      <c r="C1328" s="15">
        <f t="shared" si="251"/>
        <v>110</v>
      </c>
      <c r="D1328" s="16" t="str">
        <f t="shared" si="253"/>
        <v>110</v>
      </c>
      <c r="E1328" s="17">
        <f t="shared" si="244"/>
        <v>110</v>
      </c>
      <c r="F1328" s="18" t="str">
        <f t="shared" si="254"/>
        <v>110</v>
      </c>
      <c r="G1328" s="18">
        <f t="shared" si="245"/>
        <v>110</v>
      </c>
      <c r="H1328" s="19" t="str">
        <f t="shared" si="255"/>
        <v>110</v>
      </c>
      <c r="I1328" s="19">
        <f t="shared" si="246"/>
        <v>110</v>
      </c>
      <c r="J1328" s="30"/>
      <c r="K1328" s="30"/>
      <c r="L1328" s="30"/>
      <c r="M1328" s="30"/>
      <c r="N1328" s="33"/>
      <c r="O1328" s="30"/>
      <c r="P1328" s="29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c r="AJ1328" s="25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W1328" s="27">
        <f t="shared" si="247"/>
        <v>1.328E-3</v>
      </c>
      <c r="AX1328" s="27">
        <f t="shared" si="248"/>
        <v>1.328E-3</v>
      </c>
      <c r="AY1328" s="27">
        <f t="shared" si="249"/>
        <v>1.328E-3</v>
      </c>
      <c r="AZ1328" s="27">
        <f t="shared" si="250"/>
        <v>1.328E-3</v>
      </c>
    </row>
    <row r="1329" spans="1:52" ht="15" customHeight="1" x14ac:dyDescent="0.25">
      <c r="A1329" s="13" t="e">
        <f>VLOOKUP(L1329,[1]VALIDAÇÃO!$D$13:$E$350,2,0)</f>
        <v>#N/A</v>
      </c>
      <c r="B1329" s="14" t="str">
        <f t="shared" si="252"/>
        <v>109</v>
      </c>
      <c r="C1329" s="15">
        <f t="shared" si="251"/>
        <v>109</v>
      </c>
      <c r="D1329" s="16" t="str">
        <f t="shared" si="253"/>
        <v>109</v>
      </c>
      <c r="E1329" s="17">
        <f t="shared" si="244"/>
        <v>109</v>
      </c>
      <c r="F1329" s="18" t="str">
        <f t="shared" si="254"/>
        <v>109</v>
      </c>
      <c r="G1329" s="18">
        <f t="shared" si="245"/>
        <v>109</v>
      </c>
      <c r="H1329" s="19" t="str">
        <f t="shared" si="255"/>
        <v>109</v>
      </c>
      <c r="I1329" s="19">
        <f t="shared" si="246"/>
        <v>109</v>
      </c>
      <c r="J1329" s="30"/>
      <c r="K1329" s="30"/>
      <c r="L1329" s="30"/>
      <c r="M1329" s="30"/>
      <c r="N1329" s="33"/>
      <c r="O1329" s="30"/>
      <c r="P1329" s="29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c r="AJ1329" s="25"/>
      <c r="AK1329" s="30"/>
      <c r="AL1329" s="30"/>
      <c r="AM1329" s="30"/>
      <c r="AN1329" s="30"/>
      <c r="AO1329" s="30"/>
      <c r="AP1329" s="30"/>
      <c r="AQ1329" s="30"/>
      <c r="AR1329" s="30"/>
      <c r="AS1329" s="30"/>
      <c r="AT1329" s="30"/>
      <c r="AU1329" s="30"/>
      <c r="AW1329" s="27">
        <f t="shared" si="247"/>
        <v>1.3290000000000001E-3</v>
      </c>
      <c r="AX1329" s="27">
        <f t="shared" si="248"/>
        <v>1.3290000000000001E-3</v>
      </c>
      <c r="AY1329" s="27">
        <f t="shared" si="249"/>
        <v>1.3290000000000001E-3</v>
      </c>
      <c r="AZ1329" s="27">
        <f t="shared" si="250"/>
        <v>1.3290000000000001E-3</v>
      </c>
    </row>
    <row r="1330" spans="1:52" ht="15" customHeight="1" x14ac:dyDescent="0.25">
      <c r="A1330" s="13" t="e">
        <f>VLOOKUP(L1330,[1]VALIDAÇÃO!$D$13:$E$350,2,0)</f>
        <v>#N/A</v>
      </c>
      <c r="B1330" s="14" t="str">
        <f t="shared" si="252"/>
        <v>108</v>
      </c>
      <c r="C1330" s="15">
        <f t="shared" si="251"/>
        <v>108</v>
      </c>
      <c r="D1330" s="16" t="str">
        <f t="shared" si="253"/>
        <v>108</v>
      </c>
      <c r="E1330" s="17">
        <f t="shared" si="244"/>
        <v>108</v>
      </c>
      <c r="F1330" s="18" t="str">
        <f t="shared" si="254"/>
        <v>108</v>
      </c>
      <c r="G1330" s="18">
        <f t="shared" si="245"/>
        <v>108</v>
      </c>
      <c r="H1330" s="19" t="str">
        <f t="shared" si="255"/>
        <v>108</v>
      </c>
      <c r="I1330" s="19">
        <f t="shared" si="246"/>
        <v>108</v>
      </c>
      <c r="J1330" s="30"/>
      <c r="K1330" s="30"/>
      <c r="L1330" s="30"/>
      <c r="M1330" s="30"/>
      <c r="N1330" s="33"/>
      <c r="O1330" s="30"/>
      <c r="P1330" s="29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c r="AJ1330" s="25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W1330" s="27">
        <f t="shared" si="247"/>
        <v>1.33E-3</v>
      </c>
      <c r="AX1330" s="27">
        <f t="shared" si="248"/>
        <v>1.33E-3</v>
      </c>
      <c r="AY1330" s="27">
        <f t="shared" si="249"/>
        <v>1.33E-3</v>
      </c>
      <c r="AZ1330" s="27">
        <f t="shared" si="250"/>
        <v>1.33E-3</v>
      </c>
    </row>
    <row r="1331" spans="1:52" ht="15" customHeight="1" x14ac:dyDescent="0.25">
      <c r="A1331" s="13" t="e">
        <f>VLOOKUP(L1331,[1]VALIDAÇÃO!$D$13:$E$350,2,0)</f>
        <v>#N/A</v>
      </c>
      <c r="B1331" s="14" t="str">
        <f t="shared" si="252"/>
        <v>107</v>
      </c>
      <c r="C1331" s="15">
        <f t="shared" si="251"/>
        <v>107</v>
      </c>
      <c r="D1331" s="16" t="str">
        <f t="shared" si="253"/>
        <v>107</v>
      </c>
      <c r="E1331" s="17">
        <f t="shared" si="244"/>
        <v>107</v>
      </c>
      <c r="F1331" s="18" t="str">
        <f t="shared" si="254"/>
        <v>107</v>
      </c>
      <c r="G1331" s="18">
        <f t="shared" si="245"/>
        <v>107</v>
      </c>
      <c r="H1331" s="19" t="str">
        <f t="shared" si="255"/>
        <v>107</v>
      </c>
      <c r="I1331" s="19">
        <f t="shared" si="246"/>
        <v>107</v>
      </c>
      <c r="J1331" s="30"/>
      <c r="K1331" s="30"/>
      <c r="L1331" s="30"/>
      <c r="M1331" s="30"/>
      <c r="N1331" s="30"/>
      <c r="O1331" s="30"/>
      <c r="P1331" s="29"/>
      <c r="Q1331" s="29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c r="AJ1331" s="25"/>
      <c r="AK1331" s="30"/>
      <c r="AL1331" s="30"/>
      <c r="AM1331" s="30"/>
      <c r="AN1331" s="30"/>
      <c r="AO1331" s="30"/>
      <c r="AP1331" s="30"/>
      <c r="AQ1331" s="30"/>
      <c r="AR1331" s="30"/>
      <c r="AS1331" s="30"/>
      <c r="AT1331" s="30"/>
      <c r="AU1331" s="30"/>
      <c r="AW1331" s="27">
        <f t="shared" si="247"/>
        <v>1.3309999999999999E-3</v>
      </c>
      <c r="AX1331" s="27">
        <f t="shared" si="248"/>
        <v>1.3309999999999999E-3</v>
      </c>
      <c r="AY1331" s="27">
        <f t="shared" si="249"/>
        <v>1.3309999999999999E-3</v>
      </c>
      <c r="AZ1331" s="27">
        <f t="shared" si="250"/>
        <v>1.3309999999999999E-3</v>
      </c>
    </row>
    <row r="1332" spans="1:52" ht="15" customHeight="1" x14ac:dyDescent="0.25">
      <c r="A1332" s="13" t="e">
        <f>VLOOKUP(L1332,[1]VALIDAÇÃO!$D$13:$E$350,2,0)</f>
        <v>#N/A</v>
      </c>
      <c r="B1332" s="14" t="str">
        <f t="shared" si="252"/>
        <v>106</v>
      </c>
      <c r="C1332" s="15">
        <f t="shared" si="251"/>
        <v>106</v>
      </c>
      <c r="D1332" s="16" t="str">
        <f t="shared" si="253"/>
        <v>106</v>
      </c>
      <c r="E1332" s="17">
        <f t="shared" si="244"/>
        <v>106</v>
      </c>
      <c r="F1332" s="18" t="str">
        <f t="shared" si="254"/>
        <v>106</v>
      </c>
      <c r="G1332" s="18">
        <f t="shared" si="245"/>
        <v>106</v>
      </c>
      <c r="H1332" s="19" t="str">
        <f t="shared" si="255"/>
        <v>106</v>
      </c>
      <c r="I1332" s="19">
        <f t="shared" si="246"/>
        <v>106</v>
      </c>
      <c r="J1332" s="30"/>
      <c r="K1332" s="30"/>
      <c r="L1332" s="30"/>
      <c r="M1332" s="30"/>
      <c r="N1332" s="33"/>
      <c r="O1332" s="30"/>
      <c r="P1332" s="29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c r="AJ1332" s="25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W1332" s="27">
        <f t="shared" si="247"/>
        <v>1.3320000000000001E-3</v>
      </c>
      <c r="AX1332" s="27">
        <f t="shared" si="248"/>
        <v>1.3320000000000001E-3</v>
      </c>
      <c r="AY1332" s="27">
        <f t="shared" si="249"/>
        <v>1.3320000000000001E-3</v>
      </c>
      <c r="AZ1332" s="27">
        <f t="shared" si="250"/>
        <v>1.3320000000000001E-3</v>
      </c>
    </row>
    <row r="1333" spans="1:52" ht="15" customHeight="1" x14ac:dyDescent="0.25">
      <c r="A1333" s="13" t="e">
        <f>VLOOKUP(L1333,[1]VALIDAÇÃO!$D$13:$E$350,2,0)</f>
        <v>#N/A</v>
      </c>
      <c r="B1333" s="14" t="str">
        <f t="shared" si="252"/>
        <v>105</v>
      </c>
      <c r="C1333" s="15">
        <f t="shared" si="251"/>
        <v>105</v>
      </c>
      <c r="D1333" s="16" t="str">
        <f t="shared" si="253"/>
        <v>105</v>
      </c>
      <c r="E1333" s="17">
        <f t="shared" si="244"/>
        <v>105</v>
      </c>
      <c r="F1333" s="18" t="str">
        <f t="shared" si="254"/>
        <v>105</v>
      </c>
      <c r="G1333" s="18">
        <f t="shared" si="245"/>
        <v>105</v>
      </c>
      <c r="H1333" s="19" t="str">
        <f t="shared" si="255"/>
        <v>105</v>
      </c>
      <c r="I1333" s="19">
        <f t="shared" si="246"/>
        <v>105</v>
      </c>
      <c r="J1333" s="30"/>
      <c r="K1333" s="30"/>
      <c r="L1333" s="30"/>
      <c r="M1333" s="30"/>
      <c r="N1333" s="33"/>
      <c r="O1333" s="30"/>
      <c r="P1333" s="29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  <c r="AJ1333" s="25"/>
      <c r="AK1333" s="30"/>
      <c r="AL1333" s="30"/>
      <c r="AM1333" s="30"/>
      <c r="AN1333" s="30"/>
      <c r="AO1333" s="30"/>
      <c r="AP1333" s="30"/>
      <c r="AQ1333" s="30"/>
      <c r="AR1333" s="30"/>
      <c r="AS1333" s="30"/>
      <c r="AT1333" s="30"/>
      <c r="AU1333" s="30"/>
      <c r="AW1333" s="27">
        <f t="shared" si="247"/>
        <v>1.333E-3</v>
      </c>
      <c r="AX1333" s="27">
        <f t="shared" si="248"/>
        <v>1.333E-3</v>
      </c>
      <c r="AY1333" s="27">
        <f t="shared" si="249"/>
        <v>1.333E-3</v>
      </c>
      <c r="AZ1333" s="27">
        <f t="shared" si="250"/>
        <v>1.333E-3</v>
      </c>
    </row>
    <row r="1334" spans="1:52" ht="15" customHeight="1" x14ac:dyDescent="0.25">
      <c r="A1334" s="13" t="e">
        <f>VLOOKUP(L1334,[1]VALIDAÇÃO!$D$13:$E$350,2,0)</f>
        <v>#N/A</v>
      </c>
      <c r="B1334" s="14" t="str">
        <f t="shared" si="252"/>
        <v>104</v>
      </c>
      <c r="C1334" s="15">
        <f t="shared" si="251"/>
        <v>104</v>
      </c>
      <c r="D1334" s="16" t="str">
        <f t="shared" si="253"/>
        <v>104</v>
      </c>
      <c r="E1334" s="17">
        <f t="shared" si="244"/>
        <v>104</v>
      </c>
      <c r="F1334" s="18" t="str">
        <f t="shared" si="254"/>
        <v>104</v>
      </c>
      <c r="G1334" s="18">
        <f t="shared" si="245"/>
        <v>104</v>
      </c>
      <c r="H1334" s="19" t="str">
        <f t="shared" si="255"/>
        <v>104</v>
      </c>
      <c r="I1334" s="19">
        <f t="shared" si="246"/>
        <v>104</v>
      </c>
      <c r="J1334" s="30"/>
      <c r="K1334" s="30"/>
      <c r="L1334" s="30"/>
      <c r="M1334" s="30"/>
      <c r="N1334" s="33"/>
      <c r="O1334" s="30"/>
      <c r="P1334" s="29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  <c r="AJ1334" s="25"/>
      <c r="AK1334" s="30"/>
      <c r="AL1334" s="30"/>
      <c r="AM1334" s="30"/>
      <c r="AN1334" s="30"/>
      <c r="AO1334" s="30"/>
      <c r="AP1334" s="30"/>
      <c r="AQ1334" s="30"/>
      <c r="AR1334" s="30"/>
      <c r="AS1334" s="30"/>
      <c r="AT1334" s="30"/>
      <c r="AU1334" s="30"/>
      <c r="AW1334" s="27">
        <f t="shared" si="247"/>
        <v>1.3339999999999999E-3</v>
      </c>
      <c r="AX1334" s="27">
        <f t="shared" si="248"/>
        <v>1.3339999999999999E-3</v>
      </c>
      <c r="AY1334" s="27">
        <f t="shared" si="249"/>
        <v>1.3339999999999999E-3</v>
      </c>
      <c r="AZ1334" s="27">
        <f t="shared" si="250"/>
        <v>1.3339999999999999E-3</v>
      </c>
    </row>
    <row r="1335" spans="1:52" ht="15" customHeight="1" x14ac:dyDescent="0.25">
      <c r="A1335" s="13" t="e">
        <f>VLOOKUP(L1335,[1]VALIDAÇÃO!$D$13:$E$350,2,0)</f>
        <v>#N/A</v>
      </c>
      <c r="B1335" s="14" t="str">
        <f t="shared" si="252"/>
        <v>103</v>
      </c>
      <c r="C1335" s="15">
        <f t="shared" si="251"/>
        <v>103</v>
      </c>
      <c r="D1335" s="16" t="str">
        <f t="shared" si="253"/>
        <v>103</v>
      </c>
      <c r="E1335" s="17">
        <f t="shared" si="244"/>
        <v>103</v>
      </c>
      <c r="F1335" s="18" t="str">
        <f t="shared" si="254"/>
        <v>103</v>
      </c>
      <c r="G1335" s="18">
        <f t="shared" si="245"/>
        <v>103</v>
      </c>
      <c r="H1335" s="19" t="str">
        <f t="shared" si="255"/>
        <v>103</v>
      </c>
      <c r="I1335" s="19">
        <f t="shared" si="246"/>
        <v>103</v>
      </c>
      <c r="J1335" s="30"/>
      <c r="K1335" s="30"/>
      <c r="L1335" s="30"/>
      <c r="M1335" s="30"/>
      <c r="N1335" s="33"/>
      <c r="O1335" s="30"/>
      <c r="P1335" s="29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c r="AJ1335" s="25"/>
      <c r="AK1335" s="30"/>
      <c r="AL1335" s="30"/>
      <c r="AM1335" s="30"/>
      <c r="AN1335" s="30"/>
      <c r="AO1335" s="30"/>
      <c r="AP1335" s="30"/>
      <c r="AQ1335" s="30"/>
      <c r="AR1335" s="30"/>
      <c r="AS1335" s="30"/>
      <c r="AT1335" s="30"/>
      <c r="AU1335" s="30"/>
      <c r="AW1335" s="27">
        <f t="shared" si="247"/>
        <v>1.335E-3</v>
      </c>
      <c r="AX1335" s="27">
        <f t="shared" si="248"/>
        <v>1.335E-3</v>
      </c>
      <c r="AY1335" s="27">
        <f t="shared" si="249"/>
        <v>1.335E-3</v>
      </c>
      <c r="AZ1335" s="27">
        <f t="shared" si="250"/>
        <v>1.335E-3</v>
      </c>
    </row>
    <row r="1336" spans="1:52" ht="15" customHeight="1" x14ac:dyDescent="0.25">
      <c r="A1336" s="13" t="e">
        <f>VLOOKUP(L1336,[1]VALIDAÇÃO!$D$13:$E$350,2,0)</f>
        <v>#N/A</v>
      </c>
      <c r="B1336" s="14" t="str">
        <f t="shared" si="252"/>
        <v>102</v>
      </c>
      <c r="C1336" s="15">
        <f t="shared" si="251"/>
        <v>102</v>
      </c>
      <c r="D1336" s="16" t="str">
        <f t="shared" si="253"/>
        <v>102</v>
      </c>
      <c r="E1336" s="17">
        <f t="shared" si="244"/>
        <v>102</v>
      </c>
      <c r="F1336" s="18" t="str">
        <f t="shared" si="254"/>
        <v>102</v>
      </c>
      <c r="G1336" s="18">
        <f t="shared" si="245"/>
        <v>102</v>
      </c>
      <c r="H1336" s="19" t="str">
        <f t="shared" si="255"/>
        <v>102</v>
      </c>
      <c r="I1336" s="19">
        <f t="shared" si="246"/>
        <v>102</v>
      </c>
      <c r="J1336" s="30"/>
      <c r="K1336" s="30"/>
      <c r="L1336" s="30"/>
      <c r="M1336" s="30"/>
      <c r="N1336" s="33"/>
      <c r="O1336" s="30"/>
      <c r="P1336" s="29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25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W1336" s="27">
        <f t="shared" si="247"/>
        <v>1.3359999999999999E-3</v>
      </c>
      <c r="AX1336" s="27">
        <f t="shared" si="248"/>
        <v>1.3359999999999999E-3</v>
      </c>
      <c r="AY1336" s="27">
        <f t="shared" si="249"/>
        <v>1.3359999999999999E-3</v>
      </c>
      <c r="AZ1336" s="27">
        <f t="shared" si="250"/>
        <v>1.3359999999999999E-3</v>
      </c>
    </row>
    <row r="1337" spans="1:52" ht="15" customHeight="1" x14ac:dyDescent="0.25">
      <c r="A1337" s="13" t="e">
        <f>VLOOKUP(L1337,[1]VALIDAÇÃO!$D$13:$E$350,2,0)</f>
        <v>#N/A</v>
      </c>
      <c r="B1337" s="14" t="str">
        <f t="shared" si="252"/>
        <v>101</v>
      </c>
      <c r="C1337" s="15">
        <f t="shared" si="251"/>
        <v>101</v>
      </c>
      <c r="D1337" s="16" t="str">
        <f t="shared" si="253"/>
        <v>101</v>
      </c>
      <c r="E1337" s="17">
        <f t="shared" si="244"/>
        <v>101</v>
      </c>
      <c r="F1337" s="18" t="str">
        <f t="shared" si="254"/>
        <v>101</v>
      </c>
      <c r="G1337" s="18">
        <f t="shared" si="245"/>
        <v>101</v>
      </c>
      <c r="H1337" s="19" t="str">
        <f t="shared" si="255"/>
        <v>101</v>
      </c>
      <c r="I1337" s="19">
        <f t="shared" si="246"/>
        <v>101</v>
      </c>
      <c r="J1337" s="30"/>
      <c r="K1337" s="30"/>
      <c r="L1337" s="30"/>
      <c r="M1337" s="30"/>
      <c r="N1337" s="30"/>
      <c r="O1337" s="30"/>
      <c r="P1337" s="29"/>
      <c r="Q1337" s="29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c r="AJ1337" s="25"/>
      <c r="AK1337" s="30"/>
      <c r="AL1337" s="30"/>
      <c r="AM1337" s="30"/>
      <c r="AN1337" s="30"/>
      <c r="AO1337" s="30"/>
      <c r="AP1337" s="30"/>
      <c r="AQ1337" s="30"/>
      <c r="AR1337" s="30"/>
      <c r="AS1337" s="30"/>
      <c r="AT1337" s="30"/>
      <c r="AU1337" s="30"/>
      <c r="AW1337" s="27">
        <f t="shared" si="247"/>
        <v>1.3370000000000001E-3</v>
      </c>
      <c r="AX1337" s="27">
        <f t="shared" si="248"/>
        <v>1.3370000000000001E-3</v>
      </c>
      <c r="AY1337" s="27">
        <f t="shared" si="249"/>
        <v>1.3370000000000001E-3</v>
      </c>
      <c r="AZ1337" s="27">
        <f t="shared" si="250"/>
        <v>1.3370000000000001E-3</v>
      </c>
    </row>
    <row r="1338" spans="1:52" ht="15" customHeight="1" x14ac:dyDescent="0.25">
      <c r="A1338" s="13" t="e">
        <f>VLOOKUP(L1338,[1]VALIDAÇÃO!$D$13:$E$350,2,0)</f>
        <v>#N/A</v>
      </c>
      <c r="B1338" s="14" t="str">
        <f t="shared" si="252"/>
        <v>100</v>
      </c>
      <c r="C1338" s="15">
        <f t="shared" si="251"/>
        <v>100</v>
      </c>
      <c r="D1338" s="16" t="str">
        <f t="shared" si="253"/>
        <v>100</v>
      </c>
      <c r="E1338" s="17">
        <f t="shared" si="244"/>
        <v>100</v>
      </c>
      <c r="F1338" s="18" t="str">
        <f t="shared" si="254"/>
        <v>100</v>
      </c>
      <c r="G1338" s="18">
        <f t="shared" si="245"/>
        <v>100</v>
      </c>
      <c r="H1338" s="19" t="str">
        <f t="shared" si="255"/>
        <v>100</v>
      </c>
      <c r="I1338" s="19">
        <f t="shared" si="246"/>
        <v>100</v>
      </c>
      <c r="J1338" s="30"/>
      <c r="K1338" s="30"/>
      <c r="L1338" s="30"/>
      <c r="M1338" s="30"/>
      <c r="N1338" s="33"/>
      <c r="O1338" s="30"/>
      <c r="P1338" s="29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c r="AJ1338" s="25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W1338" s="27">
        <f t="shared" si="247"/>
        <v>1.338E-3</v>
      </c>
      <c r="AX1338" s="27">
        <f t="shared" si="248"/>
        <v>1.338E-3</v>
      </c>
      <c r="AY1338" s="27">
        <f t="shared" si="249"/>
        <v>1.338E-3</v>
      </c>
      <c r="AZ1338" s="27">
        <f t="shared" si="250"/>
        <v>1.338E-3</v>
      </c>
    </row>
    <row r="1339" spans="1:52" ht="15" customHeight="1" x14ac:dyDescent="0.25">
      <c r="A1339" s="13" t="e">
        <f>VLOOKUP(L1339,[1]VALIDAÇÃO!$D$13:$E$350,2,0)</f>
        <v>#N/A</v>
      </c>
      <c r="B1339" s="14" t="str">
        <f t="shared" si="252"/>
        <v>99</v>
      </c>
      <c r="C1339" s="15">
        <f t="shared" si="251"/>
        <v>99</v>
      </c>
      <c r="D1339" s="16" t="str">
        <f t="shared" si="253"/>
        <v>99</v>
      </c>
      <c r="E1339" s="17">
        <f t="shared" si="244"/>
        <v>99</v>
      </c>
      <c r="F1339" s="18" t="str">
        <f t="shared" si="254"/>
        <v>99</v>
      </c>
      <c r="G1339" s="18">
        <f t="shared" si="245"/>
        <v>99</v>
      </c>
      <c r="H1339" s="19" t="str">
        <f t="shared" si="255"/>
        <v>99</v>
      </c>
      <c r="I1339" s="19">
        <f t="shared" si="246"/>
        <v>99</v>
      </c>
      <c r="J1339" s="30"/>
      <c r="K1339" s="30"/>
      <c r="L1339" s="30"/>
      <c r="M1339" s="30"/>
      <c r="N1339" s="33"/>
      <c r="O1339" s="30"/>
      <c r="P1339" s="29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25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W1339" s="27">
        <f t="shared" si="247"/>
        <v>1.3389999999999999E-3</v>
      </c>
      <c r="AX1339" s="27">
        <f t="shared" si="248"/>
        <v>1.3389999999999999E-3</v>
      </c>
      <c r="AY1339" s="27">
        <f t="shared" si="249"/>
        <v>1.3389999999999999E-3</v>
      </c>
      <c r="AZ1339" s="27">
        <f t="shared" si="250"/>
        <v>1.3389999999999999E-3</v>
      </c>
    </row>
    <row r="1340" spans="1:52" ht="15" customHeight="1" x14ac:dyDescent="0.25">
      <c r="A1340" s="13" t="e">
        <f>VLOOKUP(L1340,[1]VALIDAÇÃO!$D$13:$E$350,2,0)</f>
        <v>#N/A</v>
      </c>
      <c r="B1340" s="14" t="str">
        <f t="shared" si="252"/>
        <v>98</v>
      </c>
      <c r="C1340" s="15">
        <f t="shared" si="251"/>
        <v>98</v>
      </c>
      <c r="D1340" s="16" t="str">
        <f t="shared" si="253"/>
        <v>98</v>
      </c>
      <c r="E1340" s="17">
        <f t="shared" si="244"/>
        <v>98</v>
      </c>
      <c r="F1340" s="18" t="str">
        <f t="shared" si="254"/>
        <v>98</v>
      </c>
      <c r="G1340" s="18">
        <f t="shared" si="245"/>
        <v>98</v>
      </c>
      <c r="H1340" s="19" t="str">
        <f t="shared" si="255"/>
        <v>98</v>
      </c>
      <c r="I1340" s="19">
        <f t="shared" si="246"/>
        <v>98</v>
      </c>
      <c r="J1340" s="30"/>
      <c r="K1340" s="30"/>
      <c r="L1340" s="30"/>
      <c r="M1340" s="30"/>
      <c r="N1340" s="33"/>
      <c r="O1340" s="30"/>
      <c r="P1340" s="29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  <c r="AJ1340" s="25"/>
      <c r="AK1340" s="30"/>
      <c r="AL1340" s="30"/>
      <c r="AM1340" s="30"/>
      <c r="AN1340" s="30"/>
      <c r="AO1340" s="30"/>
      <c r="AP1340" s="30"/>
      <c r="AQ1340" s="30"/>
      <c r="AR1340" s="30"/>
      <c r="AS1340" s="30"/>
      <c r="AT1340" s="30"/>
      <c r="AU1340" s="30"/>
      <c r="AW1340" s="27">
        <f t="shared" si="247"/>
        <v>1.34E-3</v>
      </c>
      <c r="AX1340" s="27">
        <f t="shared" si="248"/>
        <v>1.34E-3</v>
      </c>
      <c r="AY1340" s="27">
        <f t="shared" si="249"/>
        <v>1.34E-3</v>
      </c>
      <c r="AZ1340" s="27">
        <f t="shared" si="250"/>
        <v>1.34E-3</v>
      </c>
    </row>
    <row r="1341" spans="1:52" ht="15" customHeight="1" x14ac:dyDescent="0.25">
      <c r="A1341" s="13" t="e">
        <f>VLOOKUP(L1341,[1]VALIDAÇÃO!$D$13:$E$350,2,0)</f>
        <v>#N/A</v>
      </c>
      <c r="B1341" s="14" t="str">
        <f t="shared" si="252"/>
        <v>97</v>
      </c>
      <c r="C1341" s="15">
        <f t="shared" si="251"/>
        <v>97</v>
      </c>
      <c r="D1341" s="16" t="str">
        <f t="shared" si="253"/>
        <v>97</v>
      </c>
      <c r="E1341" s="17">
        <f t="shared" si="244"/>
        <v>97</v>
      </c>
      <c r="F1341" s="18" t="str">
        <f t="shared" si="254"/>
        <v>97</v>
      </c>
      <c r="G1341" s="18">
        <f t="shared" si="245"/>
        <v>97</v>
      </c>
      <c r="H1341" s="19" t="str">
        <f t="shared" si="255"/>
        <v>97</v>
      </c>
      <c r="I1341" s="19">
        <f t="shared" si="246"/>
        <v>97</v>
      </c>
      <c r="J1341" s="30"/>
      <c r="K1341" s="30"/>
      <c r="L1341" s="30"/>
      <c r="M1341" s="30"/>
      <c r="N1341" s="30"/>
      <c r="O1341" s="30"/>
      <c r="P1341" s="29"/>
      <c r="Q1341" s="29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  <c r="AJ1341" s="25"/>
      <c r="AK1341" s="30"/>
      <c r="AL1341" s="30"/>
      <c r="AM1341" s="30"/>
      <c r="AN1341" s="30"/>
      <c r="AO1341" s="30"/>
      <c r="AP1341" s="30"/>
      <c r="AQ1341" s="30"/>
      <c r="AR1341" s="30"/>
      <c r="AS1341" s="30"/>
      <c r="AT1341" s="30"/>
      <c r="AU1341" s="30"/>
      <c r="AW1341" s="27">
        <f t="shared" si="247"/>
        <v>1.341E-3</v>
      </c>
      <c r="AX1341" s="27">
        <f t="shared" si="248"/>
        <v>1.341E-3</v>
      </c>
      <c r="AY1341" s="27">
        <f t="shared" si="249"/>
        <v>1.341E-3</v>
      </c>
      <c r="AZ1341" s="27">
        <f t="shared" si="250"/>
        <v>1.341E-3</v>
      </c>
    </row>
    <row r="1342" spans="1:52" ht="15" customHeight="1" x14ac:dyDescent="0.25">
      <c r="A1342" s="13" t="e">
        <f>VLOOKUP(L1342,[1]VALIDAÇÃO!$D$13:$E$350,2,0)</f>
        <v>#N/A</v>
      </c>
      <c r="B1342" s="14" t="str">
        <f t="shared" si="252"/>
        <v>96</v>
      </c>
      <c r="C1342" s="15">
        <f t="shared" si="251"/>
        <v>96</v>
      </c>
      <c r="D1342" s="16" t="str">
        <f t="shared" si="253"/>
        <v>96</v>
      </c>
      <c r="E1342" s="17">
        <f t="shared" si="244"/>
        <v>96</v>
      </c>
      <c r="F1342" s="18" t="str">
        <f t="shared" si="254"/>
        <v>96</v>
      </c>
      <c r="G1342" s="18">
        <f t="shared" si="245"/>
        <v>96</v>
      </c>
      <c r="H1342" s="19" t="str">
        <f t="shared" si="255"/>
        <v>96</v>
      </c>
      <c r="I1342" s="19">
        <f t="shared" si="246"/>
        <v>96</v>
      </c>
      <c r="J1342" s="30"/>
      <c r="K1342" s="30"/>
      <c r="L1342" s="30"/>
      <c r="M1342" s="30"/>
      <c r="N1342" s="30"/>
      <c r="O1342" s="30"/>
      <c r="P1342" s="29"/>
      <c r="Q1342" s="29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0"/>
      <c r="AJ1342" s="25"/>
      <c r="AK1342" s="30"/>
      <c r="AL1342" s="30"/>
      <c r="AM1342" s="30"/>
      <c r="AN1342" s="30"/>
      <c r="AO1342" s="30"/>
      <c r="AP1342" s="30"/>
      <c r="AQ1342" s="30"/>
      <c r="AR1342" s="30"/>
      <c r="AS1342" s="30"/>
      <c r="AT1342" s="30"/>
      <c r="AU1342" s="30"/>
      <c r="AW1342" s="27">
        <f t="shared" si="247"/>
        <v>1.3420000000000001E-3</v>
      </c>
      <c r="AX1342" s="27">
        <f t="shared" si="248"/>
        <v>1.3420000000000001E-3</v>
      </c>
      <c r="AY1342" s="27">
        <f t="shared" si="249"/>
        <v>1.3420000000000001E-3</v>
      </c>
      <c r="AZ1342" s="27">
        <f t="shared" si="250"/>
        <v>1.3420000000000001E-3</v>
      </c>
    </row>
    <row r="1343" spans="1:52" ht="15" customHeight="1" x14ac:dyDescent="0.25">
      <c r="A1343" s="13" t="e">
        <f>VLOOKUP(L1343,[1]VALIDAÇÃO!$D$13:$E$350,2,0)</f>
        <v>#N/A</v>
      </c>
      <c r="B1343" s="14" t="str">
        <f t="shared" si="252"/>
        <v>95</v>
      </c>
      <c r="C1343" s="15">
        <f t="shared" si="251"/>
        <v>95</v>
      </c>
      <c r="D1343" s="16" t="str">
        <f t="shared" si="253"/>
        <v>95</v>
      </c>
      <c r="E1343" s="17">
        <f t="shared" si="244"/>
        <v>95</v>
      </c>
      <c r="F1343" s="18" t="str">
        <f t="shared" si="254"/>
        <v>95</v>
      </c>
      <c r="G1343" s="18">
        <f t="shared" si="245"/>
        <v>95</v>
      </c>
      <c r="H1343" s="19" t="str">
        <f t="shared" si="255"/>
        <v>95</v>
      </c>
      <c r="I1343" s="19">
        <f t="shared" si="246"/>
        <v>95</v>
      </c>
      <c r="J1343" s="30"/>
      <c r="K1343" s="30"/>
      <c r="L1343" s="30"/>
      <c r="M1343" s="30"/>
      <c r="N1343" s="30"/>
      <c r="O1343" s="30"/>
      <c r="P1343" s="29"/>
      <c r="Q1343" s="29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0"/>
      <c r="AJ1343" s="25"/>
      <c r="AK1343" s="30"/>
      <c r="AL1343" s="30"/>
      <c r="AM1343" s="30"/>
      <c r="AN1343" s="30"/>
      <c r="AO1343" s="30"/>
      <c r="AP1343" s="30"/>
      <c r="AQ1343" s="30"/>
      <c r="AR1343" s="30"/>
      <c r="AS1343" s="30"/>
      <c r="AT1343" s="30"/>
      <c r="AU1343" s="30"/>
      <c r="AW1343" s="27">
        <f t="shared" si="247"/>
        <v>1.343E-3</v>
      </c>
      <c r="AX1343" s="27">
        <f t="shared" si="248"/>
        <v>1.343E-3</v>
      </c>
      <c r="AY1343" s="27">
        <f t="shared" si="249"/>
        <v>1.343E-3</v>
      </c>
      <c r="AZ1343" s="27">
        <f t="shared" si="250"/>
        <v>1.343E-3</v>
      </c>
    </row>
    <row r="1344" spans="1:52" ht="15" customHeight="1" x14ac:dyDescent="0.25">
      <c r="A1344" s="13" t="e">
        <f>VLOOKUP(L1344,[1]VALIDAÇÃO!$D$13:$E$350,2,0)</f>
        <v>#N/A</v>
      </c>
      <c r="B1344" s="14" t="str">
        <f t="shared" si="252"/>
        <v>94</v>
      </c>
      <c r="C1344" s="15">
        <f t="shared" si="251"/>
        <v>94</v>
      </c>
      <c r="D1344" s="16" t="str">
        <f t="shared" si="253"/>
        <v>94</v>
      </c>
      <c r="E1344" s="17">
        <f t="shared" si="244"/>
        <v>94</v>
      </c>
      <c r="F1344" s="18" t="str">
        <f t="shared" si="254"/>
        <v>94</v>
      </c>
      <c r="G1344" s="18">
        <f t="shared" si="245"/>
        <v>94</v>
      </c>
      <c r="H1344" s="19" t="str">
        <f t="shared" si="255"/>
        <v>94</v>
      </c>
      <c r="I1344" s="19">
        <f t="shared" si="246"/>
        <v>94</v>
      </c>
      <c r="J1344" s="30"/>
      <c r="K1344" s="30"/>
      <c r="L1344" s="30"/>
      <c r="M1344" s="30"/>
      <c r="N1344" s="33"/>
      <c r="O1344" s="30"/>
      <c r="P1344" s="29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  <c r="AJ1344" s="25"/>
      <c r="AK1344" s="30"/>
      <c r="AL1344" s="30"/>
      <c r="AM1344" s="30"/>
      <c r="AN1344" s="30"/>
      <c r="AO1344" s="30"/>
      <c r="AP1344" s="30"/>
      <c r="AQ1344" s="30"/>
      <c r="AR1344" s="30"/>
      <c r="AS1344" s="30"/>
      <c r="AT1344" s="30"/>
      <c r="AU1344" s="30"/>
      <c r="AW1344" s="27">
        <f t="shared" si="247"/>
        <v>1.3439999999999999E-3</v>
      </c>
      <c r="AX1344" s="27">
        <f t="shared" si="248"/>
        <v>1.3439999999999999E-3</v>
      </c>
      <c r="AY1344" s="27">
        <f t="shared" si="249"/>
        <v>1.3439999999999999E-3</v>
      </c>
      <c r="AZ1344" s="27">
        <f t="shared" si="250"/>
        <v>1.3439999999999999E-3</v>
      </c>
    </row>
    <row r="1345" spans="1:52" ht="15" customHeight="1" x14ac:dyDescent="0.25">
      <c r="A1345" s="13" t="e">
        <f>VLOOKUP(L1345,[1]VALIDAÇÃO!$D$13:$E$350,2,0)</f>
        <v>#N/A</v>
      </c>
      <c r="B1345" s="14" t="str">
        <f t="shared" si="252"/>
        <v>93</v>
      </c>
      <c r="C1345" s="15">
        <f t="shared" si="251"/>
        <v>93</v>
      </c>
      <c r="D1345" s="16" t="str">
        <f t="shared" si="253"/>
        <v>93</v>
      </c>
      <c r="E1345" s="17">
        <f t="shared" si="244"/>
        <v>93</v>
      </c>
      <c r="F1345" s="18" t="str">
        <f t="shared" si="254"/>
        <v>93</v>
      </c>
      <c r="G1345" s="18">
        <f t="shared" si="245"/>
        <v>93</v>
      </c>
      <c r="H1345" s="19" t="str">
        <f t="shared" si="255"/>
        <v>93</v>
      </c>
      <c r="I1345" s="19">
        <f t="shared" si="246"/>
        <v>93</v>
      </c>
      <c r="J1345" s="30"/>
      <c r="K1345" s="30"/>
      <c r="L1345" s="30"/>
      <c r="M1345" s="30"/>
      <c r="N1345" s="33"/>
      <c r="O1345" s="30"/>
      <c r="P1345" s="29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  <c r="AJ1345" s="25"/>
      <c r="AK1345" s="30"/>
      <c r="AL1345" s="30"/>
      <c r="AM1345" s="30"/>
      <c r="AN1345" s="30"/>
      <c r="AO1345" s="30"/>
      <c r="AP1345" s="30"/>
      <c r="AQ1345" s="30"/>
      <c r="AR1345" s="30"/>
      <c r="AS1345" s="30"/>
      <c r="AT1345" s="30"/>
      <c r="AU1345" s="30"/>
      <c r="AW1345" s="27">
        <f t="shared" si="247"/>
        <v>1.3450000000000001E-3</v>
      </c>
      <c r="AX1345" s="27">
        <f t="shared" si="248"/>
        <v>1.3450000000000001E-3</v>
      </c>
      <c r="AY1345" s="27">
        <f t="shared" si="249"/>
        <v>1.3450000000000001E-3</v>
      </c>
      <c r="AZ1345" s="27">
        <f t="shared" si="250"/>
        <v>1.3450000000000001E-3</v>
      </c>
    </row>
    <row r="1346" spans="1:52" ht="15" customHeight="1" x14ac:dyDescent="0.25">
      <c r="A1346" s="13" t="e">
        <f>VLOOKUP(L1346,[1]VALIDAÇÃO!$D$13:$E$350,2,0)</f>
        <v>#N/A</v>
      </c>
      <c r="B1346" s="14" t="str">
        <f t="shared" si="252"/>
        <v>92</v>
      </c>
      <c r="C1346" s="15">
        <f t="shared" si="251"/>
        <v>92</v>
      </c>
      <c r="D1346" s="16" t="str">
        <f t="shared" si="253"/>
        <v>92</v>
      </c>
      <c r="E1346" s="17">
        <f t="shared" ref="E1346:E1409" si="256">1+SUMPRODUCT(($J$2:$J$1437=$J1346)*(AX$2:AX$1437&gt;AX1346))</f>
        <v>92</v>
      </c>
      <c r="F1346" s="18" t="str">
        <f t="shared" si="254"/>
        <v>92</v>
      </c>
      <c r="G1346" s="18">
        <f t="shared" ref="G1346:G1409" si="257">1+SUMPRODUCT(($J$2:$J$1437=$J1346)*(AY$2:AY$1437&gt;AY1346))</f>
        <v>92</v>
      </c>
      <c r="H1346" s="19" t="str">
        <f t="shared" si="255"/>
        <v>92</v>
      </c>
      <c r="I1346" s="19">
        <f t="shared" ref="I1346:I1409" si="258">1+SUMPRODUCT(($J$2:$J$1437=$J1346)*(AZ$2:AZ$1437&gt;AZ1346))</f>
        <v>92</v>
      </c>
      <c r="J1346" s="30"/>
      <c r="K1346" s="30"/>
      <c r="L1346" s="30"/>
      <c r="M1346" s="30"/>
      <c r="N1346" s="33"/>
      <c r="O1346" s="30"/>
      <c r="P1346" s="29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  <c r="AJ1346" s="25"/>
      <c r="AK1346" s="30"/>
      <c r="AL1346" s="30"/>
      <c r="AM1346" s="30"/>
      <c r="AN1346" s="30"/>
      <c r="AO1346" s="30"/>
      <c r="AP1346" s="30"/>
      <c r="AQ1346" s="30"/>
      <c r="AR1346" s="30"/>
      <c r="AS1346" s="30"/>
      <c r="AT1346" s="30"/>
      <c r="AU1346" s="30"/>
      <c r="AW1346" s="27">
        <f t="shared" ref="AW1346:AW1409" si="259">AJ1346+ROW(C1346)/1000000</f>
        <v>1.346E-3</v>
      </c>
      <c r="AX1346" s="27">
        <f t="shared" ref="AX1346:AX1409" si="260">AD1346+ROW(C1346)/1000000</f>
        <v>1.346E-3</v>
      </c>
      <c r="AY1346" s="27">
        <f t="shared" ref="AY1346:AY1409" si="261">AB1346+ROW(A1346)/1000000</f>
        <v>1.346E-3</v>
      </c>
      <c r="AZ1346" s="27">
        <f t="shared" ref="AZ1346:AZ1409" si="262">AP1346+ROW(A1346)/1000000</f>
        <v>1.346E-3</v>
      </c>
    </row>
    <row r="1347" spans="1:52" ht="15" customHeight="1" x14ac:dyDescent="0.25">
      <c r="A1347" s="13" t="e">
        <f>VLOOKUP(L1347,[1]VALIDAÇÃO!$D$13:$E$350,2,0)</f>
        <v>#N/A</v>
      </c>
      <c r="B1347" s="14" t="str">
        <f t="shared" si="252"/>
        <v>91</v>
      </c>
      <c r="C1347" s="15">
        <f t="shared" ref="C1347:C1410" si="263">1+SUMPRODUCT(($J$2:$J$1437=J1347)*($AW$2:$AW$1437&gt;AW1347))</f>
        <v>91</v>
      </c>
      <c r="D1347" s="16" t="str">
        <f t="shared" si="253"/>
        <v>91</v>
      </c>
      <c r="E1347" s="17">
        <f t="shared" si="256"/>
        <v>91</v>
      </c>
      <c r="F1347" s="18" t="str">
        <f t="shared" si="254"/>
        <v>91</v>
      </c>
      <c r="G1347" s="18">
        <f t="shared" si="257"/>
        <v>91</v>
      </c>
      <c r="H1347" s="19" t="str">
        <f t="shared" si="255"/>
        <v>91</v>
      </c>
      <c r="I1347" s="19">
        <f t="shared" si="258"/>
        <v>91</v>
      </c>
      <c r="J1347" s="30"/>
      <c r="K1347" s="30"/>
      <c r="L1347" s="30"/>
      <c r="M1347" s="30"/>
      <c r="N1347" s="30"/>
      <c r="O1347" s="30"/>
      <c r="P1347" s="29"/>
      <c r="Q1347" s="29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0"/>
      <c r="AJ1347" s="25"/>
      <c r="AK1347" s="30"/>
      <c r="AL1347" s="30"/>
      <c r="AM1347" s="30"/>
      <c r="AN1347" s="30"/>
      <c r="AO1347" s="30"/>
      <c r="AP1347" s="30"/>
      <c r="AQ1347" s="30"/>
      <c r="AR1347" s="30"/>
      <c r="AS1347" s="30"/>
      <c r="AT1347" s="30"/>
      <c r="AU1347" s="30"/>
      <c r="AW1347" s="27">
        <f t="shared" si="259"/>
        <v>1.3470000000000001E-3</v>
      </c>
      <c r="AX1347" s="27">
        <f t="shared" si="260"/>
        <v>1.3470000000000001E-3</v>
      </c>
      <c r="AY1347" s="27">
        <f t="shared" si="261"/>
        <v>1.3470000000000001E-3</v>
      </c>
      <c r="AZ1347" s="27">
        <f t="shared" si="262"/>
        <v>1.3470000000000001E-3</v>
      </c>
    </row>
    <row r="1348" spans="1:52" ht="15" customHeight="1" x14ac:dyDescent="0.25">
      <c r="A1348" s="13" t="e">
        <f>VLOOKUP(L1348,[1]VALIDAÇÃO!$D$13:$E$350,2,0)</f>
        <v>#N/A</v>
      </c>
      <c r="B1348" s="14" t="str">
        <f t="shared" si="252"/>
        <v>90</v>
      </c>
      <c r="C1348" s="15">
        <f t="shared" si="263"/>
        <v>90</v>
      </c>
      <c r="D1348" s="16" t="str">
        <f t="shared" si="253"/>
        <v>90</v>
      </c>
      <c r="E1348" s="17">
        <f t="shared" si="256"/>
        <v>90</v>
      </c>
      <c r="F1348" s="18" t="str">
        <f t="shared" si="254"/>
        <v>90</v>
      </c>
      <c r="G1348" s="18">
        <f t="shared" si="257"/>
        <v>90</v>
      </c>
      <c r="H1348" s="19" t="str">
        <f t="shared" si="255"/>
        <v>90</v>
      </c>
      <c r="I1348" s="19">
        <f t="shared" si="258"/>
        <v>90</v>
      </c>
      <c r="J1348" s="30"/>
      <c r="K1348" s="30"/>
      <c r="L1348" s="30"/>
      <c r="M1348" s="30"/>
      <c r="N1348" s="30"/>
      <c r="O1348" s="30"/>
      <c r="P1348" s="29"/>
      <c r="Q1348" s="29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0"/>
      <c r="AJ1348" s="25"/>
      <c r="AK1348" s="30"/>
      <c r="AL1348" s="30"/>
      <c r="AM1348" s="30"/>
      <c r="AN1348" s="30"/>
      <c r="AO1348" s="30"/>
      <c r="AP1348" s="30"/>
      <c r="AQ1348" s="30"/>
      <c r="AR1348" s="30"/>
      <c r="AS1348" s="30"/>
      <c r="AT1348" s="30"/>
      <c r="AU1348" s="30"/>
      <c r="AW1348" s="27">
        <f t="shared" si="259"/>
        <v>1.348E-3</v>
      </c>
      <c r="AX1348" s="27">
        <f t="shared" si="260"/>
        <v>1.348E-3</v>
      </c>
      <c r="AY1348" s="27">
        <f t="shared" si="261"/>
        <v>1.348E-3</v>
      </c>
      <c r="AZ1348" s="27">
        <f t="shared" si="262"/>
        <v>1.348E-3</v>
      </c>
    </row>
    <row r="1349" spans="1:52" ht="15" customHeight="1" x14ac:dyDescent="0.25">
      <c r="A1349" s="13" t="e">
        <f>VLOOKUP(L1349,[1]VALIDAÇÃO!$D$13:$E$350,2,0)</f>
        <v>#N/A</v>
      </c>
      <c r="B1349" s="14" t="str">
        <f t="shared" si="252"/>
        <v>89</v>
      </c>
      <c r="C1349" s="15">
        <f t="shared" si="263"/>
        <v>89</v>
      </c>
      <c r="D1349" s="16" t="str">
        <f t="shared" si="253"/>
        <v>89</v>
      </c>
      <c r="E1349" s="17">
        <f t="shared" si="256"/>
        <v>89</v>
      </c>
      <c r="F1349" s="18" t="str">
        <f t="shared" si="254"/>
        <v>89</v>
      </c>
      <c r="G1349" s="18">
        <f t="shared" si="257"/>
        <v>89</v>
      </c>
      <c r="H1349" s="19" t="str">
        <f t="shared" si="255"/>
        <v>89</v>
      </c>
      <c r="I1349" s="19">
        <f t="shared" si="258"/>
        <v>89</v>
      </c>
      <c r="J1349" s="30"/>
      <c r="K1349" s="30"/>
      <c r="L1349" s="30"/>
      <c r="M1349" s="30"/>
      <c r="N1349" s="30"/>
      <c r="O1349" s="30"/>
      <c r="P1349" s="29"/>
      <c r="Q1349" s="29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  <c r="AJ1349" s="25"/>
      <c r="AK1349" s="30"/>
      <c r="AL1349" s="30"/>
      <c r="AM1349" s="30"/>
      <c r="AN1349" s="30"/>
      <c r="AO1349" s="30"/>
      <c r="AP1349" s="30"/>
      <c r="AQ1349" s="30"/>
      <c r="AR1349" s="30"/>
      <c r="AS1349" s="30"/>
      <c r="AT1349" s="30"/>
      <c r="AU1349" s="30"/>
      <c r="AW1349" s="27">
        <f t="shared" si="259"/>
        <v>1.3489999999999999E-3</v>
      </c>
      <c r="AX1349" s="27">
        <f t="shared" si="260"/>
        <v>1.3489999999999999E-3</v>
      </c>
      <c r="AY1349" s="27">
        <f t="shared" si="261"/>
        <v>1.3489999999999999E-3</v>
      </c>
      <c r="AZ1349" s="27">
        <f t="shared" si="262"/>
        <v>1.3489999999999999E-3</v>
      </c>
    </row>
    <row r="1350" spans="1:52" ht="15" customHeight="1" x14ac:dyDescent="0.25">
      <c r="A1350" s="13" t="e">
        <f>VLOOKUP(L1350,[1]VALIDAÇÃO!$D$13:$E$350,2,0)</f>
        <v>#N/A</v>
      </c>
      <c r="B1350" s="14" t="str">
        <f t="shared" si="252"/>
        <v>88</v>
      </c>
      <c r="C1350" s="15">
        <f t="shared" si="263"/>
        <v>88</v>
      </c>
      <c r="D1350" s="16" t="str">
        <f t="shared" si="253"/>
        <v>88</v>
      </c>
      <c r="E1350" s="17">
        <f t="shared" si="256"/>
        <v>88</v>
      </c>
      <c r="F1350" s="18" t="str">
        <f t="shared" si="254"/>
        <v>88</v>
      </c>
      <c r="G1350" s="18">
        <f t="shared" si="257"/>
        <v>88</v>
      </c>
      <c r="H1350" s="19" t="str">
        <f t="shared" si="255"/>
        <v>88</v>
      </c>
      <c r="I1350" s="19">
        <f t="shared" si="258"/>
        <v>88</v>
      </c>
      <c r="J1350" s="30"/>
      <c r="K1350" s="30"/>
      <c r="L1350" s="30"/>
      <c r="M1350" s="30"/>
      <c r="N1350" s="30"/>
      <c r="O1350" s="30"/>
      <c r="P1350" s="29"/>
      <c r="Q1350" s="29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0"/>
      <c r="AJ1350" s="25"/>
      <c r="AK1350" s="30"/>
      <c r="AL1350" s="30"/>
      <c r="AM1350" s="30"/>
      <c r="AN1350" s="30"/>
      <c r="AO1350" s="30"/>
      <c r="AP1350" s="30"/>
      <c r="AQ1350" s="30"/>
      <c r="AR1350" s="30"/>
      <c r="AS1350" s="30"/>
      <c r="AT1350" s="30"/>
      <c r="AU1350" s="30"/>
      <c r="AW1350" s="27">
        <f t="shared" si="259"/>
        <v>1.3500000000000001E-3</v>
      </c>
      <c r="AX1350" s="27">
        <f t="shared" si="260"/>
        <v>1.3500000000000001E-3</v>
      </c>
      <c r="AY1350" s="27">
        <f t="shared" si="261"/>
        <v>1.3500000000000001E-3</v>
      </c>
      <c r="AZ1350" s="27">
        <f t="shared" si="262"/>
        <v>1.3500000000000001E-3</v>
      </c>
    </row>
    <row r="1351" spans="1:52" ht="15" customHeight="1" x14ac:dyDescent="0.25">
      <c r="A1351" s="13" t="e">
        <f>VLOOKUP(L1351,[1]VALIDAÇÃO!$D$13:$E$350,2,0)</f>
        <v>#N/A</v>
      </c>
      <c r="B1351" s="14" t="str">
        <f t="shared" si="252"/>
        <v>87</v>
      </c>
      <c r="C1351" s="15">
        <f t="shared" si="263"/>
        <v>87</v>
      </c>
      <c r="D1351" s="16" t="str">
        <f t="shared" si="253"/>
        <v>87</v>
      </c>
      <c r="E1351" s="17">
        <f t="shared" si="256"/>
        <v>87</v>
      </c>
      <c r="F1351" s="18" t="str">
        <f t="shared" si="254"/>
        <v>87</v>
      </c>
      <c r="G1351" s="18">
        <f t="shared" si="257"/>
        <v>87</v>
      </c>
      <c r="H1351" s="19" t="str">
        <f t="shared" si="255"/>
        <v>87</v>
      </c>
      <c r="I1351" s="19">
        <f t="shared" si="258"/>
        <v>87</v>
      </c>
      <c r="J1351" s="30"/>
      <c r="K1351" s="30"/>
      <c r="L1351" s="30"/>
      <c r="M1351" s="30"/>
      <c r="N1351" s="30"/>
      <c r="O1351" s="30"/>
      <c r="P1351" s="29"/>
      <c r="Q1351" s="29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  <c r="AJ1351" s="25"/>
      <c r="AK1351" s="30"/>
      <c r="AL1351" s="30"/>
      <c r="AM1351" s="30"/>
      <c r="AN1351" s="30"/>
      <c r="AO1351" s="30"/>
      <c r="AP1351" s="30"/>
      <c r="AQ1351" s="30"/>
      <c r="AR1351" s="30"/>
      <c r="AS1351" s="30"/>
      <c r="AT1351" s="30"/>
      <c r="AU1351" s="30"/>
      <c r="AW1351" s="27">
        <f t="shared" si="259"/>
        <v>1.351E-3</v>
      </c>
      <c r="AX1351" s="27">
        <f t="shared" si="260"/>
        <v>1.351E-3</v>
      </c>
      <c r="AY1351" s="27">
        <f t="shared" si="261"/>
        <v>1.351E-3</v>
      </c>
      <c r="AZ1351" s="27">
        <f t="shared" si="262"/>
        <v>1.351E-3</v>
      </c>
    </row>
    <row r="1352" spans="1:52" ht="15" customHeight="1" x14ac:dyDescent="0.25">
      <c r="A1352" s="13" t="e">
        <f>VLOOKUP(L1352,[1]VALIDAÇÃO!$D$13:$E$350,2,0)</f>
        <v>#N/A</v>
      </c>
      <c r="B1352" s="14" t="str">
        <f t="shared" si="252"/>
        <v>86</v>
      </c>
      <c r="C1352" s="15">
        <f t="shared" si="263"/>
        <v>86</v>
      </c>
      <c r="D1352" s="16" t="str">
        <f t="shared" si="253"/>
        <v>86</v>
      </c>
      <c r="E1352" s="17">
        <f t="shared" si="256"/>
        <v>86</v>
      </c>
      <c r="F1352" s="18" t="str">
        <f t="shared" si="254"/>
        <v>86</v>
      </c>
      <c r="G1352" s="18">
        <f t="shared" si="257"/>
        <v>86</v>
      </c>
      <c r="H1352" s="19" t="str">
        <f t="shared" si="255"/>
        <v>86</v>
      </c>
      <c r="I1352" s="19">
        <f t="shared" si="258"/>
        <v>86</v>
      </c>
      <c r="J1352" s="30"/>
      <c r="K1352" s="30"/>
      <c r="L1352" s="30"/>
      <c r="M1352" s="30"/>
      <c r="N1352" s="30"/>
      <c r="O1352" s="30"/>
      <c r="P1352" s="29"/>
      <c r="Q1352" s="29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  <c r="AJ1352" s="25"/>
      <c r="AK1352" s="30"/>
      <c r="AL1352" s="30"/>
      <c r="AM1352" s="30"/>
      <c r="AN1352" s="30"/>
      <c r="AO1352" s="30"/>
      <c r="AP1352" s="30"/>
      <c r="AQ1352" s="30"/>
      <c r="AR1352" s="30"/>
      <c r="AS1352" s="30"/>
      <c r="AT1352" s="30"/>
      <c r="AU1352" s="30"/>
      <c r="AW1352" s="27">
        <f t="shared" si="259"/>
        <v>1.3519999999999999E-3</v>
      </c>
      <c r="AX1352" s="27">
        <f t="shared" si="260"/>
        <v>1.3519999999999999E-3</v>
      </c>
      <c r="AY1352" s="27">
        <f t="shared" si="261"/>
        <v>1.3519999999999999E-3</v>
      </c>
      <c r="AZ1352" s="27">
        <f t="shared" si="262"/>
        <v>1.3519999999999999E-3</v>
      </c>
    </row>
    <row r="1353" spans="1:52" ht="15" customHeight="1" x14ac:dyDescent="0.25">
      <c r="A1353" s="13" t="e">
        <f>VLOOKUP(L1353,[1]VALIDAÇÃO!$D$13:$E$350,2,0)</f>
        <v>#N/A</v>
      </c>
      <c r="B1353" s="14" t="str">
        <f t="shared" si="252"/>
        <v>85</v>
      </c>
      <c r="C1353" s="15">
        <f t="shared" si="263"/>
        <v>85</v>
      </c>
      <c r="D1353" s="16" t="str">
        <f t="shared" si="253"/>
        <v>85</v>
      </c>
      <c r="E1353" s="17">
        <f t="shared" si="256"/>
        <v>85</v>
      </c>
      <c r="F1353" s="18" t="str">
        <f t="shared" si="254"/>
        <v>85</v>
      </c>
      <c r="G1353" s="18">
        <f t="shared" si="257"/>
        <v>85</v>
      </c>
      <c r="H1353" s="19" t="str">
        <f t="shared" si="255"/>
        <v>85</v>
      </c>
      <c r="I1353" s="19">
        <f t="shared" si="258"/>
        <v>85</v>
      </c>
      <c r="J1353" s="30"/>
      <c r="K1353" s="30"/>
      <c r="L1353" s="30"/>
      <c r="M1353" s="30"/>
      <c r="N1353" s="30"/>
      <c r="O1353" s="30"/>
      <c r="P1353" s="29"/>
      <c r="Q1353" s="29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  <c r="AJ1353" s="25"/>
      <c r="AK1353" s="30"/>
      <c r="AL1353" s="30"/>
      <c r="AM1353" s="30"/>
      <c r="AN1353" s="30"/>
      <c r="AO1353" s="30"/>
      <c r="AP1353" s="30"/>
      <c r="AQ1353" s="30"/>
      <c r="AR1353" s="30"/>
      <c r="AS1353" s="30"/>
      <c r="AT1353" s="30"/>
      <c r="AU1353" s="30"/>
      <c r="AW1353" s="27">
        <f t="shared" si="259"/>
        <v>1.353E-3</v>
      </c>
      <c r="AX1353" s="27">
        <f t="shared" si="260"/>
        <v>1.353E-3</v>
      </c>
      <c r="AY1353" s="27">
        <f t="shared" si="261"/>
        <v>1.353E-3</v>
      </c>
      <c r="AZ1353" s="27">
        <f t="shared" si="262"/>
        <v>1.353E-3</v>
      </c>
    </row>
    <row r="1354" spans="1:52" ht="15" customHeight="1" x14ac:dyDescent="0.25">
      <c r="A1354" s="13" t="e">
        <f>VLOOKUP(L1354,[1]VALIDAÇÃO!$D$13:$E$350,2,0)</f>
        <v>#N/A</v>
      </c>
      <c r="B1354" s="14" t="str">
        <f t="shared" si="252"/>
        <v>84</v>
      </c>
      <c r="C1354" s="15">
        <f t="shared" si="263"/>
        <v>84</v>
      </c>
      <c r="D1354" s="16" t="str">
        <f t="shared" si="253"/>
        <v>84</v>
      </c>
      <c r="E1354" s="17">
        <f t="shared" si="256"/>
        <v>84</v>
      </c>
      <c r="F1354" s="18" t="str">
        <f t="shared" si="254"/>
        <v>84</v>
      </c>
      <c r="G1354" s="18">
        <f t="shared" si="257"/>
        <v>84</v>
      </c>
      <c r="H1354" s="19" t="str">
        <f t="shared" si="255"/>
        <v>84</v>
      </c>
      <c r="I1354" s="19">
        <f t="shared" si="258"/>
        <v>84</v>
      </c>
      <c r="J1354" s="30"/>
      <c r="K1354" s="30"/>
      <c r="L1354" s="30"/>
      <c r="M1354" s="30"/>
      <c r="N1354" s="30"/>
      <c r="O1354" s="30"/>
      <c r="P1354" s="29"/>
      <c r="Q1354" s="29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c r="AJ1354" s="25"/>
      <c r="AK1354" s="30"/>
      <c r="AL1354" s="30"/>
      <c r="AM1354" s="30"/>
      <c r="AN1354" s="30"/>
      <c r="AO1354" s="30"/>
      <c r="AP1354" s="30"/>
      <c r="AQ1354" s="30"/>
      <c r="AR1354" s="30"/>
      <c r="AS1354" s="30"/>
      <c r="AT1354" s="30"/>
      <c r="AU1354" s="30"/>
      <c r="AW1354" s="27">
        <f t="shared" si="259"/>
        <v>1.354E-3</v>
      </c>
      <c r="AX1354" s="27">
        <f t="shared" si="260"/>
        <v>1.354E-3</v>
      </c>
      <c r="AY1354" s="27">
        <f t="shared" si="261"/>
        <v>1.354E-3</v>
      </c>
      <c r="AZ1354" s="27">
        <f t="shared" si="262"/>
        <v>1.354E-3</v>
      </c>
    </row>
    <row r="1355" spans="1:52" ht="15" customHeight="1" x14ac:dyDescent="0.25">
      <c r="A1355" s="13" t="e">
        <f>VLOOKUP(L1355,[1]VALIDAÇÃO!$D$13:$E$350,2,0)</f>
        <v>#N/A</v>
      </c>
      <c r="B1355" s="14" t="str">
        <f t="shared" si="252"/>
        <v>83</v>
      </c>
      <c r="C1355" s="15">
        <f t="shared" si="263"/>
        <v>83</v>
      </c>
      <c r="D1355" s="16" t="str">
        <f t="shared" si="253"/>
        <v>83</v>
      </c>
      <c r="E1355" s="17">
        <f t="shared" si="256"/>
        <v>83</v>
      </c>
      <c r="F1355" s="18" t="str">
        <f t="shared" si="254"/>
        <v>83</v>
      </c>
      <c r="G1355" s="18">
        <f t="shared" si="257"/>
        <v>83</v>
      </c>
      <c r="H1355" s="19" t="str">
        <f t="shared" si="255"/>
        <v>83</v>
      </c>
      <c r="I1355" s="19">
        <f t="shared" si="258"/>
        <v>83</v>
      </c>
      <c r="J1355" s="30"/>
      <c r="K1355" s="30"/>
      <c r="L1355" s="30"/>
      <c r="M1355" s="30"/>
      <c r="N1355" s="30"/>
      <c r="O1355" s="30"/>
      <c r="P1355" s="29"/>
      <c r="Q1355" s="29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0"/>
      <c r="AJ1355" s="25"/>
      <c r="AK1355" s="30"/>
      <c r="AL1355" s="30"/>
      <c r="AM1355" s="30"/>
      <c r="AN1355" s="30"/>
      <c r="AO1355" s="30"/>
      <c r="AP1355" s="30"/>
      <c r="AQ1355" s="30"/>
      <c r="AR1355" s="30"/>
      <c r="AS1355" s="30"/>
      <c r="AT1355" s="30"/>
      <c r="AU1355" s="30"/>
      <c r="AW1355" s="27">
        <f t="shared" si="259"/>
        <v>1.3550000000000001E-3</v>
      </c>
      <c r="AX1355" s="27">
        <f t="shared" si="260"/>
        <v>1.3550000000000001E-3</v>
      </c>
      <c r="AY1355" s="27">
        <f t="shared" si="261"/>
        <v>1.3550000000000001E-3</v>
      </c>
      <c r="AZ1355" s="27">
        <f t="shared" si="262"/>
        <v>1.3550000000000001E-3</v>
      </c>
    </row>
    <row r="1356" spans="1:52" ht="15" customHeight="1" x14ac:dyDescent="0.25">
      <c r="A1356" s="13" t="e">
        <f>VLOOKUP(L1356,[1]VALIDAÇÃO!$D$13:$E$350,2,0)</f>
        <v>#N/A</v>
      </c>
      <c r="B1356" s="14" t="str">
        <f t="shared" si="252"/>
        <v>82</v>
      </c>
      <c r="C1356" s="15">
        <f t="shared" si="263"/>
        <v>82</v>
      </c>
      <c r="D1356" s="16" t="str">
        <f t="shared" si="253"/>
        <v>82</v>
      </c>
      <c r="E1356" s="17">
        <f t="shared" si="256"/>
        <v>82</v>
      </c>
      <c r="F1356" s="18" t="str">
        <f t="shared" si="254"/>
        <v>82</v>
      </c>
      <c r="G1356" s="18">
        <f t="shared" si="257"/>
        <v>82</v>
      </c>
      <c r="H1356" s="19" t="str">
        <f t="shared" si="255"/>
        <v>82</v>
      </c>
      <c r="I1356" s="19">
        <f t="shared" si="258"/>
        <v>82</v>
      </c>
      <c r="J1356" s="30"/>
      <c r="K1356" s="30"/>
      <c r="L1356" s="30"/>
      <c r="M1356" s="30"/>
      <c r="N1356" s="33"/>
      <c r="O1356" s="30"/>
      <c r="P1356" s="29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  <c r="AJ1356" s="25"/>
      <c r="AK1356" s="30"/>
      <c r="AL1356" s="30"/>
      <c r="AM1356" s="30"/>
      <c r="AN1356" s="30"/>
      <c r="AO1356" s="30"/>
      <c r="AP1356" s="30"/>
      <c r="AQ1356" s="30"/>
      <c r="AR1356" s="30"/>
      <c r="AS1356" s="30"/>
      <c r="AT1356" s="30"/>
      <c r="AU1356" s="30"/>
      <c r="AW1356" s="27">
        <f t="shared" si="259"/>
        <v>1.356E-3</v>
      </c>
      <c r="AX1356" s="27">
        <f t="shared" si="260"/>
        <v>1.356E-3</v>
      </c>
      <c r="AY1356" s="27">
        <f t="shared" si="261"/>
        <v>1.356E-3</v>
      </c>
      <c r="AZ1356" s="27">
        <f t="shared" si="262"/>
        <v>1.356E-3</v>
      </c>
    </row>
    <row r="1357" spans="1:52" ht="15" customHeight="1" x14ac:dyDescent="0.25">
      <c r="A1357" s="13" t="e">
        <f>VLOOKUP(L1357,[1]VALIDAÇÃO!$D$13:$E$350,2,0)</f>
        <v>#N/A</v>
      </c>
      <c r="B1357" s="14" t="str">
        <f t="shared" si="252"/>
        <v>81</v>
      </c>
      <c r="C1357" s="15">
        <f t="shared" si="263"/>
        <v>81</v>
      </c>
      <c r="D1357" s="16" t="str">
        <f t="shared" si="253"/>
        <v>81</v>
      </c>
      <c r="E1357" s="17">
        <f t="shared" si="256"/>
        <v>81</v>
      </c>
      <c r="F1357" s="18" t="str">
        <f t="shared" si="254"/>
        <v>81</v>
      </c>
      <c r="G1357" s="18">
        <f t="shared" si="257"/>
        <v>81</v>
      </c>
      <c r="H1357" s="19" t="str">
        <f t="shared" si="255"/>
        <v>81</v>
      </c>
      <c r="I1357" s="19">
        <f t="shared" si="258"/>
        <v>81</v>
      </c>
      <c r="J1357" s="30"/>
      <c r="K1357" s="30"/>
      <c r="L1357" s="30"/>
      <c r="M1357" s="30"/>
      <c r="N1357" s="30"/>
      <c r="O1357" s="30"/>
      <c r="P1357" s="29"/>
      <c r="Q1357" s="29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25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W1357" s="27">
        <f t="shared" si="259"/>
        <v>1.3569999999999999E-3</v>
      </c>
      <c r="AX1357" s="27">
        <f t="shared" si="260"/>
        <v>1.3569999999999999E-3</v>
      </c>
      <c r="AY1357" s="27">
        <f t="shared" si="261"/>
        <v>1.3569999999999999E-3</v>
      </c>
      <c r="AZ1357" s="27">
        <f t="shared" si="262"/>
        <v>1.3569999999999999E-3</v>
      </c>
    </row>
    <row r="1358" spans="1:52" ht="15" customHeight="1" x14ac:dyDescent="0.25">
      <c r="A1358" s="13" t="e">
        <f>VLOOKUP(L1358,[1]VALIDAÇÃO!$D$13:$E$350,2,0)</f>
        <v>#N/A</v>
      </c>
      <c r="B1358" s="14" t="str">
        <f t="shared" si="252"/>
        <v>80</v>
      </c>
      <c r="C1358" s="15">
        <f t="shared" si="263"/>
        <v>80</v>
      </c>
      <c r="D1358" s="16" t="str">
        <f t="shared" si="253"/>
        <v>80</v>
      </c>
      <c r="E1358" s="17">
        <f t="shared" si="256"/>
        <v>80</v>
      </c>
      <c r="F1358" s="18" t="str">
        <f t="shared" si="254"/>
        <v>80</v>
      </c>
      <c r="G1358" s="18">
        <f t="shared" si="257"/>
        <v>80</v>
      </c>
      <c r="H1358" s="19" t="str">
        <f t="shared" si="255"/>
        <v>80</v>
      </c>
      <c r="I1358" s="19">
        <f t="shared" si="258"/>
        <v>80</v>
      </c>
      <c r="J1358" s="30"/>
      <c r="K1358" s="30"/>
      <c r="L1358" s="30"/>
      <c r="M1358" s="30"/>
      <c r="N1358" s="30"/>
      <c r="O1358" s="30"/>
      <c r="P1358" s="29"/>
      <c r="Q1358" s="29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  <c r="AJ1358" s="25"/>
      <c r="AK1358" s="30"/>
      <c r="AL1358" s="30"/>
      <c r="AM1358" s="30"/>
      <c r="AN1358" s="30"/>
      <c r="AO1358" s="30"/>
      <c r="AP1358" s="30"/>
      <c r="AQ1358" s="30"/>
      <c r="AR1358" s="30"/>
      <c r="AS1358" s="30"/>
      <c r="AT1358" s="30"/>
      <c r="AU1358" s="30"/>
      <c r="AW1358" s="27">
        <f t="shared" si="259"/>
        <v>1.358E-3</v>
      </c>
      <c r="AX1358" s="27">
        <f t="shared" si="260"/>
        <v>1.358E-3</v>
      </c>
      <c r="AY1358" s="27">
        <f t="shared" si="261"/>
        <v>1.358E-3</v>
      </c>
      <c r="AZ1358" s="27">
        <f t="shared" si="262"/>
        <v>1.358E-3</v>
      </c>
    </row>
    <row r="1359" spans="1:52" ht="15" customHeight="1" x14ac:dyDescent="0.25">
      <c r="A1359" s="13" t="e">
        <f>VLOOKUP(L1359,[1]VALIDAÇÃO!$D$13:$E$350,2,0)</f>
        <v>#N/A</v>
      </c>
      <c r="B1359" s="14" t="str">
        <f t="shared" si="252"/>
        <v>79</v>
      </c>
      <c r="C1359" s="15">
        <f t="shared" si="263"/>
        <v>79</v>
      </c>
      <c r="D1359" s="16" t="str">
        <f t="shared" si="253"/>
        <v>79</v>
      </c>
      <c r="E1359" s="17">
        <f t="shared" si="256"/>
        <v>79</v>
      </c>
      <c r="F1359" s="18" t="str">
        <f t="shared" si="254"/>
        <v>79</v>
      </c>
      <c r="G1359" s="18">
        <f t="shared" si="257"/>
        <v>79</v>
      </c>
      <c r="H1359" s="19" t="str">
        <f t="shared" si="255"/>
        <v>79</v>
      </c>
      <c r="I1359" s="19">
        <f t="shared" si="258"/>
        <v>79</v>
      </c>
      <c r="J1359" s="30"/>
      <c r="K1359" s="30"/>
      <c r="L1359" s="30"/>
      <c r="M1359" s="30"/>
      <c r="N1359" s="33"/>
      <c r="O1359" s="30"/>
      <c r="P1359" s="29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  <c r="AJ1359" s="25"/>
      <c r="AK1359" s="30"/>
      <c r="AL1359" s="30"/>
      <c r="AM1359" s="30"/>
      <c r="AN1359" s="30"/>
      <c r="AO1359" s="30"/>
      <c r="AP1359" s="30"/>
      <c r="AQ1359" s="30"/>
      <c r="AR1359" s="30"/>
      <c r="AS1359" s="30"/>
      <c r="AT1359" s="30"/>
      <c r="AU1359" s="30"/>
      <c r="AW1359" s="27">
        <f t="shared" si="259"/>
        <v>1.359E-3</v>
      </c>
      <c r="AX1359" s="27">
        <f t="shared" si="260"/>
        <v>1.359E-3</v>
      </c>
      <c r="AY1359" s="27">
        <f t="shared" si="261"/>
        <v>1.359E-3</v>
      </c>
      <c r="AZ1359" s="27">
        <f t="shared" si="262"/>
        <v>1.359E-3</v>
      </c>
    </row>
    <row r="1360" spans="1:52" ht="15" customHeight="1" x14ac:dyDescent="0.25">
      <c r="A1360" s="13" t="e">
        <f>VLOOKUP(L1360,[1]VALIDAÇÃO!$D$13:$E$350,2,0)</f>
        <v>#N/A</v>
      </c>
      <c r="B1360" s="14" t="str">
        <f t="shared" si="252"/>
        <v>78</v>
      </c>
      <c r="C1360" s="15">
        <f t="shared" si="263"/>
        <v>78</v>
      </c>
      <c r="D1360" s="16" t="str">
        <f t="shared" si="253"/>
        <v>78</v>
      </c>
      <c r="E1360" s="17">
        <f t="shared" si="256"/>
        <v>78</v>
      </c>
      <c r="F1360" s="18" t="str">
        <f t="shared" si="254"/>
        <v>78</v>
      </c>
      <c r="G1360" s="18">
        <f t="shared" si="257"/>
        <v>78</v>
      </c>
      <c r="H1360" s="19" t="str">
        <f t="shared" si="255"/>
        <v>78</v>
      </c>
      <c r="I1360" s="19">
        <f t="shared" si="258"/>
        <v>78</v>
      </c>
      <c r="J1360" s="30"/>
      <c r="K1360" s="30"/>
      <c r="L1360" s="30"/>
      <c r="M1360" s="30"/>
      <c r="N1360" s="33"/>
      <c r="O1360" s="30"/>
      <c r="P1360" s="29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  <c r="AJ1360" s="25"/>
      <c r="AK1360" s="30"/>
      <c r="AL1360" s="30"/>
      <c r="AM1360" s="30"/>
      <c r="AN1360" s="30"/>
      <c r="AO1360" s="30"/>
      <c r="AP1360" s="30"/>
      <c r="AQ1360" s="30"/>
      <c r="AR1360" s="30"/>
      <c r="AS1360" s="30"/>
      <c r="AT1360" s="30"/>
      <c r="AU1360" s="30"/>
      <c r="AW1360" s="27">
        <f t="shared" si="259"/>
        <v>1.3600000000000001E-3</v>
      </c>
      <c r="AX1360" s="27">
        <f t="shared" si="260"/>
        <v>1.3600000000000001E-3</v>
      </c>
      <c r="AY1360" s="27">
        <f t="shared" si="261"/>
        <v>1.3600000000000001E-3</v>
      </c>
      <c r="AZ1360" s="27">
        <f t="shared" si="262"/>
        <v>1.3600000000000001E-3</v>
      </c>
    </row>
    <row r="1361" spans="1:52" ht="15" customHeight="1" x14ac:dyDescent="0.25">
      <c r="A1361" s="13" t="e">
        <f>VLOOKUP(L1361,[1]VALIDAÇÃO!$D$13:$E$350,2,0)</f>
        <v>#N/A</v>
      </c>
      <c r="B1361" s="14" t="str">
        <f t="shared" si="252"/>
        <v>77</v>
      </c>
      <c r="C1361" s="15">
        <f t="shared" si="263"/>
        <v>77</v>
      </c>
      <c r="D1361" s="16" t="str">
        <f t="shared" si="253"/>
        <v>77</v>
      </c>
      <c r="E1361" s="17">
        <f t="shared" si="256"/>
        <v>77</v>
      </c>
      <c r="F1361" s="18" t="str">
        <f t="shared" si="254"/>
        <v>77</v>
      </c>
      <c r="G1361" s="18">
        <f t="shared" si="257"/>
        <v>77</v>
      </c>
      <c r="H1361" s="19" t="str">
        <f t="shared" si="255"/>
        <v>77</v>
      </c>
      <c r="I1361" s="19">
        <f t="shared" si="258"/>
        <v>77</v>
      </c>
      <c r="J1361" s="30"/>
      <c r="K1361" s="30"/>
      <c r="L1361" s="30"/>
      <c r="M1361" s="30"/>
      <c r="N1361" s="30"/>
      <c r="O1361" s="30"/>
      <c r="P1361" s="29"/>
      <c r="Q1361" s="29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0"/>
      <c r="AJ1361" s="25"/>
      <c r="AK1361" s="30"/>
      <c r="AL1361" s="30"/>
      <c r="AM1361" s="30"/>
      <c r="AN1361" s="30"/>
      <c r="AO1361" s="30"/>
      <c r="AP1361" s="30"/>
      <c r="AQ1361" s="30"/>
      <c r="AR1361" s="30"/>
      <c r="AS1361" s="30"/>
      <c r="AT1361" s="30"/>
      <c r="AU1361" s="30"/>
      <c r="AW1361" s="27">
        <f t="shared" si="259"/>
        <v>1.361E-3</v>
      </c>
      <c r="AX1361" s="27">
        <f t="shared" si="260"/>
        <v>1.361E-3</v>
      </c>
      <c r="AY1361" s="27">
        <f t="shared" si="261"/>
        <v>1.361E-3</v>
      </c>
      <c r="AZ1361" s="27">
        <f t="shared" si="262"/>
        <v>1.361E-3</v>
      </c>
    </row>
    <row r="1362" spans="1:52" ht="15" customHeight="1" x14ac:dyDescent="0.25">
      <c r="A1362" s="13" t="e">
        <f>VLOOKUP(L1362,[1]VALIDAÇÃO!$D$13:$E$350,2,0)</f>
        <v>#N/A</v>
      </c>
      <c r="B1362" s="14" t="str">
        <f t="shared" si="252"/>
        <v>76</v>
      </c>
      <c r="C1362" s="15">
        <f t="shared" si="263"/>
        <v>76</v>
      </c>
      <c r="D1362" s="16" t="str">
        <f t="shared" si="253"/>
        <v>76</v>
      </c>
      <c r="E1362" s="17">
        <f t="shared" si="256"/>
        <v>76</v>
      </c>
      <c r="F1362" s="18" t="str">
        <f t="shared" si="254"/>
        <v>76</v>
      </c>
      <c r="G1362" s="18">
        <f t="shared" si="257"/>
        <v>76</v>
      </c>
      <c r="H1362" s="19" t="str">
        <f t="shared" si="255"/>
        <v>76</v>
      </c>
      <c r="I1362" s="19">
        <f t="shared" si="258"/>
        <v>76</v>
      </c>
      <c r="J1362" s="30"/>
      <c r="K1362" s="30"/>
      <c r="L1362" s="30"/>
      <c r="M1362" s="30"/>
      <c r="N1362" s="33"/>
      <c r="O1362" s="30"/>
      <c r="P1362" s="29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0"/>
      <c r="AJ1362" s="25"/>
      <c r="AK1362" s="30"/>
      <c r="AL1362" s="30"/>
      <c r="AM1362" s="30"/>
      <c r="AN1362" s="30"/>
      <c r="AO1362" s="30"/>
      <c r="AP1362" s="30"/>
      <c r="AQ1362" s="30"/>
      <c r="AR1362" s="30"/>
      <c r="AS1362" s="30"/>
      <c r="AT1362" s="30"/>
      <c r="AU1362" s="30"/>
      <c r="AW1362" s="27">
        <f t="shared" si="259"/>
        <v>1.3619999999999999E-3</v>
      </c>
      <c r="AX1362" s="27">
        <f t="shared" si="260"/>
        <v>1.3619999999999999E-3</v>
      </c>
      <c r="AY1362" s="27">
        <f t="shared" si="261"/>
        <v>1.3619999999999999E-3</v>
      </c>
      <c r="AZ1362" s="27">
        <f t="shared" si="262"/>
        <v>1.3619999999999999E-3</v>
      </c>
    </row>
    <row r="1363" spans="1:52" ht="15" customHeight="1" x14ac:dyDescent="0.25">
      <c r="A1363" s="13" t="e">
        <f>VLOOKUP(L1363,[1]VALIDAÇÃO!$D$13:$E$350,2,0)</f>
        <v>#N/A</v>
      </c>
      <c r="B1363" s="14" t="str">
        <f t="shared" si="252"/>
        <v>75</v>
      </c>
      <c r="C1363" s="15">
        <f t="shared" si="263"/>
        <v>75</v>
      </c>
      <c r="D1363" s="16" t="str">
        <f t="shared" si="253"/>
        <v>75</v>
      </c>
      <c r="E1363" s="17">
        <f t="shared" si="256"/>
        <v>75</v>
      </c>
      <c r="F1363" s="18" t="str">
        <f t="shared" si="254"/>
        <v>75</v>
      </c>
      <c r="G1363" s="18">
        <f t="shared" si="257"/>
        <v>75</v>
      </c>
      <c r="H1363" s="19" t="str">
        <f t="shared" si="255"/>
        <v>75</v>
      </c>
      <c r="I1363" s="19">
        <f t="shared" si="258"/>
        <v>75</v>
      </c>
      <c r="J1363" s="30"/>
      <c r="K1363" s="30"/>
      <c r="L1363" s="30"/>
      <c r="M1363" s="30"/>
      <c r="N1363" s="30"/>
      <c r="O1363" s="30"/>
      <c r="P1363" s="29"/>
      <c r="Q1363" s="29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  <c r="AJ1363" s="25"/>
      <c r="AK1363" s="30"/>
      <c r="AL1363" s="30"/>
      <c r="AM1363" s="30"/>
      <c r="AN1363" s="30"/>
      <c r="AO1363" s="30"/>
      <c r="AP1363" s="30"/>
      <c r="AQ1363" s="30"/>
      <c r="AR1363" s="30"/>
      <c r="AS1363" s="30"/>
      <c r="AT1363" s="30"/>
      <c r="AU1363" s="30"/>
      <c r="AW1363" s="27">
        <f t="shared" si="259"/>
        <v>1.3630000000000001E-3</v>
      </c>
      <c r="AX1363" s="27">
        <f t="shared" si="260"/>
        <v>1.3630000000000001E-3</v>
      </c>
      <c r="AY1363" s="27">
        <f t="shared" si="261"/>
        <v>1.3630000000000001E-3</v>
      </c>
      <c r="AZ1363" s="27">
        <f t="shared" si="262"/>
        <v>1.3630000000000001E-3</v>
      </c>
    </row>
    <row r="1364" spans="1:52" ht="15" customHeight="1" x14ac:dyDescent="0.25">
      <c r="A1364" s="13" t="e">
        <f>VLOOKUP(L1364,[1]VALIDAÇÃO!$D$13:$E$350,2,0)</f>
        <v>#N/A</v>
      </c>
      <c r="B1364" s="14" t="str">
        <f t="shared" ref="B1364:B1427" si="264">C1364&amp;J1364</f>
        <v>74</v>
      </c>
      <c r="C1364" s="15">
        <f t="shared" si="263"/>
        <v>74</v>
      </c>
      <c r="D1364" s="16" t="str">
        <f t="shared" ref="D1364:D1427" si="265">E1364&amp;J1364</f>
        <v>74</v>
      </c>
      <c r="E1364" s="17">
        <f t="shared" si="256"/>
        <v>74</v>
      </c>
      <c r="F1364" s="18" t="str">
        <f t="shared" ref="F1364:F1427" si="266">G1364&amp;J1364</f>
        <v>74</v>
      </c>
      <c r="G1364" s="18">
        <f t="shared" si="257"/>
        <v>74</v>
      </c>
      <c r="H1364" s="19" t="str">
        <f t="shared" ref="H1364:H1427" si="267">I1364&amp;J1364</f>
        <v>74</v>
      </c>
      <c r="I1364" s="19">
        <f t="shared" si="258"/>
        <v>74</v>
      </c>
      <c r="J1364" s="30"/>
      <c r="K1364" s="30"/>
      <c r="L1364" s="30"/>
      <c r="M1364" s="30"/>
      <c r="N1364" s="33"/>
      <c r="O1364" s="30"/>
      <c r="P1364" s="29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  <c r="AJ1364" s="25"/>
      <c r="AK1364" s="30"/>
      <c r="AL1364" s="30"/>
      <c r="AM1364" s="30"/>
      <c r="AN1364" s="30"/>
      <c r="AO1364" s="30"/>
      <c r="AP1364" s="30"/>
      <c r="AQ1364" s="30"/>
      <c r="AR1364" s="30"/>
      <c r="AS1364" s="30"/>
      <c r="AT1364" s="30"/>
      <c r="AU1364" s="30"/>
      <c r="AW1364" s="27">
        <f t="shared" si="259"/>
        <v>1.364E-3</v>
      </c>
      <c r="AX1364" s="27">
        <f t="shared" si="260"/>
        <v>1.364E-3</v>
      </c>
      <c r="AY1364" s="27">
        <f t="shared" si="261"/>
        <v>1.364E-3</v>
      </c>
      <c r="AZ1364" s="27">
        <f t="shared" si="262"/>
        <v>1.364E-3</v>
      </c>
    </row>
    <row r="1365" spans="1:52" ht="15" customHeight="1" x14ac:dyDescent="0.25">
      <c r="A1365" s="13" t="e">
        <f>VLOOKUP(L1365,[1]VALIDAÇÃO!$D$13:$E$350,2,0)</f>
        <v>#N/A</v>
      </c>
      <c r="B1365" s="14" t="str">
        <f t="shared" si="264"/>
        <v>73</v>
      </c>
      <c r="C1365" s="15">
        <f t="shared" si="263"/>
        <v>73</v>
      </c>
      <c r="D1365" s="16" t="str">
        <f t="shared" si="265"/>
        <v>73</v>
      </c>
      <c r="E1365" s="17">
        <f t="shared" si="256"/>
        <v>73</v>
      </c>
      <c r="F1365" s="18" t="str">
        <f t="shared" si="266"/>
        <v>73</v>
      </c>
      <c r="G1365" s="18">
        <f t="shared" si="257"/>
        <v>73</v>
      </c>
      <c r="H1365" s="19" t="str">
        <f t="shared" si="267"/>
        <v>73</v>
      </c>
      <c r="I1365" s="19">
        <f t="shared" si="258"/>
        <v>73</v>
      </c>
      <c r="J1365" s="30"/>
      <c r="K1365" s="30"/>
      <c r="L1365" s="30"/>
      <c r="M1365" s="30"/>
      <c r="N1365" s="33"/>
      <c r="O1365" s="30"/>
      <c r="P1365" s="29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  <c r="AJ1365" s="25"/>
      <c r="AK1365" s="30"/>
      <c r="AL1365" s="30"/>
      <c r="AM1365" s="30"/>
      <c r="AN1365" s="30"/>
      <c r="AO1365" s="30"/>
      <c r="AP1365" s="30"/>
      <c r="AQ1365" s="30"/>
      <c r="AR1365" s="30"/>
      <c r="AS1365" s="30"/>
      <c r="AT1365" s="30"/>
      <c r="AU1365" s="30"/>
      <c r="AW1365" s="27">
        <f t="shared" si="259"/>
        <v>1.3649999999999999E-3</v>
      </c>
      <c r="AX1365" s="27">
        <f t="shared" si="260"/>
        <v>1.3649999999999999E-3</v>
      </c>
      <c r="AY1365" s="27">
        <f t="shared" si="261"/>
        <v>1.3649999999999999E-3</v>
      </c>
      <c r="AZ1365" s="27">
        <f t="shared" si="262"/>
        <v>1.3649999999999999E-3</v>
      </c>
    </row>
    <row r="1366" spans="1:52" ht="15" customHeight="1" x14ac:dyDescent="0.25">
      <c r="A1366" s="13" t="e">
        <f>VLOOKUP(L1366,[1]VALIDAÇÃO!$D$13:$E$350,2,0)</f>
        <v>#N/A</v>
      </c>
      <c r="B1366" s="14" t="str">
        <f t="shared" si="264"/>
        <v>72</v>
      </c>
      <c r="C1366" s="15">
        <f t="shared" si="263"/>
        <v>72</v>
      </c>
      <c r="D1366" s="16" t="str">
        <f t="shared" si="265"/>
        <v>72</v>
      </c>
      <c r="E1366" s="17">
        <f t="shared" si="256"/>
        <v>72</v>
      </c>
      <c r="F1366" s="18" t="str">
        <f t="shared" si="266"/>
        <v>72</v>
      </c>
      <c r="G1366" s="18">
        <f t="shared" si="257"/>
        <v>72</v>
      </c>
      <c r="H1366" s="19" t="str">
        <f t="shared" si="267"/>
        <v>72</v>
      </c>
      <c r="I1366" s="19">
        <f t="shared" si="258"/>
        <v>72</v>
      </c>
      <c r="J1366" s="30"/>
      <c r="K1366" s="30"/>
      <c r="L1366" s="30"/>
      <c r="M1366" s="30"/>
      <c r="N1366" s="30"/>
      <c r="O1366" s="30"/>
      <c r="P1366" s="29"/>
      <c r="Q1366" s="29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25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W1366" s="27">
        <f t="shared" si="259"/>
        <v>1.366E-3</v>
      </c>
      <c r="AX1366" s="27">
        <f t="shared" si="260"/>
        <v>1.366E-3</v>
      </c>
      <c r="AY1366" s="27">
        <f t="shared" si="261"/>
        <v>1.366E-3</v>
      </c>
      <c r="AZ1366" s="27">
        <f t="shared" si="262"/>
        <v>1.366E-3</v>
      </c>
    </row>
    <row r="1367" spans="1:52" ht="15" customHeight="1" x14ac:dyDescent="0.25">
      <c r="A1367" s="13" t="e">
        <f>VLOOKUP(L1367,[1]VALIDAÇÃO!$D$13:$E$350,2,0)</f>
        <v>#N/A</v>
      </c>
      <c r="B1367" s="14" t="str">
        <f t="shared" si="264"/>
        <v>71</v>
      </c>
      <c r="C1367" s="15">
        <f t="shared" si="263"/>
        <v>71</v>
      </c>
      <c r="D1367" s="16" t="str">
        <f t="shared" si="265"/>
        <v>71</v>
      </c>
      <c r="E1367" s="17">
        <f t="shared" si="256"/>
        <v>71</v>
      </c>
      <c r="F1367" s="18" t="str">
        <f t="shared" si="266"/>
        <v>71</v>
      </c>
      <c r="G1367" s="18">
        <f t="shared" si="257"/>
        <v>71</v>
      </c>
      <c r="H1367" s="19" t="str">
        <f t="shared" si="267"/>
        <v>71</v>
      </c>
      <c r="I1367" s="19">
        <f t="shared" si="258"/>
        <v>71</v>
      </c>
      <c r="J1367" s="30"/>
      <c r="K1367" s="30"/>
      <c r="L1367" s="30"/>
      <c r="M1367" s="30"/>
      <c r="N1367" s="33"/>
      <c r="O1367" s="30"/>
      <c r="P1367" s="29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0"/>
      <c r="AJ1367" s="25"/>
      <c r="AK1367" s="30"/>
      <c r="AL1367" s="30"/>
      <c r="AM1367" s="30"/>
      <c r="AN1367" s="30"/>
      <c r="AO1367" s="30"/>
      <c r="AP1367" s="30"/>
      <c r="AQ1367" s="30"/>
      <c r="AR1367" s="30"/>
      <c r="AS1367" s="30"/>
      <c r="AT1367" s="30"/>
      <c r="AU1367" s="30"/>
      <c r="AW1367" s="27">
        <f t="shared" si="259"/>
        <v>1.3669999999999999E-3</v>
      </c>
      <c r="AX1367" s="27">
        <f t="shared" si="260"/>
        <v>1.3669999999999999E-3</v>
      </c>
      <c r="AY1367" s="27">
        <f t="shared" si="261"/>
        <v>1.3669999999999999E-3</v>
      </c>
      <c r="AZ1367" s="27">
        <f t="shared" si="262"/>
        <v>1.3669999999999999E-3</v>
      </c>
    </row>
    <row r="1368" spans="1:52" ht="15" customHeight="1" x14ac:dyDescent="0.25">
      <c r="A1368" s="13" t="e">
        <f>VLOOKUP(L1368,[1]VALIDAÇÃO!$D$13:$E$350,2,0)</f>
        <v>#N/A</v>
      </c>
      <c r="B1368" s="14" t="str">
        <f t="shared" si="264"/>
        <v>70</v>
      </c>
      <c r="C1368" s="15">
        <f t="shared" si="263"/>
        <v>70</v>
      </c>
      <c r="D1368" s="16" t="str">
        <f t="shared" si="265"/>
        <v>70</v>
      </c>
      <c r="E1368" s="17">
        <f t="shared" si="256"/>
        <v>70</v>
      </c>
      <c r="F1368" s="18" t="str">
        <f t="shared" si="266"/>
        <v>70</v>
      </c>
      <c r="G1368" s="18">
        <f t="shared" si="257"/>
        <v>70</v>
      </c>
      <c r="H1368" s="19" t="str">
        <f t="shared" si="267"/>
        <v>70</v>
      </c>
      <c r="I1368" s="19">
        <f t="shared" si="258"/>
        <v>70</v>
      </c>
      <c r="J1368" s="30"/>
      <c r="K1368" s="30"/>
      <c r="L1368" s="30"/>
      <c r="M1368" s="30"/>
      <c r="N1368" s="33"/>
      <c r="O1368" s="30"/>
      <c r="P1368" s="29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0"/>
      <c r="AJ1368" s="25"/>
      <c r="AK1368" s="30"/>
      <c r="AL1368" s="30"/>
      <c r="AM1368" s="30"/>
      <c r="AN1368" s="30"/>
      <c r="AO1368" s="30"/>
      <c r="AP1368" s="30"/>
      <c r="AQ1368" s="30"/>
      <c r="AR1368" s="30"/>
      <c r="AS1368" s="30"/>
      <c r="AT1368" s="30"/>
      <c r="AU1368" s="30"/>
      <c r="AW1368" s="27">
        <f t="shared" si="259"/>
        <v>1.3680000000000001E-3</v>
      </c>
      <c r="AX1368" s="27">
        <f t="shared" si="260"/>
        <v>1.3680000000000001E-3</v>
      </c>
      <c r="AY1368" s="27">
        <f t="shared" si="261"/>
        <v>1.3680000000000001E-3</v>
      </c>
      <c r="AZ1368" s="27">
        <f t="shared" si="262"/>
        <v>1.3680000000000001E-3</v>
      </c>
    </row>
    <row r="1369" spans="1:52" ht="15" customHeight="1" x14ac:dyDescent="0.25">
      <c r="A1369" s="13" t="e">
        <f>VLOOKUP(L1369,[1]VALIDAÇÃO!$D$13:$E$350,2,0)</f>
        <v>#N/A</v>
      </c>
      <c r="B1369" s="14" t="str">
        <f t="shared" si="264"/>
        <v>69</v>
      </c>
      <c r="C1369" s="15">
        <f t="shared" si="263"/>
        <v>69</v>
      </c>
      <c r="D1369" s="16" t="str">
        <f t="shared" si="265"/>
        <v>69</v>
      </c>
      <c r="E1369" s="17">
        <f t="shared" si="256"/>
        <v>69</v>
      </c>
      <c r="F1369" s="18" t="str">
        <f t="shared" si="266"/>
        <v>69</v>
      </c>
      <c r="G1369" s="18">
        <f t="shared" si="257"/>
        <v>69</v>
      </c>
      <c r="H1369" s="19" t="str">
        <f t="shared" si="267"/>
        <v>69</v>
      </c>
      <c r="I1369" s="19">
        <f t="shared" si="258"/>
        <v>69</v>
      </c>
      <c r="J1369" s="30"/>
      <c r="K1369" s="30"/>
      <c r="L1369" s="30"/>
      <c r="M1369" s="30"/>
      <c r="N1369" s="30"/>
      <c r="O1369" s="30"/>
      <c r="P1369" s="29"/>
      <c r="Q1369" s="29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25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W1369" s="27">
        <f t="shared" si="259"/>
        <v>1.369E-3</v>
      </c>
      <c r="AX1369" s="27">
        <f t="shared" si="260"/>
        <v>1.369E-3</v>
      </c>
      <c r="AY1369" s="27">
        <f t="shared" si="261"/>
        <v>1.369E-3</v>
      </c>
      <c r="AZ1369" s="27">
        <f t="shared" si="262"/>
        <v>1.369E-3</v>
      </c>
    </row>
    <row r="1370" spans="1:52" ht="15" customHeight="1" x14ac:dyDescent="0.25">
      <c r="A1370" s="13" t="e">
        <f>VLOOKUP(L1370,[1]VALIDAÇÃO!$D$13:$E$350,2,0)</f>
        <v>#N/A</v>
      </c>
      <c r="B1370" s="14" t="str">
        <f t="shared" si="264"/>
        <v>68</v>
      </c>
      <c r="C1370" s="15">
        <f t="shared" si="263"/>
        <v>68</v>
      </c>
      <c r="D1370" s="16" t="str">
        <f t="shared" si="265"/>
        <v>68</v>
      </c>
      <c r="E1370" s="17">
        <f t="shared" si="256"/>
        <v>68</v>
      </c>
      <c r="F1370" s="18" t="str">
        <f t="shared" si="266"/>
        <v>68</v>
      </c>
      <c r="G1370" s="18">
        <f t="shared" si="257"/>
        <v>68</v>
      </c>
      <c r="H1370" s="19" t="str">
        <f t="shared" si="267"/>
        <v>68</v>
      </c>
      <c r="I1370" s="19">
        <f t="shared" si="258"/>
        <v>68</v>
      </c>
      <c r="J1370" s="30"/>
      <c r="K1370" s="30"/>
      <c r="L1370" s="30"/>
      <c r="M1370" s="30"/>
      <c r="N1370" s="30"/>
      <c r="O1370" s="30"/>
      <c r="P1370" s="29"/>
      <c r="Q1370" s="29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  <c r="AJ1370" s="25"/>
      <c r="AK1370" s="30"/>
      <c r="AL1370" s="30"/>
      <c r="AM1370" s="30"/>
      <c r="AN1370" s="30"/>
      <c r="AO1370" s="30"/>
      <c r="AP1370" s="30"/>
      <c r="AQ1370" s="30"/>
      <c r="AR1370" s="30"/>
      <c r="AS1370" s="30"/>
      <c r="AT1370" s="30"/>
      <c r="AU1370" s="30"/>
      <c r="AW1370" s="27">
        <f t="shared" si="259"/>
        <v>1.3699999999999999E-3</v>
      </c>
      <c r="AX1370" s="27">
        <f t="shared" si="260"/>
        <v>1.3699999999999999E-3</v>
      </c>
      <c r="AY1370" s="27">
        <f t="shared" si="261"/>
        <v>1.3699999999999999E-3</v>
      </c>
      <c r="AZ1370" s="27">
        <f t="shared" si="262"/>
        <v>1.3699999999999999E-3</v>
      </c>
    </row>
    <row r="1371" spans="1:52" ht="15" customHeight="1" x14ac:dyDescent="0.25">
      <c r="A1371" s="13" t="e">
        <f>VLOOKUP(L1371,[1]VALIDAÇÃO!$D$13:$E$350,2,0)</f>
        <v>#N/A</v>
      </c>
      <c r="B1371" s="14" t="str">
        <f t="shared" si="264"/>
        <v>67</v>
      </c>
      <c r="C1371" s="15">
        <f t="shared" si="263"/>
        <v>67</v>
      </c>
      <c r="D1371" s="16" t="str">
        <f t="shared" si="265"/>
        <v>67</v>
      </c>
      <c r="E1371" s="17">
        <f t="shared" si="256"/>
        <v>67</v>
      </c>
      <c r="F1371" s="18" t="str">
        <f t="shared" si="266"/>
        <v>67</v>
      </c>
      <c r="G1371" s="18">
        <f t="shared" si="257"/>
        <v>67</v>
      </c>
      <c r="H1371" s="19" t="str">
        <f t="shared" si="267"/>
        <v>67</v>
      </c>
      <c r="I1371" s="19">
        <f t="shared" si="258"/>
        <v>67</v>
      </c>
      <c r="J1371" s="30"/>
      <c r="K1371" s="30"/>
      <c r="L1371" s="30"/>
      <c r="M1371" s="30"/>
      <c r="N1371" s="30"/>
      <c r="O1371" s="30"/>
      <c r="P1371" s="29"/>
      <c r="Q1371" s="29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  <c r="AJ1371" s="25"/>
      <c r="AK1371" s="30"/>
      <c r="AL1371" s="30"/>
      <c r="AM1371" s="30"/>
      <c r="AN1371" s="30"/>
      <c r="AO1371" s="30"/>
      <c r="AP1371" s="30"/>
      <c r="AQ1371" s="30"/>
      <c r="AR1371" s="30"/>
      <c r="AS1371" s="30"/>
      <c r="AT1371" s="30"/>
      <c r="AU1371" s="30"/>
      <c r="AW1371" s="27">
        <f t="shared" si="259"/>
        <v>1.371E-3</v>
      </c>
      <c r="AX1371" s="27">
        <f t="shared" si="260"/>
        <v>1.371E-3</v>
      </c>
      <c r="AY1371" s="27">
        <f t="shared" si="261"/>
        <v>1.371E-3</v>
      </c>
      <c r="AZ1371" s="27">
        <f t="shared" si="262"/>
        <v>1.371E-3</v>
      </c>
    </row>
    <row r="1372" spans="1:52" ht="15" customHeight="1" x14ac:dyDescent="0.25">
      <c r="A1372" s="13" t="e">
        <f>VLOOKUP(L1372,[1]VALIDAÇÃO!$D$13:$E$350,2,0)</f>
        <v>#N/A</v>
      </c>
      <c r="B1372" s="14" t="str">
        <f t="shared" si="264"/>
        <v>66</v>
      </c>
      <c r="C1372" s="15">
        <f t="shared" si="263"/>
        <v>66</v>
      </c>
      <c r="D1372" s="16" t="str">
        <f t="shared" si="265"/>
        <v>66</v>
      </c>
      <c r="E1372" s="17">
        <f t="shared" si="256"/>
        <v>66</v>
      </c>
      <c r="F1372" s="18" t="str">
        <f t="shared" si="266"/>
        <v>66</v>
      </c>
      <c r="G1372" s="18">
        <f t="shared" si="257"/>
        <v>66</v>
      </c>
      <c r="H1372" s="19" t="str">
        <f t="shared" si="267"/>
        <v>66</v>
      </c>
      <c r="I1372" s="19">
        <f t="shared" si="258"/>
        <v>66</v>
      </c>
      <c r="J1372" s="30"/>
      <c r="K1372" s="30"/>
      <c r="L1372" s="30"/>
      <c r="M1372" s="30"/>
      <c r="N1372" s="30"/>
      <c r="O1372" s="30"/>
      <c r="P1372" s="29"/>
      <c r="Q1372" s="29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  <c r="AJ1372" s="25"/>
      <c r="AK1372" s="30"/>
      <c r="AL1372" s="30"/>
      <c r="AM1372" s="30"/>
      <c r="AN1372" s="30"/>
      <c r="AO1372" s="30"/>
      <c r="AP1372" s="30"/>
      <c r="AQ1372" s="30"/>
      <c r="AR1372" s="30"/>
      <c r="AS1372" s="30"/>
      <c r="AT1372" s="30"/>
      <c r="AU1372" s="30"/>
      <c r="AW1372" s="27">
        <f t="shared" si="259"/>
        <v>1.372E-3</v>
      </c>
      <c r="AX1372" s="27">
        <f t="shared" si="260"/>
        <v>1.372E-3</v>
      </c>
      <c r="AY1372" s="27">
        <f t="shared" si="261"/>
        <v>1.372E-3</v>
      </c>
      <c r="AZ1372" s="27">
        <f t="shared" si="262"/>
        <v>1.372E-3</v>
      </c>
    </row>
    <row r="1373" spans="1:52" ht="15" customHeight="1" x14ac:dyDescent="0.25">
      <c r="A1373" s="13" t="e">
        <f>VLOOKUP(L1373,[1]VALIDAÇÃO!$D$13:$E$350,2,0)</f>
        <v>#N/A</v>
      </c>
      <c r="B1373" s="14" t="str">
        <f t="shared" si="264"/>
        <v>65</v>
      </c>
      <c r="C1373" s="15">
        <f t="shared" si="263"/>
        <v>65</v>
      </c>
      <c r="D1373" s="16" t="str">
        <f t="shared" si="265"/>
        <v>65</v>
      </c>
      <c r="E1373" s="17">
        <f t="shared" si="256"/>
        <v>65</v>
      </c>
      <c r="F1373" s="18" t="str">
        <f t="shared" si="266"/>
        <v>65</v>
      </c>
      <c r="G1373" s="18">
        <f t="shared" si="257"/>
        <v>65</v>
      </c>
      <c r="H1373" s="19" t="str">
        <f t="shared" si="267"/>
        <v>65</v>
      </c>
      <c r="I1373" s="19">
        <f t="shared" si="258"/>
        <v>65</v>
      </c>
      <c r="J1373" s="30"/>
      <c r="K1373" s="30"/>
      <c r="L1373" s="30"/>
      <c r="M1373" s="30"/>
      <c r="N1373" s="33"/>
      <c r="O1373" s="30"/>
      <c r="P1373" s="29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0"/>
      <c r="AJ1373" s="25"/>
      <c r="AK1373" s="30"/>
      <c r="AL1373" s="30"/>
      <c r="AM1373" s="30"/>
      <c r="AN1373" s="30"/>
      <c r="AO1373" s="30"/>
      <c r="AP1373" s="30"/>
      <c r="AQ1373" s="30"/>
      <c r="AR1373" s="30"/>
      <c r="AS1373" s="30"/>
      <c r="AT1373" s="30"/>
      <c r="AU1373" s="30"/>
      <c r="AW1373" s="27">
        <f t="shared" si="259"/>
        <v>1.3730000000000001E-3</v>
      </c>
      <c r="AX1373" s="27">
        <f t="shared" si="260"/>
        <v>1.3730000000000001E-3</v>
      </c>
      <c r="AY1373" s="27">
        <f t="shared" si="261"/>
        <v>1.3730000000000001E-3</v>
      </c>
      <c r="AZ1373" s="27">
        <f t="shared" si="262"/>
        <v>1.3730000000000001E-3</v>
      </c>
    </row>
    <row r="1374" spans="1:52" ht="15" customHeight="1" x14ac:dyDescent="0.25">
      <c r="A1374" s="13" t="e">
        <f>VLOOKUP(L1374,[1]VALIDAÇÃO!$D$13:$E$350,2,0)</f>
        <v>#N/A</v>
      </c>
      <c r="B1374" s="14" t="str">
        <f t="shared" si="264"/>
        <v>64</v>
      </c>
      <c r="C1374" s="15">
        <f t="shared" si="263"/>
        <v>64</v>
      </c>
      <c r="D1374" s="16" t="str">
        <f t="shared" si="265"/>
        <v>64</v>
      </c>
      <c r="E1374" s="17">
        <f t="shared" si="256"/>
        <v>64</v>
      </c>
      <c r="F1374" s="18" t="str">
        <f t="shared" si="266"/>
        <v>64</v>
      </c>
      <c r="G1374" s="18">
        <f t="shared" si="257"/>
        <v>64</v>
      </c>
      <c r="H1374" s="19" t="str">
        <f t="shared" si="267"/>
        <v>64</v>
      </c>
      <c r="I1374" s="19">
        <f t="shared" si="258"/>
        <v>64</v>
      </c>
      <c r="J1374" s="30"/>
      <c r="K1374" s="30"/>
      <c r="L1374" s="30"/>
      <c r="M1374" s="30"/>
      <c r="N1374" s="33"/>
      <c r="O1374" s="30"/>
      <c r="P1374" s="29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  <c r="AJ1374" s="25"/>
      <c r="AK1374" s="30"/>
      <c r="AL1374" s="30"/>
      <c r="AM1374" s="30"/>
      <c r="AN1374" s="30"/>
      <c r="AO1374" s="30"/>
      <c r="AP1374" s="30"/>
      <c r="AQ1374" s="30"/>
      <c r="AR1374" s="30"/>
      <c r="AS1374" s="30"/>
      <c r="AT1374" s="30"/>
      <c r="AU1374" s="30"/>
      <c r="AW1374" s="27">
        <f t="shared" si="259"/>
        <v>1.374E-3</v>
      </c>
      <c r="AX1374" s="27">
        <f t="shared" si="260"/>
        <v>1.374E-3</v>
      </c>
      <c r="AY1374" s="27">
        <f t="shared" si="261"/>
        <v>1.374E-3</v>
      </c>
      <c r="AZ1374" s="27">
        <f t="shared" si="262"/>
        <v>1.374E-3</v>
      </c>
    </row>
    <row r="1375" spans="1:52" ht="15" customHeight="1" x14ac:dyDescent="0.25">
      <c r="A1375" s="13" t="e">
        <f>VLOOKUP(L1375,[1]VALIDAÇÃO!$D$13:$E$350,2,0)</f>
        <v>#N/A</v>
      </c>
      <c r="B1375" s="14" t="str">
        <f t="shared" si="264"/>
        <v>63</v>
      </c>
      <c r="C1375" s="15">
        <f t="shared" si="263"/>
        <v>63</v>
      </c>
      <c r="D1375" s="16" t="str">
        <f t="shared" si="265"/>
        <v>63</v>
      </c>
      <c r="E1375" s="17">
        <f t="shared" si="256"/>
        <v>63</v>
      </c>
      <c r="F1375" s="18" t="str">
        <f t="shared" si="266"/>
        <v>63</v>
      </c>
      <c r="G1375" s="18">
        <f t="shared" si="257"/>
        <v>63</v>
      </c>
      <c r="H1375" s="19" t="str">
        <f t="shared" si="267"/>
        <v>63</v>
      </c>
      <c r="I1375" s="19">
        <f t="shared" si="258"/>
        <v>63</v>
      </c>
      <c r="J1375" s="30"/>
      <c r="K1375" s="30"/>
      <c r="L1375" s="30"/>
      <c r="M1375" s="30"/>
      <c r="N1375" s="33"/>
      <c r="O1375" s="30"/>
      <c r="P1375" s="29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25"/>
      <c r="AK1375" s="30"/>
      <c r="AL1375" s="30"/>
      <c r="AM1375" s="30"/>
      <c r="AN1375" s="30"/>
      <c r="AO1375" s="30"/>
      <c r="AP1375" s="30"/>
      <c r="AQ1375" s="30"/>
      <c r="AR1375" s="30"/>
      <c r="AS1375" s="30"/>
      <c r="AT1375" s="30"/>
      <c r="AU1375" s="30"/>
      <c r="AW1375" s="27">
        <f t="shared" si="259"/>
        <v>1.3749999999999999E-3</v>
      </c>
      <c r="AX1375" s="27">
        <f t="shared" si="260"/>
        <v>1.3749999999999999E-3</v>
      </c>
      <c r="AY1375" s="27">
        <f t="shared" si="261"/>
        <v>1.3749999999999999E-3</v>
      </c>
      <c r="AZ1375" s="27">
        <f t="shared" si="262"/>
        <v>1.3749999999999999E-3</v>
      </c>
    </row>
    <row r="1376" spans="1:52" ht="15" customHeight="1" x14ac:dyDescent="0.25">
      <c r="A1376" s="13" t="e">
        <f>VLOOKUP(L1376,[1]VALIDAÇÃO!$D$13:$E$350,2,0)</f>
        <v>#N/A</v>
      </c>
      <c r="B1376" s="14" t="str">
        <f t="shared" si="264"/>
        <v>62</v>
      </c>
      <c r="C1376" s="15">
        <f t="shared" si="263"/>
        <v>62</v>
      </c>
      <c r="D1376" s="16" t="str">
        <f t="shared" si="265"/>
        <v>62</v>
      </c>
      <c r="E1376" s="17">
        <f t="shared" si="256"/>
        <v>62</v>
      </c>
      <c r="F1376" s="18" t="str">
        <f t="shared" si="266"/>
        <v>62</v>
      </c>
      <c r="G1376" s="18">
        <f t="shared" si="257"/>
        <v>62</v>
      </c>
      <c r="H1376" s="19" t="str">
        <f t="shared" si="267"/>
        <v>62</v>
      </c>
      <c r="I1376" s="19">
        <f t="shared" si="258"/>
        <v>62</v>
      </c>
      <c r="J1376" s="30"/>
      <c r="K1376" s="30"/>
      <c r="L1376" s="30"/>
      <c r="M1376" s="30"/>
      <c r="N1376" s="33"/>
      <c r="O1376" s="30"/>
      <c r="P1376" s="29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  <c r="AJ1376" s="25"/>
      <c r="AK1376" s="30"/>
      <c r="AL1376" s="30"/>
      <c r="AM1376" s="30"/>
      <c r="AN1376" s="30"/>
      <c r="AO1376" s="30"/>
      <c r="AP1376" s="30"/>
      <c r="AQ1376" s="30"/>
      <c r="AR1376" s="30"/>
      <c r="AS1376" s="30"/>
      <c r="AT1376" s="30"/>
      <c r="AU1376" s="30"/>
      <c r="AW1376" s="27">
        <f t="shared" si="259"/>
        <v>1.3760000000000001E-3</v>
      </c>
      <c r="AX1376" s="27">
        <f t="shared" si="260"/>
        <v>1.3760000000000001E-3</v>
      </c>
      <c r="AY1376" s="27">
        <f t="shared" si="261"/>
        <v>1.3760000000000001E-3</v>
      </c>
      <c r="AZ1376" s="27">
        <f t="shared" si="262"/>
        <v>1.3760000000000001E-3</v>
      </c>
    </row>
    <row r="1377" spans="1:52" ht="15" customHeight="1" x14ac:dyDescent="0.25">
      <c r="A1377" s="13" t="e">
        <f>VLOOKUP(L1377,[1]VALIDAÇÃO!$D$13:$E$350,2,0)</f>
        <v>#N/A</v>
      </c>
      <c r="B1377" s="14" t="str">
        <f t="shared" si="264"/>
        <v>61</v>
      </c>
      <c r="C1377" s="15">
        <f t="shared" si="263"/>
        <v>61</v>
      </c>
      <c r="D1377" s="16" t="str">
        <f t="shared" si="265"/>
        <v>61</v>
      </c>
      <c r="E1377" s="17">
        <f t="shared" si="256"/>
        <v>61</v>
      </c>
      <c r="F1377" s="18" t="str">
        <f t="shared" si="266"/>
        <v>61</v>
      </c>
      <c r="G1377" s="18">
        <f t="shared" si="257"/>
        <v>61</v>
      </c>
      <c r="H1377" s="19" t="str">
        <f t="shared" si="267"/>
        <v>61</v>
      </c>
      <c r="I1377" s="19">
        <f t="shared" si="258"/>
        <v>61</v>
      </c>
      <c r="J1377" s="30"/>
      <c r="K1377" s="30"/>
      <c r="L1377" s="30"/>
      <c r="M1377" s="30"/>
      <c r="N1377" s="30"/>
      <c r="O1377" s="30"/>
      <c r="P1377" s="29"/>
      <c r="Q1377" s="29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  <c r="AJ1377" s="25"/>
      <c r="AK1377" s="30"/>
      <c r="AL1377" s="30"/>
      <c r="AM1377" s="30"/>
      <c r="AN1377" s="30"/>
      <c r="AO1377" s="30"/>
      <c r="AP1377" s="30"/>
      <c r="AQ1377" s="30"/>
      <c r="AR1377" s="30"/>
      <c r="AS1377" s="30"/>
      <c r="AT1377" s="30"/>
      <c r="AU1377" s="30"/>
      <c r="AW1377" s="27">
        <f t="shared" si="259"/>
        <v>1.377E-3</v>
      </c>
      <c r="AX1377" s="27">
        <f t="shared" si="260"/>
        <v>1.377E-3</v>
      </c>
      <c r="AY1377" s="27">
        <f t="shared" si="261"/>
        <v>1.377E-3</v>
      </c>
      <c r="AZ1377" s="27">
        <f t="shared" si="262"/>
        <v>1.377E-3</v>
      </c>
    </row>
    <row r="1378" spans="1:52" ht="15" customHeight="1" x14ac:dyDescent="0.25">
      <c r="A1378" s="13" t="e">
        <f>VLOOKUP(L1378,[1]VALIDAÇÃO!$D$13:$E$350,2,0)</f>
        <v>#N/A</v>
      </c>
      <c r="B1378" s="14" t="str">
        <f t="shared" si="264"/>
        <v>60</v>
      </c>
      <c r="C1378" s="15">
        <f t="shared" si="263"/>
        <v>60</v>
      </c>
      <c r="D1378" s="16" t="str">
        <f t="shared" si="265"/>
        <v>60</v>
      </c>
      <c r="E1378" s="17">
        <f t="shared" si="256"/>
        <v>60</v>
      </c>
      <c r="F1378" s="18" t="str">
        <f t="shared" si="266"/>
        <v>60</v>
      </c>
      <c r="G1378" s="18">
        <f t="shared" si="257"/>
        <v>60</v>
      </c>
      <c r="H1378" s="19" t="str">
        <f t="shared" si="267"/>
        <v>60</v>
      </c>
      <c r="I1378" s="19">
        <f t="shared" si="258"/>
        <v>60</v>
      </c>
      <c r="J1378" s="30"/>
      <c r="K1378" s="30"/>
      <c r="L1378" s="30"/>
      <c r="M1378" s="30"/>
      <c r="N1378" s="33"/>
      <c r="O1378" s="30"/>
      <c r="P1378" s="29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25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W1378" s="27">
        <f t="shared" si="259"/>
        <v>1.3780000000000001E-3</v>
      </c>
      <c r="AX1378" s="27">
        <f t="shared" si="260"/>
        <v>1.3780000000000001E-3</v>
      </c>
      <c r="AY1378" s="27">
        <f t="shared" si="261"/>
        <v>1.3780000000000001E-3</v>
      </c>
      <c r="AZ1378" s="27">
        <f t="shared" si="262"/>
        <v>1.3780000000000001E-3</v>
      </c>
    </row>
    <row r="1379" spans="1:52" ht="15" customHeight="1" x14ac:dyDescent="0.25">
      <c r="A1379" s="13" t="e">
        <f>VLOOKUP(L1379,[1]VALIDAÇÃO!$D$13:$E$350,2,0)</f>
        <v>#N/A</v>
      </c>
      <c r="B1379" s="14" t="str">
        <f t="shared" si="264"/>
        <v>59</v>
      </c>
      <c r="C1379" s="15">
        <f t="shared" si="263"/>
        <v>59</v>
      </c>
      <c r="D1379" s="16" t="str">
        <f t="shared" si="265"/>
        <v>59</v>
      </c>
      <c r="E1379" s="17">
        <f t="shared" si="256"/>
        <v>59</v>
      </c>
      <c r="F1379" s="18" t="str">
        <f t="shared" si="266"/>
        <v>59</v>
      </c>
      <c r="G1379" s="18">
        <f t="shared" si="257"/>
        <v>59</v>
      </c>
      <c r="H1379" s="19" t="str">
        <f t="shared" si="267"/>
        <v>59</v>
      </c>
      <c r="I1379" s="19">
        <f t="shared" si="258"/>
        <v>59</v>
      </c>
      <c r="J1379" s="30"/>
      <c r="K1379" s="30"/>
      <c r="L1379" s="30"/>
      <c r="M1379" s="30"/>
      <c r="N1379" s="30"/>
      <c r="O1379" s="30"/>
      <c r="P1379" s="29"/>
      <c r="Q1379" s="29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c r="AJ1379" s="25"/>
      <c r="AK1379" s="30"/>
      <c r="AL1379" s="30"/>
      <c r="AM1379" s="30"/>
      <c r="AN1379" s="30"/>
      <c r="AO1379" s="30"/>
      <c r="AP1379" s="30"/>
      <c r="AQ1379" s="30"/>
      <c r="AR1379" s="30"/>
      <c r="AS1379" s="30"/>
      <c r="AT1379" s="30"/>
      <c r="AU1379" s="30"/>
      <c r="AW1379" s="27">
        <f t="shared" si="259"/>
        <v>1.379E-3</v>
      </c>
      <c r="AX1379" s="27">
        <f t="shared" si="260"/>
        <v>1.379E-3</v>
      </c>
      <c r="AY1379" s="27">
        <f t="shared" si="261"/>
        <v>1.379E-3</v>
      </c>
      <c r="AZ1379" s="27">
        <f t="shared" si="262"/>
        <v>1.379E-3</v>
      </c>
    </row>
    <row r="1380" spans="1:52" ht="15" customHeight="1" x14ac:dyDescent="0.25">
      <c r="A1380" s="13" t="e">
        <f>VLOOKUP(L1380,[1]VALIDAÇÃO!$D$13:$E$350,2,0)</f>
        <v>#N/A</v>
      </c>
      <c r="B1380" s="14" t="str">
        <f t="shared" si="264"/>
        <v>58</v>
      </c>
      <c r="C1380" s="15">
        <f t="shared" si="263"/>
        <v>58</v>
      </c>
      <c r="D1380" s="16" t="str">
        <f t="shared" si="265"/>
        <v>58</v>
      </c>
      <c r="E1380" s="17">
        <f t="shared" si="256"/>
        <v>58</v>
      </c>
      <c r="F1380" s="18" t="str">
        <f t="shared" si="266"/>
        <v>58</v>
      </c>
      <c r="G1380" s="18">
        <f t="shared" si="257"/>
        <v>58</v>
      </c>
      <c r="H1380" s="19" t="str">
        <f t="shared" si="267"/>
        <v>58</v>
      </c>
      <c r="I1380" s="19">
        <f t="shared" si="258"/>
        <v>58</v>
      </c>
      <c r="J1380" s="30"/>
      <c r="K1380" s="30"/>
      <c r="L1380" s="30"/>
      <c r="M1380" s="30"/>
      <c r="N1380" s="30"/>
      <c r="O1380" s="30"/>
      <c r="P1380" s="29"/>
      <c r="Q1380" s="29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  <c r="AJ1380" s="25"/>
      <c r="AK1380" s="30"/>
      <c r="AL1380" s="30"/>
      <c r="AM1380" s="30"/>
      <c r="AN1380" s="30"/>
      <c r="AO1380" s="30"/>
      <c r="AP1380" s="30"/>
      <c r="AQ1380" s="30"/>
      <c r="AR1380" s="30"/>
      <c r="AS1380" s="30"/>
      <c r="AT1380" s="30"/>
      <c r="AU1380" s="30"/>
      <c r="AW1380" s="27">
        <f t="shared" si="259"/>
        <v>1.3799999999999999E-3</v>
      </c>
      <c r="AX1380" s="27">
        <f t="shared" si="260"/>
        <v>1.3799999999999999E-3</v>
      </c>
      <c r="AY1380" s="27">
        <f t="shared" si="261"/>
        <v>1.3799999999999999E-3</v>
      </c>
      <c r="AZ1380" s="27">
        <f t="shared" si="262"/>
        <v>1.3799999999999999E-3</v>
      </c>
    </row>
    <row r="1381" spans="1:52" ht="15" customHeight="1" x14ac:dyDescent="0.25">
      <c r="A1381" s="13" t="e">
        <f>VLOOKUP(L1381,[1]VALIDAÇÃO!$D$13:$E$350,2,0)</f>
        <v>#N/A</v>
      </c>
      <c r="B1381" s="14" t="str">
        <f t="shared" si="264"/>
        <v>57</v>
      </c>
      <c r="C1381" s="15">
        <f t="shared" si="263"/>
        <v>57</v>
      </c>
      <c r="D1381" s="16" t="str">
        <f t="shared" si="265"/>
        <v>57</v>
      </c>
      <c r="E1381" s="17">
        <f t="shared" si="256"/>
        <v>57</v>
      </c>
      <c r="F1381" s="18" t="str">
        <f t="shared" si="266"/>
        <v>57</v>
      </c>
      <c r="G1381" s="18">
        <f t="shared" si="257"/>
        <v>57</v>
      </c>
      <c r="H1381" s="19" t="str">
        <f t="shared" si="267"/>
        <v>57</v>
      </c>
      <c r="I1381" s="19">
        <f t="shared" si="258"/>
        <v>57</v>
      </c>
      <c r="J1381" s="30"/>
      <c r="K1381" s="30"/>
      <c r="L1381" s="30"/>
      <c r="M1381" s="30"/>
      <c r="N1381" s="33"/>
      <c r="O1381" s="30"/>
      <c r="P1381" s="29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0"/>
      <c r="AJ1381" s="25"/>
      <c r="AK1381" s="30"/>
      <c r="AL1381" s="30"/>
      <c r="AM1381" s="30"/>
      <c r="AN1381" s="30"/>
      <c r="AO1381" s="30"/>
      <c r="AP1381" s="30"/>
      <c r="AQ1381" s="30"/>
      <c r="AR1381" s="30"/>
      <c r="AS1381" s="30"/>
      <c r="AT1381" s="30"/>
      <c r="AU1381" s="30"/>
      <c r="AW1381" s="27">
        <f t="shared" si="259"/>
        <v>1.3810000000000001E-3</v>
      </c>
      <c r="AX1381" s="27">
        <f t="shared" si="260"/>
        <v>1.3810000000000001E-3</v>
      </c>
      <c r="AY1381" s="27">
        <f t="shared" si="261"/>
        <v>1.3810000000000001E-3</v>
      </c>
      <c r="AZ1381" s="27">
        <f t="shared" si="262"/>
        <v>1.3810000000000001E-3</v>
      </c>
    </row>
    <row r="1382" spans="1:52" ht="15" customHeight="1" x14ac:dyDescent="0.25">
      <c r="A1382" s="13" t="e">
        <f>VLOOKUP(L1382,[1]VALIDAÇÃO!$D$13:$E$350,2,0)</f>
        <v>#N/A</v>
      </c>
      <c r="B1382" s="14" t="str">
        <f t="shared" si="264"/>
        <v>56</v>
      </c>
      <c r="C1382" s="15">
        <f t="shared" si="263"/>
        <v>56</v>
      </c>
      <c r="D1382" s="16" t="str">
        <f t="shared" si="265"/>
        <v>56</v>
      </c>
      <c r="E1382" s="17">
        <f t="shared" si="256"/>
        <v>56</v>
      </c>
      <c r="F1382" s="18" t="str">
        <f t="shared" si="266"/>
        <v>56</v>
      </c>
      <c r="G1382" s="18">
        <f t="shared" si="257"/>
        <v>56</v>
      </c>
      <c r="H1382" s="19" t="str">
        <f t="shared" si="267"/>
        <v>56</v>
      </c>
      <c r="I1382" s="19">
        <f t="shared" si="258"/>
        <v>56</v>
      </c>
      <c r="J1382" s="30"/>
      <c r="K1382" s="30"/>
      <c r="L1382" s="30"/>
      <c r="M1382" s="30"/>
      <c r="N1382" s="30"/>
      <c r="O1382" s="30"/>
      <c r="P1382" s="29"/>
      <c r="Q1382" s="29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0"/>
      <c r="AJ1382" s="25"/>
      <c r="AK1382" s="30"/>
      <c r="AL1382" s="30"/>
      <c r="AM1382" s="30"/>
      <c r="AN1382" s="30"/>
      <c r="AO1382" s="30"/>
      <c r="AP1382" s="30"/>
      <c r="AQ1382" s="30"/>
      <c r="AR1382" s="30"/>
      <c r="AS1382" s="30"/>
      <c r="AT1382" s="30"/>
      <c r="AU1382" s="30"/>
      <c r="AW1382" s="27">
        <f t="shared" si="259"/>
        <v>1.382E-3</v>
      </c>
      <c r="AX1382" s="27">
        <f t="shared" si="260"/>
        <v>1.382E-3</v>
      </c>
      <c r="AY1382" s="27">
        <f t="shared" si="261"/>
        <v>1.382E-3</v>
      </c>
      <c r="AZ1382" s="27">
        <f t="shared" si="262"/>
        <v>1.382E-3</v>
      </c>
    </row>
    <row r="1383" spans="1:52" ht="15" customHeight="1" x14ac:dyDescent="0.25">
      <c r="A1383" s="13" t="e">
        <f>VLOOKUP(L1383,[1]VALIDAÇÃO!$D$13:$E$350,2,0)</f>
        <v>#N/A</v>
      </c>
      <c r="B1383" s="14" t="str">
        <f t="shared" si="264"/>
        <v>55</v>
      </c>
      <c r="C1383" s="15">
        <f t="shared" si="263"/>
        <v>55</v>
      </c>
      <c r="D1383" s="16" t="str">
        <f t="shared" si="265"/>
        <v>55</v>
      </c>
      <c r="E1383" s="17">
        <f t="shared" si="256"/>
        <v>55</v>
      </c>
      <c r="F1383" s="18" t="str">
        <f t="shared" si="266"/>
        <v>55</v>
      </c>
      <c r="G1383" s="18">
        <f t="shared" si="257"/>
        <v>55</v>
      </c>
      <c r="H1383" s="19" t="str">
        <f t="shared" si="267"/>
        <v>55</v>
      </c>
      <c r="I1383" s="19">
        <f t="shared" si="258"/>
        <v>55</v>
      </c>
      <c r="J1383" s="30"/>
      <c r="K1383" s="30"/>
      <c r="L1383" s="30"/>
      <c r="M1383" s="30"/>
      <c r="N1383" s="33"/>
      <c r="O1383" s="30"/>
      <c r="P1383" s="29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  <c r="AJ1383" s="25"/>
      <c r="AK1383" s="30"/>
      <c r="AL1383" s="30"/>
      <c r="AM1383" s="30"/>
      <c r="AN1383" s="30"/>
      <c r="AO1383" s="30"/>
      <c r="AP1383" s="30"/>
      <c r="AQ1383" s="30"/>
      <c r="AR1383" s="30"/>
      <c r="AS1383" s="30"/>
      <c r="AT1383" s="30"/>
      <c r="AU1383" s="30"/>
      <c r="AW1383" s="27">
        <f t="shared" si="259"/>
        <v>1.3829999999999999E-3</v>
      </c>
      <c r="AX1383" s="27">
        <f t="shared" si="260"/>
        <v>1.3829999999999999E-3</v>
      </c>
      <c r="AY1383" s="27">
        <f t="shared" si="261"/>
        <v>1.3829999999999999E-3</v>
      </c>
      <c r="AZ1383" s="27">
        <f t="shared" si="262"/>
        <v>1.3829999999999999E-3</v>
      </c>
    </row>
    <row r="1384" spans="1:52" ht="15" customHeight="1" x14ac:dyDescent="0.25">
      <c r="A1384" s="13" t="e">
        <f>VLOOKUP(L1384,[1]VALIDAÇÃO!$D$13:$E$350,2,0)</f>
        <v>#N/A</v>
      </c>
      <c r="B1384" s="14" t="str">
        <f t="shared" si="264"/>
        <v>54</v>
      </c>
      <c r="C1384" s="15">
        <f t="shared" si="263"/>
        <v>54</v>
      </c>
      <c r="D1384" s="16" t="str">
        <f t="shared" si="265"/>
        <v>54</v>
      </c>
      <c r="E1384" s="17">
        <f t="shared" si="256"/>
        <v>54</v>
      </c>
      <c r="F1384" s="18" t="str">
        <f t="shared" si="266"/>
        <v>54</v>
      </c>
      <c r="G1384" s="18">
        <f t="shared" si="257"/>
        <v>54</v>
      </c>
      <c r="H1384" s="19" t="str">
        <f t="shared" si="267"/>
        <v>54</v>
      </c>
      <c r="I1384" s="19">
        <f t="shared" si="258"/>
        <v>54</v>
      </c>
      <c r="J1384" s="30"/>
      <c r="K1384" s="30"/>
      <c r="L1384" s="30"/>
      <c r="M1384" s="30"/>
      <c r="N1384" s="33"/>
      <c r="O1384" s="30"/>
      <c r="P1384" s="29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25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W1384" s="27">
        <f t="shared" si="259"/>
        <v>1.384E-3</v>
      </c>
      <c r="AX1384" s="27">
        <f t="shared" si="260"/>
        <v>1.384E-3</v>
      </c>
      <c r="AY1384" s="27">
        <f t="shared" si="261"/>
        <v>1.384E-3</v>
      </c>
      <c r="AZ1384" s="27">
        <f t="shared" si="262"/>
        <v>1.384E-3</v>
      </c>
    </row>
    <row r="1385" spans="1:52" ht="15" customHeight="1" x14ac:dyDescent="0.25">
      <c r="A1385" s="13" t="e">
        <f>VLOOKUP(L1385,[1]VALIDAÇÃO!$D$13:$E$350,2,0)</f>
        <v>#N/A</v>
      </c>
      <c r="B1385" s="14" t="str">
        <f t="shared" si="264"/>
        <v>53</v>
      </c>
      <c r="C1385" s="15">
        <f t="shared" si="263"/>
        <v>53</v>
      </c>
      <c r="D1385" s="16" t="str">
        <f t="shared" si="265"/>
        <v>53</v>
      </c>
      <c r="E1385" s="17">
        <f t="shared" si="256"/>
        <v>53</v>
      </c>
      <c r="F1385" s="18" t="str">
        <f t="shared" si="266"/>
        <v>53</v>
      </c>
      <c r="G1385" s="18">
        <f t="shared" si="257"/>
        <v>53</v>
      </c>
      <c r="H1385" s="19" t="str">
        <f t="shared" si="267"/>
        <v>53</v>
      </c>
      <c r="I1385" s="19">
        <f t="shared" si="258"/>
        <v>53</v>
      </c>
      <c r="J1385" s="30"/>
      <c r="K1385" s="30"/>
      <c r="L1385" s="30"/>
      <c r="M1385" s="30"/>
      <c r="N1385" s="30"/>
      <c r="O1385" s="30"/>
      <c r="P1385" s="29"/>
      <c r="Q1385" s="29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  <c r="AJ1385" s="25"/>
      <c r="AK1385" s="30"/>
      <c r="AL1385" s="30"/>
      <c r="AM1385" s="30"/>
      <c r="AN1385" s="30"/>
      <c r="AO1385" s="30"/>
      <c r="AP1385" s="30"/>
      <c r="AQ1385" s="30"/>
      <c r="AR1385" s="30"/>
      <c r="AS1385" s="30"/>
      <c r="AT1385" s="30"/>
      <c r="AU1385" s="30"/>
      <c r="AW1385" s="27">
        <f t="shared" si="259"/>
        <v>1.3849999999999999E-3</v>
      </c>
      <c r="AX1385" s="27">
        <f t="shared" si="260"/>
        <v>1.3849999999999999E-3</v>
      </c>
      <c r="AY1385" s="27">
        <f t="shared" si="261"/>
        <v>1.3849999999999999E-3</v>
      </c>
      <c r="AZ1385" s="27">
        <f t="shared" si="262"/>
        <v>1.3849999999999999E-3</v>
      </c>
    </row>
    <row r="1386" spans="1:52" ht="15" customHeight="1" x14ac:dyDescent="0.25">
      <c r="A1386" s="13" t="e">
        <f>VLOOKUP(L1386,[1]VALIDAÇÃO!$D$13:$E$350,2,0)</f>
        <v>#N/A</v>
      </c>
      <c r="B1386" s="14" t="str">
        <f t="shared" si="264"/>
        <v>52</v>
      </c>
      <c r="C1386" s="15">
        <f t="shared" si="263"/>
        <v>52</v>
      </c>
      <c r="D1386" s="16" t="str">
        <f t="shared" si="265"/>
        <v>52</v>
      </c>
      <c r="E1386" s="17">
        <f t="shared" si="256"/>
        <v>52</v>
      </c>
      <c r="F1386" s="18" t="str">
        <f t="shared" si="266"/>
        <v>52</v>
      </c>
      <c r="G1386" s="18">
        <f t="shared" si="257"/>
        <v>52</v>
      </c>
      <c r="H1386" s="19" t="str">
        <f t="shared" si="267"/>
        <v>52</v>
      </c>
      <c r="I1386" s="19">
        <f t="shared" si="258"/>
        <v>52</v>
      </c>
      <c r="J1386" s="30"/>
      <c r="K1386" s="30"/>
      <c r="L1386" s="30"/>
      <c r="M1386" s="30"/>
      <c r="N1386" s="30"/>
      <c r="O1386" s="30"/>
      <c r="P1386" s="29"/>
      <c r="Q1386" s="29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  <c r="AJ1386" s="25"/>
      <c r="AK1386" s="30"/>
      <c r="AL1386" s="30"/>
      <c r="AM1386" s="30"/>
      <c r="AN1386" s="30"/>
      <c r="AO1386" s="30"/>
      <c r="AP1386" s="30"/>
      <c r="AQ1386" s="30"/>
      <c r="AR1386" s="30"/>
      <c r="AS1386" s="30"/>
      <c r="AT1386" s="30"/>
      <c r="AU1386" s="30"/>
      <c r="AW1386" s="27">
        <f t="shared" si="259"/>
        <v>1.3860000000000001E-3</v>
      </c>
      <c r="AX1386" s="27">
        <f t="shared" si="260"/>
        <v>1.3860000000000001E-3</v>
      </c>
      <c r="AY1386" s="27">
        <f t="shared" si="261"/>
        <v>1.3860000000000001E-3</v>
      </c>
      <c r="AZ1386" s="27">
        <f t="shared" si="262"/>
        <v>1.3860000000000001E-3</v>
      </c>
    </row>
    <row r="1387" spans="1:52" ht="15" customHeight="1" x14ac:dyDescent="0.25">
      <c r="A1387" s="13" t="e">
        <f>VLOOKUP(L1387,[1]VALIDAÇÃO!$D$13:$E$350,2,0)</f>
        <v>#N/A</v>
      </c>
      <c r="B1387" s="14" t="str">
        <f t="shared" si="264"/>
        <v>51</v>
      </c>
      <c r="C1387" s="15">
        <f t="shared" si="263"/>
        <v>51</v>
      </c>
      <c r="D1387" s="16" t="str">
        <f t="shared" si="265"/>
        <v>51</v>
      </c>
      <c r="E1387" s="17">
        <f t="shared" si="256"/>
        <v>51</v>
      </c>
      <c r="F1387" s="18" t="str">
        <f t="shared" si="266"/>
        <v>51</v>
      </c>
      <c r="G1387" s="18">
        <f t="shared" si="257"/>
        <v>51</v>
      </c>
      <c r="H1387" s="19" t="str">
        <f t="shared" si="267"/>
        <v>51</v>
      </c>
      <c r="I1387" s="19">
        <f t="shared" si="258"/>
        <v>51</v>
      </c>
      <c r="J1387" s="30"/>
      <c r="K1387" s="30"/>
      <c r="L1387" s="30"/>
      <c r="M1387" s="30"/>
      <c r="N1387" s="33"/>
      <c r="O1387" s="30"/>
      <c r="P1387" s="29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c r="AJ1387" s="25"/>
      <c r="AK1387" s="30"/>
      <c r="AL1387" s="30"/>
      <c r="AM1387" s="30"/>
      <c r="AN1387" s="30"/>
      <c r="AO1387" s="30"/>
      <c r="AP1387" s="30"/>
      <c r="AQ1387" s="30"/>
      <c r="AR1387" s="30"/>
      <c r="AS1387" s="30"/>
      <c r="AT1387" s="30"/>
      <c r="AU1387" s="30"/>
      <c r="AW1387" s="27">
        <f t="shared" si="259"/>
        <v>1.387E-3</v>
      </c>
      <c r="AX1387" s="27">
        <f t="shared" si="260"/>
        <v>1.387E-3</v>
      </c>
      <c r="AY1387" s="27">
        <f t="shared" si="261"/>
        <v>1.387E-3</v>
      </c>
      <c r="AZ1387" s="27">
        <f t="shared" si="262"/>
        <v>1.387E-3</v>
      </c>
    </row>
    <row r="1388" spans="1:52" ht="15" customHeight="1" x14ac:dyDescent="0.25">
      <c r="A1388" s="13" t="e">
        <f>VLOOKUP(L1388,[1]VALIDAÇÃO!$D$13:$E$350,2,0)</f>
        <v>#N/A</v>
      </c>
      <c r="B1388" s="14" t="str">
        <f t="shared" si="264"/>
        <v>50</v>
      </c>
      <c r="C1388" s="15">
        <f t="shared" si="263"/>
        <v>50</v>
      </c>
      <c r="D1388" s="16" t="str">
        <f t="shared" si="265"/>
        <v>50</v>
      </c>
      <c r="E1388" s="17">
        <f t="shared" si="256"/>
        <v>50</v>
      </c>
      <c r="F1388" s="18" t="str">
        <f t="shared" si="266"/>
        <v>50</v>
      </c>
      <c r="G1388" s="18">
        <f t="shared" si="257"/>
        <v>50</v>
      </c>
      <c r="H1388" s="19" t="str">
        <f t="shared" si="267"/>
        <v>50</v>
      </c>
      <c r="I1388" s="19">
        <f t="shared" si="258"/>
        <v>50</v>
      </c>
      <c r="J1388" s="30"/>
      <c r="K1388" s="30"/>
      <c r="L1388" s="30"/>
      <c r="M1388" s="30"/>
      <c r="N1388" s="33"/>
      <c r="O1388" s="30"/>
      <c r="P1388" s="29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0"/>
      <c r="AJ1388" s="25"/>
      <c r="AK1388" s="30"/>
      <c r="AL1388" s="30"/>
      <c r="AM1388" s="30"/>
      <c r="AN1388" s="30"/>
      <c r="AO1388" s="30"/>
      <c r="AP1388" s="30"/>
      <c r="AQ1388" s="30"/>
      <c r="AR1388" s="30"/>
      <c r="AS1388" s="30"/>
      <c r="AT1388" s="30"/>
      <c r="AU1388" s="30"/>
      <c r="AW1388" s="27">
        <f t="shared" si="259"/>
        <v>1.3879999999999999E-3</v>
      </c>
      <c r="AX1388" s="27">
        <f t="shared" si="260"/>
        <v>1.3879999999999999E-3</v>
      </c>
      <c r="AY1388" s="27">
        <f t="shared" si="261"/>
        <v>1.3879999999999999E-3</v>
      </c>
      <c r="AZ1388" s="27">
        <f t="shared" si="262"/>
        <v>1.3879999999999999E-3</v>
      </c>
    </row>
    <row r="1389" spans="1:52" ht="15" customHeight="1" x14ac:dyDescent="0.25">
      <c r="A1389" s="13" t="e">
        <f>VLOOKUP(L1389,[1]VALIDAÇÃO!$D$13:$E$350,2,0)</f>
        <v>#N/A</v>
      </c>
      <c r="B1389" s="14" t="str">
        <f t="shared" si="264"/>
        <v>49</v>
      </c>
      <c r="C1389" s="15">
        <f t="shared" si="263"/>
        <v>49</v>
      </c>
      <c r="D1389" s="16" t="str">
        <f t="shared" si="265"/>
        <v>49</v>
      </c>
      <c r="E1389" s="17">
        <f t="shared" si="256"/>
        <v>49</v>
      </c>
      <c r="F1389" s="18" t="str">
        <f t="shared" si="266"/>
        <v>49</v>
      </c>
      <c r="G1389" s="18">
        <f t="shared" si="257"/>
        <v>49</v>
      </c>
      <c r="H1389" s="19" t="str">
        <f t="shared" si="267"/>
        <v>49</v>
      </c>
      <c r="I1389" s="19">
        <f t="shared" si="258"/>
        <v>49</v>
      </c>
      <c r="J1389" s="30"/>
      <c r="K1389" s="30"/>
      <c r="L1389" s="30"/>
      <c r="M1389" s="30"/>
      <c r="N1389" s="33"/>
      <c r="O1389" s="30"/>
      <c r="P1389" s="29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  <c r="AJ1389" s="25"/>
      <c r="AK1389" s="30"/>
      <c r="AL1389" s="30"/>
      <c r="AM1389" s="30"/>
      <c r="AN1389" s="30"/>
      <c r="AO1389" s="30"/>
      <c r="AP1389" s="30"/>
      <c r="AQ1389" s="30"/>
      <c r="AR1389" s="30"/>
      <c r="AS1389" s="30"/>
      <c r="AT1389" s="30"/>
      <c r="AU1389" s="30"/>
      <c r="AW1389" s="27">
        <f t="shared" si="259"/>
        <v>1.389E-3</v>
      </c>
      <c r="AX1389" s="27">
        <f t="shared" si="260"/>
        <v>1.389E-3</v>
      </c>
      <c r="AY1389" s="27">
        <f t="shared" si="261"/>
        <v>1.389E-3</v>
      </c>
      <c r="AZ1389" s="27">
        <f t="shared" si="262"/>
        <v>1.389E-3</v>
      </c>
    </row>
    <row r="1390" spans="1:52" ht="15" customHeight="1" x14ac:dyDescent="0.25">
      <c r="A1390" s="13" t="e">
        <f>VLOOKUP(L1390,[1]VALIDAÇÃO!$D$13:$E$350,2,0)</f>
        <v>#N/A</v>
      </c>
      <c r="B1390" s="14" t="str">
        <f t="shared" si="264"/>
        <v>48</v>
      </c>
      <c r="C1390" s="15">
        <f t="shared" si="263"/>
        <v>48</v>
      </c>
      <c r="D1390" s="16" t="str">
        <f t="shared" si="265"/>
        <v>48</v>
      </c>
      <c r="E1390" s="17">
        <f t="shared" si="256"/>
        <v>48</v>
      </c>
      <c r="F1390" s="18" t="str">
        <f t="shared" si="266"/>
        <v>48</v>
      </c>
      <c r="G1390" s="18">
        <f t="shared" si="257"/>
        <v>48</v>
      </c>
      <c r="H1390" s="19" t="str">
        <f t="shared" si="267"/>
        <v>48</v>
      </c>
      <c r="I1390" s="19">
        <f t="shared" si="258"/>
        <v>48</v>
      </c>
      <c r="J1390" s="30"/>
      <c r="K1390" s="30"/>
      <c r="L1390" s="30"/>
      <c r="M1390" s="30"/>
      <c r="N1390" s="30"/>
      <c r="O1390" s="30"/>
      <c r="P1390" s="29"/>
      <c r="Q1390" s="29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25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W1390" s="27">
        <f t="shared" si="259"/>
        <v>1.39E-3</v>
      </c>
      <c r="AX1390" s="27">
        <f t="shared" si="260"/>
        <v>1.39E-3</v>
      </c>
      <c r="AY1390" s="27">
        <f t="shared" si="261"/>
        <v>1.39E-3</v>
      </c>
      <c r="AZ1390" s="27">
        <f t="shared" si="262"/>
        <v>1.39E-3</v>
      </c>
    </row>
    <row r="1391" spans="1:52" ht="15" customHeight="1" x14ac:dyDescent="0.25">
      <c r="A1391" s="13" t="e">
        <f>VLOOKUP(L1391,[1]VALIDAÇÃO!$D$13:$E$350,2,0)</f>
        <v>#N/A</v>
      </c>
      <c r="B1391" s="14" t="str">
        <f t="shared" si="264"/>
        <v>47</v>
      </c>
      <c r="C1391" s="15">
        <f t="shared" si="263"/>
        <v>47</v>
      </c>
      <c r="D1391" s="16" t="str">
        <f t="shared" si="265"/>
        <v>47</v>
      </c>
      <c r="E1391" s="17">
        <f t="shared" si="256"/>
        <v>47</v>
      </c>
      <c r="F1391" s="18" t="str">
        <f t="shared" si="266"/>
        <v>47</v>
      </c>
      <c r="G1391" s="18">
        <f t="shared" si="257"/>
        <v>47</v>
      </c>
      <c r="H1391" s="19" t="str">
        <f t="shared" si="267"/>
        <v>47</v>
      </c>
      <c r="I1391" s="19">
        <f t="shared" si="258"/>
        <v>47</v>
      </c>
      <c r="J1391" s="30"/>
      <c r="K1391" s="30"/>
      <c r="L1391" s="30"/>
      <c r="M1391" s="30"/>
      <c r="N1391" s="33"/>
      <c r="O1391" s="30"/>
      <c r="P1391" s="29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0"/>
      <c r="AJ1391" s="25"/>
      <c r="AK1391" s="30"/>
      <c r="AL1391" s="30"/>
      <c r="AM1391" s="30"/>
      <c r="AN1391" s="30"/>
      <c r="AO1391" s="30"/>
      <c r="AP1391" s="30"/>
      <c r="AQ1391" s="30"/>
      <c r="AR1391" s="30"/>
      <c r="AS1391" s="30"/>
      <c r="AT1391" s="30"/>
      <c r="AU1391" s="30"/>
      <c r="AW1391" s="27">
        <f t="shared" si="259"/>
        <v>1.3910000000000001E-3</v>
      </c>
      <c r="AX1391" s="27">
        <f t="shared" si="260"/>
        <v>1.3910000000000001E-3</v>
      </c>
      <c r="AY1391" s="27">
        <f t="shared" si="261"/>
        <v>1.3910000000000001E-3</v>
      </c>
      <c r="AZ1391" s="27">
        <f t="shared" si="262"/>
        <v>1.3910000000000001E-3</v>
      </c>
    </row>
    <row r="1392" spans="1:52" ht="15" customHeight="1" x14ac:dyDescent="0.25">
      <c r="A1392" s="13" t="e">
        <f>VLOOKUP(L1392,[1]VALIDAÇÃO!$D$13:$E$350,2,0)</f>
        <v>#N/A</v>
      </c>
      <c r="B1392" s="14" t="str">
        <f t="shared" si="264"/>
        <v>46</v>
      </c>
      <c r="C1392" s="15">
        <f t="shared" si="263"/>
        <v>46</v>
      </c>
      <c r="D1392" s="16" t="str">
        <f t="shared" si="265"/>
        <v>46</v>
      </c>
      <c r="E1392" s="17">
        <f t="shared" si="256"/>
        <v>46</v>
      </c>
      <c r="F1392" s="18" t="str">
        <f t="shared" si="266"/>
        <v>46</v>
      </c>
      <c r="G1392" s="18">
        <f t="shared" si="257"/>
        <v>46</v>
      </c>
      <c r="H1392" s="19" t="str">
        <f t="shared" si="267"/>
        <v>46</v>
      </c>
      <c r="I1392" s="19">
        <f t="shared" si="258"/>
        <v>46</v>
      </c>
      <c r="J1392" s="30"/>
      <c r="K1392" s="30"/>
      <c r="L1392" s="30"/>
      <c r="M1392" s="30"/>
      <c r="N1392" s="33"/>
      <c r="O1392" s="30"/>
      <c r="P1392" s="29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0"/>
      <c r="AJ1392" s="25"/>
      <c r="AK1392" s="30"/>
      <c r="AL1392" s="30"/>
      <c r="AM1392" s="30"/>
      <c r="AN1392" s="30"/>
      <c r="AO1392" s="30"/>
      <c r="AP1392" s="30"/>
      <c r="AQ1392" s="30"/>
      <c r="AR1392" s="30"/>
      <c r="AS1392" s="30"/>
      <c r="AT1392" s="30"/>
      <c r="AU1392" s="30"/>
      <c r="AW1392" s="27">
        <f t="shared" si="259"/>
        <v>1.392E-3</v>
      </c>
      <c r="AX1392" s="27">
        <f t="shared" si="260"/>
        <v>1.392E-3</v>
      </c>
      <c r="AY1392" s="27">
        <f t="shared" si="261"/>
        <v>1.392E-3</v>
      </c>
      <c r="AZ1392" s="27">
        <f t="shared" si="262"/>
        <v>1.392E-3</v>
      </c>
    </row>
    <row r="1393" spans="1:52" ht="15" customHeight="1" x14ac:dyDescent="0.25">
      <c r="A1393" s="13" t="e">
        <f>VLOOKUP(L1393,[1]VALIDAÇÃO!$D$13:$E$350,2,0)</f>
        <v>#N/A</v>
      </c>
      <c r="B1393" s="14" t="str">
        <f t="shared" si="264"/>
        <v>45</v>
      </c>
      <c r="C1393" s="15">
        <f t="shared" si="263"/>
        <v>45</v>
      </c>
      <c r="D1393" s="16" t="str">
        <f t="shared" si="265"/>
        <v>45</v>
      </c>
      <c r="E1393" s="17">
        <f t="shared" si="256"/>
        <v>45</v>
      </c>
      <c r="F1393" s="18" t="str">
        <f t="shared" si="266"/>
        <v>45</v>
      </c>
      <c r="G1393" s="18">
        <f t="shared" si="257"/>
        <v>45</v>
      </c>
      <c r="H1393" s="19" t="str">
        <f t="shared" si="267"/>
        <v>45</v>
      </c>
      <c r="I1393" s="19">
        <f t="shared" si="258"/>
        <v>45</v>
      </c>
      <c r="J1393" s="30"/>
      <c r="K1393" s="30"/>
      <c r="L1393" s="30"/>
      <c r="M1393" s="30"/>
      <c r="N1393" s="30"/>
      <c r="O1393" s="30"/>
      <c r="P1393" s="29"/>
      <c r="Q1393" s="29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25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W1393" s="27">
        <f t="shared" si="259"/>
        <v>1.3929999999999999E-3</v>
      </c>
      <c r="AX1393" s="27">
        <f t="shared" si="260"/>
        <v>1.3929999999999999E-3</v>
      </c>
      <c r="AY1393" s="27">
        <f t="shared" si="261"/>
        <v>1.3929999999999999E-3</v>
      </c>
      <c r="AZ1393" s="27">
        <f t="shared" si="262"/>
        <v>1.3929999999999999E-3</v>
      </c>
    </row>
    <row r="1394" spans="1:52" ht="15" customHeight="1" x14ac:dyDescent="0.25">
      <c r="A1394" s="13" t="e">
        <f>VLOOKUP(L1394,[1]VALIDAÇÃO!$D$13:$E$350,2,0)</f>
        <v>#N/A</v>
      </c>
      <c r="B1394" s="14" t="str">
        <f t="shared" si="264"/>
        <v>44</v>
      </c>
      <c r="C1394" s="15">
        <f t="shared" si="263"/>
        <v>44</v>
      </c>
      <c r="D1394" s="16" t="str">
        <f t="shared" si="265"/>
        <v>44</v>
      </c>
      <c r="E1394" s="17">
        <f t="shared" si="256"/>
        <v>44</v>
      </c>
      <c r="F1394" s="18" t="str">
        <f t="shared" si="266"/>
        <v>44</v>
      </c>
      <c r="G1394" s="18">
        <f t="shared" si="257"/>
        <v>44</v>
      </c>
      <c r="H1394" s="19" t="str">
        <f t="shared" si="267"/>
        <v>44</v>
      </c>
      <c r="I1394" s="19">
        <f t="shared" si="258"/>
        <v>44</v>
      </c>
      <c r="J1394" s="30"/>
      <c r="K1394" s="30"/>
      <c r="L1394" s="30"/>
      <c r="M1394" s="30"/>
      <c r="N1394" s="33"/>
      <c r="O1394" s="30"/>
      <c r="P1394" s="29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c r="AJ1394" s="25"/>
      <c r="AK1394" s="30"/>
      <c r="AL1394" s="30"/>
      <c r="AM1394" s="30"/>
      <c r="AN1394" s="30"/>
      <c r="AO1394" s="30"/>
      <c r="AP1394" s="30"/>
      <c r="AQ1394" s="30"/>
      <c r="AR1394" s="30"/>
      <c r="AS1394" s="30"/>
      <c r="AT1394" s="30"/>
      <c r="AU1394" s="30"/>
      <c r="AW1394" s="27">
        <f t="shared" si="259"/>
        <v>1.3940000000000001E-3</v>
      </c>
      <c r="AX1394" s="27">
        <f t="shared" si="260"/>
        <v>1.3940000000000001E-3</v>
      </c>
      <c r="AY1394" s="27">
        <f t="shared" si="261"/>
        <v>1.3940000000000001E-3</v>
      </c>
      <c r="AZ1394" s="27">
        <f t="shared" si="262"/>
        <v>1.3940000000000001E-3</v>
      </c>
    </row>
    <row r="1395" spans="1:52" ht="15" customHeight="1" x14ac:dyDescent="0.25">
      <c r="A1395" s="13" t="e">
        <f>VLOOKUP(L1395,[1]VALIDAÇÃO!$D$13:$E$350,2,0)</f>
        <v>#N/A</v>
      </c>
      <c r="B1395" s="14" t="str">
        <f t="shared" si="264"/>
        <v>43</v>
      </c>
      <c r="C1395" s="15">
        <f t="shared" si="263"/>
        <v>43</v>
      </c>
      <c r="D1395" s="16" t="str">
        <f t="shared" si="265"/>
        <v>43</v>
      </c>
      <c r="E1395" s="17">
        <f t="shared" si="256"/>
        <v>43</v>
      </c>
      <c r="F1395" s="18" t="str">
        <f t="shared" si="266"/>
        <v>43</v>
      </c>
      <c r="G1395" s="18">
        <f t="shared" si="257"/>
        <v>43</v>
      </c>
      <c r="H1395" s="19" t="str">
        <f t="shared" si="267"/>
        <v>43</v>
      </c>
      <c r="I1395" s="19">
        <f t="shared" si="258"/>
        <v>43</v>
      </c>
      <c r="J1395" s="30"/>
      <c r="K1395" s="30"/>
      <c r="L1395" s="30"/>
      <c r="M1395" s="30"/>
      <c r="N1395" s="30"/>
      <c r="O1395" s="30"/>
      <c r="P1395" s="29"/>
      <c r="Q1395" s="29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  <c r="AJ1395" s="25"/>
      <c r="AK1395" s="30"/>
      <c r="AL1395" s="30"/>
      <c r="AM1395" s="30"/>
      <c r="AN1395" s="30"/>
      <c r="AO1395" s="30"/>
      <c r="AP1395" s="30"/>
      <c r="AQ1395" s="30"/>
      <c r="AR1395" s="30"/>
      <c r="AS1395" s="30"/>
      <c r="AT1395" s="30"/>
      <c r="AU1395" s="30"/>
      <c r="AW1395" s="27">
        <f t="shared" si="259"/>
        <v>1.395E-3</v>
      </c>
      <c r="AX1395" s="27">
        <f t="shared" si="260"/>
        <v>1.395E-3</v>
      </c>
      <c r="AY1395" s="27">
        <f t="shared" si="261"/>
        <v>1.395E-3</v>
      </c>
      <c r="AZ1395" s="27">
        <f t="shared" si="262"/>
        <v>1.395E-3</v>
      </c>
    </row>
    <row r="1396" spans="1:52" ht="15" customHeight="1" x14ac:dyDescent="0.25">
      <c r="A1396" s="13" t="e">
        <f>VLOOKUP(L1396,[1]VALIDAÇÃO!$D$13:$E$350,2,0)</f>
        <v>#N/A</v>
      </c>
      <c r="B1396" s="14" t="str">
        <f t="shared" si="264"/>
        <v>42</v>
      </c>
      <c r="C1396" s="15">
        <f t="shared" si="263"/>
        <v>42</v>
      </c>
      <c r="D1396" s="16" t="str">
        <f t="shared" si="265"/>
        <v>42</v>
      </c>
      <c r="E1396" s="17">
        <f t="shared" si="256"/>
        <v>42</v>
      </c>
      <c r="F1396" s="18" t="str">
        <f t="shared" si="266"/>
        <v>42</v>
      </c>
      <c r="G1396" s="18">
        <f t="shared" si="257"/>
        <v>42</v>
      </c>
      <c r="H1396" s="19" t="str">
        <f t="shared" si="267"/>
        <v>42</v>
      </c>
      <c r="I1396" s="19">
        <f t="shared" si="258"/>
        <v>42</v>
      </c>
      <c r="J1396" s="30"/>
      <c r="K1396" s="30"/>
      <c r="L1396" s="30"/>
      <c r="M1396" s="30"/>
      <c r="N1396" s="30"/>
      <c r="O1396" s="30"/>
      <c r="P1396" s="29"/>
      <c r="Q1396" s="29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25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W1396" s="27">
        <f t="shared" si="259"/>
        <v>1.3960000000000001E-3</v>
      </c>
      <c r="AX1396" s="27">
        <f t="shared" si="260"/>
        <v>1.3960000000000001E-3</v>
      </c>
      <c r="AY1396" s="27">
        <f t="shared" si="261"/>
        <v>1.3960000000000001E-3</v>
      </c>
      <c r="AZ1396" s="27">
        <f t="shared" si="262"/>
        <v>1.3960000000000001E-3</v>
      </c>
    </row>
    <row r="1397" spans="1:52" ht="15" customHeight="1" x14ac:dyDescent="0.25">
      <c r="A1397" s="13" t="e">
        <f>VLOOKUP(L1397,[1]VALIDAÇÃO!$D$13:$E$350,2,0)</f>
        <v>#N/A</v>
      </c>
      <c r="B1397" s="14" t="str">
        <f t="shared" si="264"/>
        <v>41</v>
      </c>
      <c r="C1397" s="15">
        <f t="shared" si="263"/>
        <v>41</v>
      </c>
      <c r="D1397" s="16" t="str">
        <f t="shared" si="265"/>
        <v>41</v>
      </c>
      <c r="E1397" s="17">
        <f t="shared" si="256"/>
        <v>41</v>
      </c>
      <c r="F1397" s="18" t="str">
        <f t="shared" si="266"/>
        <v>41</v>
      </c>
      <c r="G1397" s="18">
        <f t="shared" si="257"/>
        <v>41</v>
      </c>
      <c r="H1397" s="19" t="str">
        <f t="shared" si="267"/>
        <v>41</v>
      </c>
      <c r="I1397" s="19">
        <f t="shared" si="258"/>
        <v>41</v>
      </c>
      <c r="J1397" s="30"/>
      <c r="K1397" s="30"/>
      <c r="L1397" s="30"/>
      <c r="M1397" s="30"/>
      <c r="N1397" s="33"/>
      <c r="O1397" s="30"/>
      <c r="P1397" s="29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  <c r="AJ1397" s="25"/>
      <c r="AK1397" s="30"/>
      <c r="AL1397" s="30"/>
      <c r="AM1397" s="30"/>
      <c r="AN1397" s="30"/>
      <c r="AO1397" s="30"/>
      <c r="AP1397" s="30"/>
      <c r="AQ1397" s="30"/>
      <c r="AR1397" s="30"/>
      <c r="AS1397" s="30"/>
      <c r="AT1397" s="30"/>
      <c r="AU1397" s="30"/>
      <c r="AW1397" s="27">
        <f t="shared" si="259"/>
        <v>1.397E-3</v>
      </c>
      <c r="AX1397" s="27">
        <f t="shared" si="260"/>
        <v>1.397E-3</v>
      </c>
      <c r="AY1397" s="27">
        <f t="shared" si="261"/>
        <v>1.397E-3</v>
      </c>
      <c r="AZ1397" s="27">
        <f t="shared" si="262"/>
        <v>1.397E-3</v>
      </c>
    </row>
    <row r="1398" spans="1:52" ht="15" customHeight="1" x14ac:dyDescent="0.25">
      <c r="A1398" s="13" t="e">
        <f>VLOOKUP(L1398,[1]VALIDAÇÃO!$D$13:$E$350,2,0)</f>
        <v>#N/A</v>
      </c>
      <c r="B1398" s="14" t="str">
        <f t="shared" si="264"/>
        <v>40</v>
      </c>
      <c r="C1398" s="15">
        <f t="shared" si="263"/>
        <v>40</v>
      </c>
      <c r="D1398" s="16" t="str">
        <f t="shared" si="265"/>
        <v>40</v>
      </c>
      <c r="E1398" s="17">
        <f t="shared" si="256"/>
        <v>40</v>
      </c>
      <c r="F1398" s="18" t="str">
        <f t="shared" si="266"/>
        <v>40</v>
      </c>
      <c r="G1398" s="18">
        <f t="shared" si="257"/>
        <v>40</v>
      </c>
      <c r="H1398" s="19" t="str">
        <f t="shared" si="267"/>
        <v>40</v>
      </c>
      <c r="I1398" s="19">
        <f t="shared" si="258"/>
        <v>40</v>
      </c>
      <c r="J1398" s="30"/>
      <c r="K1398" s="30"/>
      <c r="L1398" s="30"/>
      <c r="M1398" s="30"/>
      <c r="N1398" s="30"/>
      <c r="O1398" s="30"/>
      <c r="P1398" s="29"/>
      <c r="Q1398" s="29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  <c r="AJ1398" s="25"/>
      <c r="AK1398" s="30"/>
      <c r="AL1398" s="30"/>
      <c r="AM1398" s="30"/>
      <c r="AN1398" s="30"/>
      <c r="AO1398" s="30"/>
      <c r="AP1398" s="30"/>
      <c r="AQ1398" s="30"/>
      <c r="AR1398" s="30"/>
      <c r="AS1398" s="30"/>
      <c r="AT1398" s="30"/>
      <c r="AU1398" s="30"/>
      <c r="AW1398" s="27">
        <f t="shared" si="259"/>
        <v>1.3979999999999999E-3</v>
      </c>
      <c r="AX1398" s="27">
        <f t="shared" si="260"/>
        <v>1.3979999999999999E-3</v>
      </c>
      <c r="AY1398" s="27">
        <f t="shared" si="261"/>
        <v>1.3979999999999999E-3</v>
      </c>
      <c r="AZ1398" s="27">
        <f t="shared" si="262"/>
        <v>1.3979999999999999E-3</v>
      </c>
    </row>
    <row r="1399" spans="1:52" ht="15" customHeight="1" x14ac:dyDescent="0.25">
      <c r="A1399" s="13" t="e">
        <f>VLOOKUP(L1399,[1]VALIDAÇÃO!$D$13:$E$350,2,0)</f>
        <v>#N/A</v>
      </c>
      <c r="B1399" s="14" t="str">
        <f t="shared" si="264"/>
        <v>39</v>
      </c>
      <c r="C1399" s="15">
        <f t="shared" si="263"/>
        <v>39</v>
      </c>
      <c r="D1399" s="16" t="str">
        <f t="shared" si="265"/>
        <v>39</v>
      </c>
      <c r="E1399" s="17">
        <f t="shared" si="256"/>
        <v>39</v>
      </c>
      <c r="F1399" s="18" t="str">
        <f t="shared" si="266"/>
        <v>39</v>
      </c>
      <c r="G1399" s="18">
        <f t="shared" si="257"/>
        <v>39</v>
      </c>
      <c r="H1399" s="19" t="str">
        <f t="shared" si="267"/>
        <v>39</v>
      </c>
      <c r="I1399" s="19">
        <f t="shared" si="258"/>
        <v>39</v>
      </c>
      <c r="J1399" s="30"/>
      <c r="K1399" s="30"/>
      <c r="L1399" s="30"/>
      <c r="M1399" s="30"/>
      <c r="N1399" s="33"/>
      <c r="O1399" s="30"/>
      <c r="P1399" s="29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25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  <c r="AW1399" s="27">
        <f t="shared" si="259"/>
        <v>1.3990000000000001E-3</v>
      </c>
      <c r="AX1399" s="27">
        <f t="shared" si="260"/>
        <v>1.3990000000000001E-3</v>
      </c>
      <c r="AY1399" s="27">
        <f t="shared" si="261"/>
        <v>1.3990000000000001E-3</v>
      </c>
      <c r="AZ1399" s="27">
        <f t="shared" si="262"/>
        <v>1.3990000000000001E-3</v>
      </c>
    </row>
    <row r="1400" spans="1:52" ht="15" customHeight="1" x14ac:dyDescent="0.25">
      <c r="A1400" s="13" t="e">
        <f>VLOOKUP(L1400,[1]VALIDAÇÃO!$D$13:$E$350,2,0)</f>
        <v>#N/A</v>
      </c>
      <c r="B1400" s="14" t="str">
        <f t="shared" si="264"/>
        <v>38</v>
      </c>
      <c r="C1400" s="15">
        <f t="shared" si="263"/>
        <v>38</v>
      </c>
      <c r="D1400" s="16" t="str">
        <f t="shared" si="265"/>
        <v>38</v>
      </c>
      <c r="E1400" s="17">
        <f t="shared" si="256"/>
        <v>38</v>
      </c>
      <c r="F1400" s="18" t="str">
        <f t="shared" si="266"/>
        <v>38</v>
      </c>
      <c r="G1400" s="18">
        <f t="shared" si="257"/>
        <v>38</v>
      </c>
      <c r="H1400" s="19" t="str">
        <f t="shared" si="267"/>
        <v>38</v>
      </c>
      <c r="I1400" s="19">
        <f t="shared" si="258"/>
        <v>38</v>
      </c>
      <c r="J1400" s="30"/>
      <c r="K1400" s="30"/>
      <c r="L1400" s="30"/>
      <c r="M1400" s="30"/>
      <c r="N1400" s="33"/>
      <c r="O1400" s="30"/>
      <c r="P1400" s="29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0"/>
      <c r="AJ1400" s="25"/>
      <c r="AK1400" s="30"/>
      <c r="AL1400" s="30"/>
      <c r="AM1400" s="30"/>
      <c r="AN1400" s="30"/>
      <c r="AO1400" s="30"/>
      <c r="AP1400" s="30"/>
      <c r="AQ1400" s="30"/>
      <c r="AR1400" s="30"/>
      <c r="AS1400" s="30"/>
      <c r="AT1400" s="30"/>
      <c r="AU1400" s="30"/>
      <c r="AW1400" s="27">
        <f t="shared" si="259"/>
        <v>1.4E-3</v>
      </c>
      <c r="AX1400" s="27">
        <f t="shared" si="260"/>
        <v>1.4E-3</v>
      </c>
      <c r="AY1400" s="27">
        <f t="shared" si="261"/>
        <v>1.4E-3</v>
      </c>
      <c r="AZ1400" s="27">
        <f t="shared" si="262"/>
        <v>1.4E-3</v>
      </c>
    </row>
    <row r="1401" spans="1:52" ht="15" customHeight="1" x14ac:dyDescent="0.25">
      <c r="A1401" s="13" t="e">
        <f>VLOOKUP(L1401,[1]VALIDAÇÃO!$D$13:$E$350,2,0)</f>
        <v>#N/A</v>
      </c>
      <c r="B1401" s="14" t="str">
        <f t="shared" si="264"/>
        <v>37</v>
      </c>
      <c r="C1401" s="15">
        <f t="shared" si="263"/>
        <v>37</v>
      </c>
      <c r="D1401" s="16" t="str">
        <f t="shared" si="265"/>
        <v>37</v>
      </c>
      <c r="E1401" s="17">
        <f t="shared" si="256"/>
        <v>37</v>
      </c>
      <c r="F1401" s="18" t="str">
        <f t="shared" si="266"/>
        <v>37</v>
      </c>
      <c r="G1401" s="18">
        <f t="shared" si="257"/>
        <v>37</v>
      </c>
      <c r="H1401" s="19" t="str">
        <f t="shared" si="267"/>
        <v>37</v>
      </c>
      <c r="I1401" s="19">
        <f t="shared" si="258"/>
        <v>37</v>
      </c>
      <c r="J1401" s="30"/>
      <c r="K1401" s="30"/>
      <c r="L1401" s="30"/>
      <c r="M1401" s="30"/>
      <c r="N1401" s="30"/>
      <c r="O1401" s="30"/>
      <c r="P1401" s="29"/>
      <c r="Q1401" s="29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  <c r="AJ1401" s="25"/>
      <c r="AK1401" s="30"/>
      <c r="AL1401" s="30"/>
      <c r="AM1401" s="30"/>
      <c r="AN1401" s="30"/>
      <c r="AO1401" s="30"/>
      <c r="AP1401" s="30"/>
      <c r="AQ1401" s="30"/>
      <c r="AR1401" s="30"/>
      <c r="AS1401" s="30"/>
      <c r="AT1401" s="30"/>
      <c r="AU1401" s="30"/>
      <c r="AW1401" s="27">
        <f t="shared" si="259"/>
        <v>1.4009999999999999E-3</v>
      </c>
      <c r="AX1401" s="27">
        <f t="shared" si="260"/>
        <v>1.4009999999999999E-3</v>
      </c>
      <c r="AY1401" s="27">
        <f t="shared" si="261"/>
        <v>1.4009999999999999E-3</v>
      </c>
      <c r="AZ1401" s="27">
        <f t="shared" si="262"/>
        <v>1.4009999999999999E-3</v>
      </c>
    </row>
    <row r="1402" spans="1:52" ht="15" customHeight="1" x14ac:dyDescent="0.25">
      <c r="A1402" s="13" t="e">
        <f>VLOOKUP(L1402,[1]VALIDAÇÃO!$D$13:$E$350,2,0)</f>
        <v>#N/A</v>
      </c>
      <c r="B1402" s="14" t="str">
        <f t="shared" si="264"/>
        <v>36</v>
      </c>
      <c r="C1402" s="15">
        <f t="shared" si="263"/>
        <v>36</v>
      </c>
      <c r="D1402" s="16" t="str">
        <f t="shared" si="265"/>
        <v>36</v>
      </c>
      <c r="E1402" s="17">
        <f t="shared" si="256"/>
        <v>36</v>
      </c>
      <c r="F1402" s="18" t="str">
        <f t="shared" si="266"/>
        <v>36</v>
      </c>
      <c r="G1402" s="18">
        <f t="shared" si="257"/>
        <v>36</v>
      </c>
      <c r="H1402" s="19" t="str">
        <f t="shared" si="267"/>
        <v>36</v>
      </c>
      <c r="I1402" s="19">
        <f t="shared" si="258"/>
        <v>36</v>
      </c>
      <c r="J1402" s="30"/>
      <c r="K1402" s="30"/>
      <c r="L1402" s="30"/>
      <c r="M1402" s="30"/>
      <c r="N1402" s="33"/>
      <c r="O1402" s="30"/>
      <c r="P1402" s="29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25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W1402" s="27">
        <f t="shared" si="259"/>
        <v>1.402E-3</v>
      </c>
      <c r="AX1402" s="27">
        <f t="shared" si="260"/>
        <v>1.402E-3</v>
      </c>
      <c r="AY1402" s="27">
        <f t="shared" si="261"/>
        <v>1.402E-3</v>
      </c>
      <c r="AZ1402" s="27">
        <f t="shared" si="262"/>
        <v>1.402E-3</v>
      </c>
    </row>
    <row r="1403" spans="1:52" ht="15" customHeight="1" x14ac:dyDescent="0.25">
      <c r="A1403" s="13" t="e">
        <f>VLOOKUP(L1403,[1]VALIDAÇÃO!$D$13:$E$350,2,0)</f>
        <v>#N/A</v>
      </c>
      <c r="B1403" s="14" t="str">
        <f t="shared" si="264"/>
        <v>35</v>
      </c>
      <c r="C1403" s="15">
        <f t="shared" si="263"/>
        <v>35</v>
      </c>
      <c r="D1403" s="16" t="str">
        <f t="shared" si="265"/>
        <v>35</v>
      </c>
      <c r="E1403" s="17">
        <f t="shared" si="256"/>
        <v>35</v>
      </c>
      <c r="F1403" s="18" t="str">
        <f t="shared" si="266"/>
        <v>35</v>
      </c>
      <c r="G1403" s="18">
        <f t="shared" si="257"/>
        <v>35</v>
      </c>
      <c r="H1403" s="19" t="str">
        <f t="shared" si="267"/>
        <v>35</v>
      </c>
      <c r="I1403" s="19">
        <f t="shared" si="258"/>
        <v>35</v>
      </c>
      <c r="J1403" s="30"/>
      <c r="K1403" s="30"/>
      <c r="L1403" s="30"/>
      <c r="M1403" s="30"/>
      <c r="N1403" s="33"/>
      <c r="O1403" s="30"/>
      <c r="P1403" s="29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c r="AJ1403" s="25"/>
      <c r="AK1403" s="30"/>
      <c r="AL1403" s="30"/>
      <c r="AM1403" s="30"/>
      <c r="AN1403" s="30"/>
      <c r="AO1403" s="30"/>
      <c r="AP1403" s="30"/>
      <c r="AQ1403" s="30"/>
      <c r="AR1403" s="30"/>
      <c r="AS1403" s="30"/>
      <c r="AT1403" s="30"/>
      <c r="AU1403" s="30"/>
      <c r="AW1403" s="27">
        <f t="shared" si="259"/>
        <v>1.403E-3</v>
      </c>
      <c r="AX1403" s="27">
        <f t="shared" si="260"/>
        <v>1.403E-3</v>
      </c>
      <c r="AY1403" s="27">
        <f t="shared" si="261"/>
        <v>1.403E-3</v>
      </c>
      <c r="AZ1403" s="27">
        <f t="shared" si="262"/>
        <v>1.403E-3</v>
      </c>
    </row>
    <row r="1404" spans="1:52" ht="15" customHeight="1" x14ac:dyDescent="0.25">
      <c r="A1404" s="13" t="e">
        <f>VLOOKUP(L1404,[1]VALIDAÇÃO!$D$13:$E$350,2,0)</f>
        <v>#N/A</v>
      </c>
      <c r="B1404" s="14" t="str">
        <f t="shared" si="264"/>
        <v>34</v>
      </c>
      <c r="C1404" s="15">
        <f t="shared" si="263"/>
        <v>34</v>
      </c>
      <c r="D1404" s="16" t="str">
        <f t="shared" si="265"/>
        <v>34</v>
      </c>
      <c r="E1404" s="17">
        <f t="shared" si="256"/>
        <v>34</v>
      </c>
      <c r="F1404" s="18" t="str">
        <f t="shared" si="266"/>
        <v>34</v>
      </c>
      <c r="G1404" s="18">
        <f t="shared" si="257"/>
        <v>34</v>
      </c>
      <c r="H1404" s="19" t="str">
        <f t="shared" si="267"/>
        <v>34</v>
      </c>
      <c r="I1404" s="19">
        <f t="shared" si="258"/>
        <v>34</v>
      </c>
      <c r="J1404" s="30"/>
      <c r="K1404" s="30"/>
      <c r="L1404" s="30"/>
      <c r="M1404" s="30"/>
      <c r="N1404" s="30"/>
      <c r="O1404" s="30"/>
      <c r="P1404" s="29"/>
      <c r="Q1404" s="29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  <c r="AJ1404" s="25"/>
      <c r="AK1404" s="30"/>
      <c r="AL1404" s="30"/>
      <c r="AM1404" s="30"/>
      <c r="AN1404" s="30"/>
      <c r="AO1404" s="30"/>
      <c r="AP1404" s="30"/>
      <c r="AQ1404" s="30"/>
      <c r="AR1404" s="30"/>
      <c r="AS1404" s="30"/>
      <c r="AT1404" s="30"/>
      <c r="AU1404" s="30"/>
      <c r="AW1404" s="27">
        <f t="shared" si="259"/>
        <v>1.4040000000000001E-3</v>
      </c>
      <c r="AX1404" s="27">
        <f t="shared" si="260"/>
        <v>1.4040000000000001E-3</v>
      </c>
      <c r="AY1404" s="27">
        <f t="shared" si="261"/>
        <v>1.4040000000000001E-3</v>
      </c>
      <c r="AZ1404" s="27">
        <f t="shared" si="262"/>
        <v>1.4040000000000001E-3</v>
      </c>
    </row>
    <row r="1405" spans="1:52" ht="15" customHeight="1" x14ac:dyDescent="0.25">
      <c r="A1405" s="13" t="e">
        <f>VLOOKUP(L1405,[1]VALIDAÇÃO!$D$13:$E$350,2,0)</f>
        <v>#N/A</v>
      </c>
      <c r="B1405" s="14" t="str">
        <f t="shared" si="264"/>
        <v>33</v>
      </c>
      <c r="C1405" s="15">
        <f t="shared" si="263"/>
        <v>33</v>
      </c>
      <c r="D1405" s="16" t="str">
        <f t="shared" si="265"/>
        <v>33</v>
      </c>
      <c r="E1405" s="17">
        <f t="shared" si="256"/>
        <v>33</v>
      </c>
      <c r="F1405" s="18" t="str">
        <f t="shared" si="266"/>
        <v>33</v>
      </c>
      <c r="G1405" s="18">
        <f t="shared" si="257"/>
        <v>33</v>
      </c>
      <c r="H1405" s="19" t="str">
        <f t="shared" si="267"/>
        <v>33</v>
      </c>
      <c r="I1405" s="19">
        <f t="shared" si="258"/>
        <v>33</v>
      </c>
      <c r="J1405" s="30"/>
      <c r="K1405" s="30"/>
      <c r="L1405" s="30"/>
      <c r="M1405" s="30"/>
      <c r="N1405" s="33"/>
      <c r="O1405" s="30"/>
      <c r="P1405" s="29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  <c r="AJ1405" s="25"/>
      <c r="AK1405" s="30"/>
      <c r="AL1405" s="30"/>
      <c r="AM1405" s="30"/>
      <c r="AN1405" s="30"/>
      <c r="AO1405" s="30"/>
      <c r="AP1405" s="30"/>
      <c r="AQ1405" s="30"/>
      <c r="AR1405" s="30"/>
      <c r="AS1405" s="30"/>
      <c r="AT1405" s="30"/>
      <c r="AU1405" s="30"/>
      <c r="AW1405" s="27">
        <f t="shared" si="259"/>
        <v>1.405E-3</v>
      </c>
      <c r="AX1405" s="27">
        <f t="shared" si="260"/>
        <v>1.405E-3</v>
      </c>
      <c r="AY1405" s="27">
        <f t="shared" si="261"/>
        <v>1.405E-3</v>
      </c>
      <c r="AZ1405" s="27">
        <f t="shared" si="262"/>
        <v>1.405E-3</v>
      </c>
    </row>
    <row r="1406" spans="1:52" ht="15" customHeight="1" x14ac:dyDescent="0.25">
      <c r="A1406" s="13" t="e">
        <f>VLOOKUP(L1406,[1]VALIDAÇÃO!$D$13:$E$350,2,0)</f>
        <v>#N/A</v>
      </c>
      <c r="B1406" s="14" t="str">
        <f t="shared" si="264"/>
        <v>32</v>
      </c>
      <c r="C1406" s="15">
        <f t="shared" si="263"/>
        <v>32</v>
      </c>
      <c r="D1406" s="16" t="str">
        <f t="shared" si="265"/>
        <v>32</v>
      </c>
      <c r="E1406" s="17">
        <f t="shared" si="256"/>
        <v>32</v>
      </c>
      <c r="F1406" s="18" t="str">
        <f t="shared" si="266"/>
        <v>32</v>
      </c>
      <c r="G1406" s="18">
        <f t="shared" si="257"/>
        <v>32</v>
      </c>
      <c r="H1406" s="19" t="str">
        <f t="shared" si="267"/>
        <v>32</v>
      </c>
      <c r="I1406" s="19">
        <f t="shared" si="258"/>
        <v>32</v>
      </c>
      <c r="J1406" s="30"/>
      <c r="K1406" s="30"/>
      <c r="L1406" s="30"/>
      <c r="M1406" s="30"/>
      <c r="N1406" s="33"/>
      <c r="O1406" s="30"/>
      <c r="P1406" s="29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0"/>
      <c r="AJ1406" s="25"/>
      <c r="AK1406" s="30"/>
      <c r="AL1406" s="30"/>
      <c r="AM1406" s="30"/>
      <c r="AN1406" s="30"/>
      <c r="AO1406" s="30"/>
      <c r="AP1406" s="30"/>
      <c r="AQ1406" s="30"/>
      <c r="AR1406" s="30"/>
      <c r="AS1406" s="30"/>
      <c r="AT1406" s="30"/>
      <c r="AU1406" s="30"/>
      <c r="AW1406" s="27">
        <f t="shared" si="259"/>
        <v>1.4059999999999999E-3</v>
      </c>
      <c r="AX1406" s="27">
        <f t="shared" si="260"/>
        <v>1.4059999999999999E-3</v>
      </c>
      <c r="AY1406" s="27">
        <f t="shared" si="261"/>
        <v>1.4059999999999999E-3</v>
      </c>
      <c r="AZ1406" s="27">
        <f t="shared" si="262"/>
        <v>1.4059999999999999E-3</v>
      </c>
    </row>
    <row r="1407" spans="1:52" ht="15" customHeight="1" x14ac:dyDescent="0.25">
      <c r="A1407" s="13" t="e">
        <f>VLOOKUP(L1407,[1]VALIDAÇÃO!$D$13:$E$350,2,0)</f>
        <v>#N/A</v>
      </c>
      <c r="B1407" s="14" t="str">
        <f t="shared" si="264"/>
        <v>31</v>
      </c>
      <c r="C1407" s="15">
        <f t="shared" si="263"/>
        <v>31</v>
      </c>
      <c r="D1407" s="16" t="str">
        <f t="shared" si="265"/>
        <v>31</v>
      </c>
      <c r="E1407" s="17">
        <f t="shared" si="256"/>
        <v>31</v>
      </c>
      <c r="F1407" s="18" t="str">
        <f t="shared" si="266"/>
        <v>31</v>
      </c>
      <c r="G1407" s="18">
        <f t="shared" si="257"/>
        <v>31</v>
      </c>
      <c r="H1407" s="19" t="str">
        <f t="shared" si="267"/>
        <v>31</v>
      </c>
      <c r="I1407" s="19">
        <f t="shared" si="258"/>
        <v>31</v>
      </c>
      <c r="J1407" s="30"/>
      <c r="K1407" s="30"/>
      <c r="L1407" s="30"/>
      <c r="M1407" s="30"/>
      <c r="N1407" s="30"/>
      <c r="O1407" s="30"/>
      <c r="P1407" s="29"/>
      <c r="Q1407" s="29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0"/>
      <c r="AJ1407" s="25"/>
      <c r="AK1407" s="30"/>
      <c r="AL1407" s="30"/>
      <c r="AM1407" s="30"/>
      <c r="AN1407" s="30"/>
      <c r="AO1407" s="30"/>
      <c r="AP1407" s="30"/>
      <c r="AQ1407" s="30"/>
      <c r="AR1407" s="30"/>
      <c r="AS1407" s="30"/>
      <c r="AT1407" s="30"/>
      <c r="AU1407" s="30"/>
      <c r="AW1407" s="27">
        <f t="shared" si="259"/>
        <v>1.407E-3</v>
      </c>
      <c r="AX1407" s="27">
        <f t="shared" si="260"/>
        <v>1.407E-3</v>
      </c>
      <c r="AY1407" s="27">
        <f t="shared" si="261"/>
        <v>1.407E-3</v>
      </c>
      <c r="AZ1407" s="27">
        <f t="shared" si="262"/>
        <v>1.407E-3</v>
      </c>
    </row>
    <row r="1408" spans="1:52" ht="15" customHeight="1" x14ac:dyDescent="0.25">
      <c r="A1408" s="13" t="e">
        <f>VLOOKUP(L1408,[1]VALIDAÇÃO!$D$13:$E$350,2,0)</f>
        <v>#N/A</v>
      </c>
      <c r="B1408" s="14" t="str">
        <f t="shared" si="264"/>
        <v>30</v>
      </c>
      <c r="C1408" s="15">
        <f t="shared" si="263"/>
        <v>30</v>
      </c>
      <c r="D1408" s="16" t="str">
        <f t="shared" si="265"/>
        <v>30</v>
      </c>
      <c r="E1408" s="17">
        <f t="shared" si="256"/>
        <v>30</v>
      </c>
      <c r="F1408" s="18" t="str">
        <f t="shared" si="266"/>
        <v>30</v>
      </c>
      <c r="G1408" s="18">
        <f t="shared" si="257"/>
        <v>30</v>
      </c>
      <c r="H1408" s="19" t="str">
        <f t="shared" si="267"/>
        <v>30</v>
      </c>
      <c r="I1408" s="19">
        <f t="shared" si="258"/>
        <v>30</v>
      </c>
      <c r="J1408" s="30"/>
      <c r="K1408" s="30"/>
      <c r="L1408" s="30"/>
      <c r="M1408" s="30"/>
      <c r="N1408" s="33"/>
      <c r="O1408" s="30"/>
      <c r="P1408" s="29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  <c r="AJ1408" s="25"/>
      <c r="AK1408" s="30"/>
      <c r="AL1408" s="30"/>
      <c r="AM1408" s="30"/>
      <c r="AN1408" s="30"/>
      <c r="AO1408" s="30"/>
      <c r="AP1408" s="30"/>
      <c r="AQ1408" s="30"/>
      <c r="AR1408" s="30"/>
      <c r="AS1408" s="30"/>
      <c r="AT1408" s="30"/>
      <c r="AU1408" s="30"/>
      <c r="AW1408" s="27">
        <f t="shared" si="259"/>
        <v>1.408E-3</v>
      </c>
      <c r="AX1408" s="27">
        <f t="shared" si="260"/>
        <v>1.408E-3</v>
      </c>
      <c r="AY1408" s="27">
        <f t="shared" si="261"/>
        <v>1.408E-3</v>
      </c>
      <c r="AZ1408" s="27">
        <f t="shared" si="262"/>
        <v>1.408E-3</v>
      </c>
    </row>
    <row r="1409" spans="1:52" ht="15" customHeight="1" x14ac:dyDescent="0.25">
      <c r="A1409" s="13" t="e">
        <f>VLOOKUP(L1409,[1]VALIDAÇÃO!$D$13:$E$350,2,0)</f>
        <v>#N/A</v>
      </c>
      <c r="B1409" s="14" t="str">
        <f t="shared" si="264"/>
        <v>29</v>
      </c>
      <c r="C1409" s="15">
        <f t="shared" si="263"/>
        <v>29</v>
      </c>
      <c r="D1409" s="16" t="str">
        <f t="shared" si="265"/>
        <v>29</v>
      </c>
      <c r="E1409" s="17">
        <f t="shared" si="256"/>
        <v>29</v>
      </c>
      <c r="F1409" s="18" t="str">
        <f t="shared" si="266"/>
        <v>29</v>
      </c>
      <c r="G1409" s="18">
        <f t="shared" si="257"/>
        <v>29</v>
      </c>
      <c r="H1409" s="19" t="str">
        <f t="shared" si="267"/>
        <v>29</v>
      </c>
      <c r="I1409" s="19">
        <f t="shared" si="258"/>
        <v>29</v>
      </c>
      <c r="J1409" s="30"/>
      <c r="K1409" s="30"/>
      <c r="L1409" s="30"/>
      <c r="M1409" s="30"/>
      <c r="N1409" s="33"/>
      <c r="O1409" s="30"/>
      <c r="P1409" s="29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  <c r="AJ1409" s="25"/>
      <c r="AK1409" s="30"/>
      <c r="AL1409" s="30"/>
      <c r="AM1409" s="30"/>
      <c r="AN1409" s="30"/>
      <c r="AO1409" s="30"/>
      <c r="AP1409" s="30"/>
      <c r="AQ1409" s="30"/>
      <c r="AR1409" s="30"/>
      <c r="AS1409" s="30"/>
      <c r="AT1409" s="30"/>
      <c r="AU1409" s="30"/>
      <c r="AW1409" s="27">
        <f t="shared" si="259"/>
        <v>1.4090000000000001E-3</v>
      </c>
      <c r="AX1409" s="27">
        <f t="shared" si="260"/>
        <v>1.4090000000000001E-3</v>
      </c>
      <c r="AY1409" s="27">
        <f t="shared" si="261"/>
        <v>1.4090000000000001E-3</v>
      </c>
      <c r="AZ1409" s="27">
        <f t="shared" si="262"/>
        <v>1.4090000000000001E-3</v>
      </c>
    </row>
    <row r="1410" spans="1:52" ht="15" customHeight="1" x14ac:dyDescent="0.25">
      <c r="A1410" s="13" t="e">
        <f>VLOOKUP(L1410,[1]VALIDAÇÃO!$D$13:$E$350,2,0)</f>
        <v>#N/A</v>
      </c>
      <c r="B1410" s="14" t="str">
        <f t="shared" si="264"/>
        <v>28</v>
      </c>
      <c r="C1410" s="15">
        <f t="shared" si="263"/>
        <v>28</v>
      </c>
      <c r="D1410" s="16" t="str">
        <f t="shared" si="265"/>
        <v>28</v>
      </c>
      <c r="E1410" s="17">
        <f t="shared" ref="E1410:E1437" si="268">1+SUMPRODUCT(($J$2:$J$1437=$J1410)*(AX$2:AX$1437&gt;AX1410))</f>
        <v>28</v>
      </c>
      <c r="F1410" s="18" t="str">
        <f t="shared" si="266"/>
        <v>28</v>
      </c>
      <c r="G1410" s="18">
        <f t="shared" ref="G1410:G1437" si="269">1+SUMPRODUCT(($J$2:$J$1437=$J1410)*(AY$2:AY$1437&gt;AY1410))</f>
        <v>28</v>
      </c>
      <c r="H1410" s="19" t="str">
        <f t="shared" si="267"/>
        <v>28</v>
      </c>
      <c r="I1410" s="19">
        <f t="shared" ref="I1410:I1437" si="270">1+SUMPRODUCT(($J$2:$J$1437=$J1410)*(AZ$2:AZ$1437&gt;AZ1410))</f>
        <v>28</v>
      </c>
      <c r="J1410" s="30"/>
      <c r="K1410" s="30"/>
      <c r="L1410" s="30"/>
      <c r="M1410" s="30"/>
      <c r="N1410" s="30"/>
      <c r="O1410" s="30"/>
      <c r="P1410" s="29"/>
      <c r="Q1410" s="29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  <c r="AJ1410" s="25"/>
      <c r="AK1410" s="30"/>
      <c r="AL1410" s="30"/>
      <c r="AM1410" s="30"/>
      <c r="AN1410" s="30"/>
      <c r="AO1410" s="30"/>
      <c r="AP1410" s="30"/>
      <c r="AQ1410" s="30"/>
      <c r="AR1410" s="30"/>
      <c r="AS1410" s="30"/>
      <c r="AT1410" s="30"/>
      <c r="AU1410" s="30"/>
      <c r="AW1410" s="27">
        <f t="shared" ref="AW1410:AW1440" si="271">AJ1410+ROW(C1410)/1000000</f>
        <v>1.41E-3</v>
      </c>
      <c r="AX1410" s="27">
        <f t="shared" ref="AX1410:AX1440" si="272">AD1410+ROW(C1410)/1000000</f>
        <v>1.41E-3</v>
      </c>
      <c r="AY1410" s="27">
        <f t="shared" ref="AY1410:AY1440" si="273">AB1410+ROW(A1410)/1000000</f>
        <v>1.41E-3</v>
      </c>
      <c r="AZ1410" s="27">
        <f t="shared" ref="AZ1410:AZ1440" si="274">AP1410+ROW(A1410)/1000000</f>
        <v>1.41E-3</v>
      </c>
    </row>
    <row r="1411" spans="1:52" ht="15" customHeight="1" x14ac:dyDescent="0.25">
      <c r="A1411" s="13" t="e">
        <f>VLOOKUP(L1411,[1]VALIDAÇÃO!$D$13:$E$350,2,0)</f>
        <v>#N/A</v>
      </c>
      <c r="B1411" s="14" t="str">
        <f t="shared" si="264"/>
        <v>27</v>
      </c>
      <c r="C1411" s="15">
        <f t="shared" ref="C1411:C1437" si="275">1+SUMPRODUCT(($J$2:$J$1437=J1411)*($AW$2:$AW$1437&gt;AW1411))</f>
        <v>27</v>
      </c>
      <c r="D1411" s="16" t="str">
        <f t="shared" si="265"/>
        <v>27</v>
      </c>
      <c r="E1411" s="17">
        <f t="shared" si="268"/>
        <v>27</v>
      </c>
      <c r="F1411" s="18" t="str">
        <f t="shared" si="266"/>
        <v>27</v>
      </c>
      <c r="G1411" s="18">
        <f t="shared" si="269"/>
        <v>27</v>
      </c>
      <c r="H1411" s="19" t="str">
        <f t="shared" si="267"/>
        <v>27</v>
      </c>
      <c r="I1411" s="19">
        <f t="shared" si="270"/>
        <v>27</v>
      </c>
      <c r="J1411" s="30"/>
      <c r="K1411" s="30"/>
      <c r="L1411" s="30"/>
      <c r="M1411" s="30"/>
      <c r="N1411" s="33"/>
      <c r="O1411" s="30"/>
      <c r="P1411" s="29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0"/>
      <c r="AJ1411" s="25"/>
      <c r="AK1411" s="30"/>
      <c r="AL1411" s="30"/>
      <c r="AM1411" s="30"/>
      <c r="AN1411" s="30"/>
      <c r="AO1411" s="30"/>
      <c r="AP1411" s="30"/>
      <c r="AQ1411" s="30"/>
      <c r="AR1411" s="30"/>
      <c r="AS1411" s="30"/>
      <c r="AT1411" s="30"/>
      <c r="AU1411" s="30"/>
      <c r="AW1411" s="27">
        <f t="shared" si="271"/>
        <v>1.4109999999999999E-3</v>
      </c>
      <c r="AX1411" s="27">
        <f t="shared" si="272"/>
        <v>1.4109999999999999E-3</v>
      </c>
      <c r="AY1411" s="27">
        <f t="shared" si="273"/>
        <v>1.4109999999999999E-3</v>
      </c>
      <c r="AZ1411" s="27">
        <f t="shared" si="274"/>
        <v>1.4109999999999999E-3</v>
      </c>
    </row>
    <row r="1412" spans="1:52" ht="15" customHeight="1" x14ac:dyDescent="0.25">
      <c r="A1412" s="13" t="e">
        <f>VLOOKUP(L1412,[1]VALIDAÇÃO!$D$13:$E$350,2,0)</f>
        <v>#N/A</v>
      </c>
      <c r="B1412" s="14" t="str">
        <f t="shared" si="264"/>
        <v>26</v>
      </c>
      <c r="C1412" s="15">
        <f t="shared" si="275"/>
        <v>26</v>
      </c>
      <c r="D1412" s="16" t="str">
        <f t="shared" si="265"/>
        <v>26</v>
      </c>
      <c r="E1412" s="17">
        <f t="shared" si="268"/>
        <v>26</v>
      </c>
      <c r="F1412" s="18" t="str">
        <f t="shared" si="266"/>
        <v>26</v>
      </c>
      <c r="G1412" s="18">
        <f t="shared" si="269"/>
        <v>26</v>
      </c>
      <c r="H1412" s="19" t="str">
        <f t="shared" si="267"/>
        <v>26</v>
      </c>
      <c r="I1412" s="19">
        <f t="shared" si="270"/>
        <v>26</v>
      </c>
      <c r="J1412" s="30"/>
      <c r="K1412" s="30"/>
      <c r="L1412" s="30"/>
      <c r="M1412" s="30"/>
      <c r="N1412" s="33"/>
      <c r="O1412" s="30"/>
      <c r="P1412" s="29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0"/>
      <c r="AJ1412" s="25"/>
      <c r="AK1412" s="30"/>
      <c r="AL1412" s="30"/>
      <c r="AM1412" s="30"/>
      <c r="AN1412" s="30"/>
      <c r="AO1412" s="30"/>
      <c r="AP1412" s="30"/>
      <c r="AQ1412" s="30"/>
      <c r="AR1412" s="30"/>
      <c r="AS1412" s="30"/>
      <c r="AT1412" s="30"/>
      <c r="AU1412" s="30"/>
      <c r="AW1412" s="27">
        <f t="shared" si="271"/>
        <v>1.4120000000000001E-3</v>
      </c>
      <c r="AX1412" s="27">
        <f t="shared" si="272"/>
        <v>1.4120000000000001E-3</v>
      </c>
      <c r="AY1412" s="27">
        <f t="shared" si="273"/>
        <v>1.4120000000000001E-3</v>
      </c>
      <c r="AZ1412" s="27">
        <f t="shared" si="274"/>
        <v>1.4120000000000001E-3</v>
      </c>
    </row>
    <row r="1413" spans="1:52" ht="15" customHeight="1" x14ac:dyDescent="0.25">
      <c r="A1413" s="13" t="e">
        <f>VLOOKUP(L1413,[1]VALIDAÇÃO!$D$13:$E$350,2,0)</f>
        <v>#N/A</v>
      </c>
      <c r="B1413" s="14" t="str">
        <f t="shared" si="264"/>
        <v>25</v>
      </c>
      <c r="C1413" s="15">
        <f t="shared" si="275"/>
        <v>25</v>
      </c>
      <c r="D1413" s="16" t="str">
        <f t="shared" si="265"/>
        <v>25</v>
      </c>
      <c r="E1413" s="17">
        <f t="shared" si="268"/>
        <v>25</v>
      </c>
      <c r="F1413" s="18" t="str">
        <f t="shared" si="266"/>
        <v>25</v>
      </c>
      <c r="G1413" s="18">
        <f t="shared" si="269"/>
        <v>25</v>
      </c>
      <c r="H1413" s="19" t="str">
        <f t="shared" si="267"/>
        <v>25</v>
      </c>
      <c r="I1413" s="19">
        <f t="shared" si="270"/>
        <v>25</v>
      </c>
      <c r="J1413" s="30"/>
      <c r="K1413" s="30"/>
      <c r="L1413" s="30"/>
      <c r="M1413" s="30"/>
      <c r="N1413" s="33"/>
      <c r="O1413" s="30"/>
      <c r="P1413" s="29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  <c r="AJ1413" s="25"/>
      <c r="AK1413" s="30"/>
      <c r="AL1413" s="30"/>
      <c r="AM1413" s="30"/>
      <c r="AN1413" s="30"/>
      <c r="AO1413" s="30"/>
      <c r="AP1413" s="30"/>
      <c r="AQ1413" s="30"/>
      <c r="AR1413" s="30"/>
      <c r="AS1413" s="30"/>
      <c r="AT1413" s="30"/>
      <c r="AU1413" s="30"/>
      <c r="AW1413" s="27">
        <f t="shared" si="271"/>
        <v>1.413E-3</v>
      </c>
      <c r="AX1413" s="27">
        <f t="shared" si="272"/>
        <v>1.413E-3</v>
      </c>
      <c r="AY1413" s="27">
        <f t="shared" si="273"/>
        <v>1.413E-3</v>
      </c>
      <c r="AZ1413" s="27">
        <f t="shared" si="274"/>
        <v>1.413E-3</v>
      </c>
    </row>
    <row r="1414" spans="1:52" ht="15" customHeight="1" x14ac:dyDescent="0.25">
      <c r="A1414" s="13" t="e">
        <f>VLOOKUP(L1414,[1]VALIDAÇÃO!$D$13:$E$350,2,0)</f>
        <v>#N/A</v>
      </c>
      <c r="B1414" s="14" t="str">
        <f t="shared" si="264"/>
        <v>24</v>
      </c>
      <c r="C1414" s="15">
        <f t="shared" si="275"/>
        <v>24</v>
      </c>
      <c r="D1414" s="16" t="str">
        <f t="shared" si="265"/>
        <v>24</v>
      </c>
      <c r="E1414" s="17">
        <f t="shared" si="268"/>
        <v>24</v>
      </c>
      <c r="F1414" s="18" t="str">
        <f t="shared" si="266"/>
        <v>24</v>
      </c>
      <c r="G1414" s="18">
        <f t="shared" si="269"/>
        <v>24</v>
      </c>
      <c r="H1414" s="19" t="str">
        <f t="shared" si="267"/>
        <v>24</v>
      </c>
      <c r="I1414" s="19">
        <f t="shared" si="270"/>
        <v>24</v>
      </c>
      <c r="J1414" s="30"/>
      <c r="K1414" s="30"/>
      <c r="L1414" s="30"/>
      <c r="M1414" s="30"/>
      <c r="N1414" s="30"/>
      <c r="O1414" s="30"/>
      <c r="P1414" s="29"/>
      <c r="Q1414" s="29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  <c r="AJ1414" s="25"/>
      <c r="AK1414" s="30"/>
      <c r="AL1414" s="30"/>
      <c r="AM1414" s="30"/>
      <c r="AN1414" s="30"/>
      <c r="AO1414" s="30"/>
      <c r="AP1414" s="30"/>
      <c r="AQ1414" s="30"/>
      <c r="AR1414" s="30"/>
      <c r="AS1414" s="30"/>
      <c r="AT1414" s="30"/>
      <c r="AU1414" s="30"/>
      <c r="AW1414" s="27">
        <f t="shared" si="271"/>
        <v>1.4139999999999999E-3</v>
      </c>
      <c r="AX1414" s="27">
        <f t="shared" si="272"/>
        <v>1.4139999999999999E-3</v>
      </c>
      <c r="AY1414" s="27">
        <f t="shared" si="273"/>
        <v>1.4139999999999999E-3</v>
      </c>
      <c r="AZ1414" s="27">
        <f t="shared" si="274"/>
        <v>1.4139999999999999E-3</v>
      </c>
    </row>
    <row r="1415" spans="1:52" ht="15" customHeight="1" x14ac:dyDescent="0.25">
      <c r="A1415" s="13" t="e">
        <f>VLOOKUP(L1415,[1]VALIDAÇÃO!$D$13:$E$350,2,0)</f>
        <v>#N/A</v>
      </c>
      <c r="B1415" s="14" t="str">
        <f t="shared" si="264"/>
        <v>23</v>
      </c>
      <c r="C1415" s="15">
        <f t="shared" si="275"/>
        <v>23</v>
      </c>
      <c r="D1415" s="16" t="str">
        <f t="shared" si="265"/>
        <v>23</v>
      </c>
      <c r="E1415" s="17">
        <f t="shared" si="268"/>
        <v>23</v>
      </c>
      <c r="F1415" s="18" t="str">
        <f t="shared" si="266"/>
        <v>23</v>
      </c>
      <c r="G1415" s="18">
        <f t="shared" si="269"/>
        <v>23</v>
      </c>
      <c r="H1415" s="19" t="str">
        <f t="shared" si="267"/>
        <v>23</v>
      </c>
      <c r="I1415" s="19">
        <f t="shared" si="270"/>
        <v>23</v>
      </c>
      <c r="J1415" s="30"/>
      <c r="K1415" s="30"/>
      <c r="L1415" s="30"/>
      <c r="M1415" s="30"/>
      <c r="N1415" s="33"/>
      <c r="O1415" s="30"/>
      <c r="P1415" s="29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  <c r="AJ1415" s="25"/>
      <c r="AK1415" s="30"/>
      <c r="AL1415" s="30"/>
      <c r="AM1415" s="30"/>
      <c r="AN1415" s="30"/>
      <c r="AO1415" s="30"/>
      <c r="AP1415" s="30"/>
      <c r="AQ1415" s="30"/>
      <c r="AR1415" s="30"/>
      <c r="AS1415" s="30"/>
      <c r="AT1415" s="30"/>
      <c r="AU1415" s="30"/>
      <c r="AW1415" s="27">
        <f t="shared" si="271"/>
        <v>1.415E-3</v>
      </c>
      <c r="AX1415" s="27">
        <f t="shared" si="272"/>
        <v>1.415E-3</v>
      </c>
      <c r="AY1415" s="27">
        <f t="shared" si="273"/>
        <v>1.415E-3</v>
      </c>
      <c r="AZ1415" s="27">
        <f t="shared" si="274"/>
        <v>1.415E-3</v>
      </c>
    </row>
    <row r="1416" spans="1:52" ht="15" customHeight="1" x14ac:dyDescent="0.25">
      <c r="A1416" s="13" t="e">
        <f>VLOOKUP(L1416,[1]VALIDAÇÃO!$D$13:$E$350,2,0)</f>
        <v>#N/A</v>
      </c>
      <c r="B1416" s="14" t="str">
        <f t="shared" si="264"/>
        <v>22</v>
      </c>
      <c r="C1416" s="15">
        <f t="shared" si="275"/>
        <v>22</v>
      </c>
      <c r="D1416" s="16" t="str">
        <f t="shared" si="265"/>
        <v>22</v>
      </c>
      <c r="E1416" s="17">
        <f t="shared" si="268"/>
        <v>22</v>
      </c>
      <c r="F1416" s="18" t="str">
        <f t="shared" si="266"/>
        <v>22</v>
      </c>
      <c r="G1416" s="18">
        <f t="shared" si="269"/>
        <v>22</v>
      </c>
      <c r="H1416" s="19" t="str">
        <f t="shared" si="267"/>
        <v>22</v>
      </c>
      <c r="I1416" s="19">
        <f t="shared" si="270"/>
        <v>22</v>
      </c>
      <c r="J1416" s="30"/>
      <c r="K1416" s="30"/>
      <c r="L1416" s="30"/>
      <c r="M1416" s="30"/>
      <c r="N1416" s="33"/>
      <c r="O1416" s="30"/>
      <c r="P1416" s="29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0"/>
      <c r="AJ1416" s="25"/>
      <c r="AK1416" s="30"/>
      <c r="AL1416" s="30"/>
      <c r="AM1416" s="30"/>
      <c r="AN1416" s="30"/>
      <c r="AO1416" s="30"/>
      <c r="AP1416" s="30"/>
      <c r="AQ1416" s="30"/>
      <c r="AR1416" s="30"/>
      <c r="AS1416" s="30"/>
      <c r="AT1416" s="30"/>
      <c r="AU1416" s="30"/>
      <c r="AW1416" s="27">
        <f t="shared" si="271"/>
        <v>1.4159999999999999E-3</v>
      </c>
      <c r="AX1416" s="27">
        <f t="shared" si="272"/>
        <v>1.4159999999999999E-3</v>
      </c>
      <c r="AY1416" s="27">
        <f t="shared" si="273"/>
        <v>1.4159999999999999E-3</v>
      </c>
      <c r="AZ1416" s="27">
        <f t="shared" si="274"/>
        <v>1.4159999999999999E-3</v>
      </c>
    </row>
    <row r="1417" spans="1:52" ht="15" customHeight="1" x14ac:dyDescent="0.25">
      <c r="A1417" s="13" t="e">
        <f>VLOOKUP(L1417,[1]VALIDAÇÃO!$D$13:$E$350,2,0)</f>
        <v>#N/A</v>
      </c>
      <c r="B1417" s="14" t="str">
        <f t="shared" si="264"/>
        <v>21</v>
      </c>
      <c r="C1417" s="15">
        <f t="shared" si="275"/>
        <v>21</v>
      </c>
      <c r="D1417" s="16" t="str">
        <f t="shared" si="265"/>
        <v>21</v>
      </c>
      <c r="E1417" s="17">
        <f t="shared" si="268"/>
        <v>21</v>
      </c>
      <c r="F1417" s="18" t="str">
        <f t="shared" si="266"/>
        <v>21</v>
      </c>
      <c r="G1417" s="18">
        <f t="shared" si="269"/>
        <v>21</v>
      </c>
      <c r="H1417" s="19" t="str">
        <f t="shared" si="267"/>
        <v>21</v>
      </c>
      <c r="I1417" s="19">
        <f t="shared" si="270"/>
        <v>21</v>
      </c>
      <c r="J1417" s="30"/>
      <c r="K1417" s="30"/>
      <c r="L1417" s="30"/>
      <c r="M1417" s="30"/>
      <c r="N1417" s="30"/>
      <c r="O1417" s="30"/>
      <c r="P1417" s="29"/>
      <c r="Q1417" s="29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  <c r="AJ1417" s="25"/>
      <c r="AK1417" s="30"/>
      <c r="AL1417" s="30"/>
      <c r="AM1417" s="30"/>
      <c r="AN1417" s="30"/>
      <c r="AO1417" s="30"/>
      <c r="AP1417" s="30"/>
      <c r="AQ1417" s="30"/>
      <c r="AR1417" s="30"/>
      <c r="AS1417" s="30"/>
      <c r="AT1417" s="30"/>
      <c r="AU1417" s="30"/>
      <c r="AW1417" s="27">
        <f t="shared" si="271"/>
        <v>1.4170000000000001E-3</v>
      </c>
      <c r="AX1417" s="27">
        <f t="shared" si="272"/>
        <v>1.4170000000000001E-3</v>
      </c>
      <c r="AY1417" s="27">
        <f t="shared" si="273"/>
        <v>1.4170000000000001E-3</v>
      </c>
      <c r="AZ1417" s="27">
        <f t="shared" si="274"/>
        <v>1.4170000000000001E-3</v>
      </c>
    </row>
    <row r="1418" spans="1:52" ht="15" customHeight="1" x14ac:dyDescent="0.25">
      <c r="A1418" s="13" t="e">
        <f>VLOOKUP(L1418,[1]VALIDAÇÃO!$D$13:$E$350,2,0)</f>
        <v>#N/A</v>
      </c>
      <c r="B1418" s="14" t="str">
        <f t="shared" si="264"/>
        <v>20</v>
      </c>
      <c r="C1418" s="15">
        <f t="shared" si="275"/>
        <v>20</v>
      </c>
      <c r="D1418" s="16" t="str">
        <f t="shared" si="265"/>
        <v>20</v>
      </c>
      <c r="E1418" s="17">
        <f t="shared" si="268"/>
        <v>20</v>
      </c>
      <c r="F1418" s="18" t="str">
        <f t="shared" si="266"/>
        <v>20</v>
      </c>
      <c r="G1418" s="18">
        <f t="shared" si="269"/>
        <v>20</v>
      </c>
      <c r="H1418" s="19" t="str">
        <f t="shared" si="267"/>
        <v>20</v>
      </c>
      <c r="I1418" s="19">
        <f t="shared" si="270"/>
        <v>20</v>
      </c>
      <c r="J1418" s="30"/>
      <c r="K1418" s="30"/>
      <c r="L1418" s="30"/>
      <c r="M1418" s="30"/>
      <c r="N1418" s="30"/>
      <c r="O1418" s="30"/>
      <c r="P1418" s="29"/>
      <c r="Q1418" s="29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  <c r="AJ1418" s="25"/>
      <c r="AK1418" s="30"/>
      <c r="AL1418" s="30"/>
      <c r="AM1418" s="30"/>
      <c r="AN1418" s="30"/>
      <c r="AO1418" s="30"/>
      <c r="AP1418" s="30"/>
      <c r="AQ1418" s="30"/>
      <c r="AR1418" s="30"/>
      <c r="AS1418" s="30"/>
      <c r="AT1418" s="30"/>
      <c r="AU1418" s="30"/>
      <c r="AW1418" s="27">
        <f t="shared" si="271"/>
        <v>1.418E-3</v>
      </c>
      <c r="AX1418" s="27">
        <f t="shared" si="272"/>
        <v>1.418E-3</v>
      </c>
      <c r="AY1418" s="27">
        <f t="shared" si="273"/>
        <v>1.418E-3</v>
      </c>
      <c r="AZ1418" s="27">
        <f t="shared" si="274"/>
        <v>1.418E-3</v>
      </c>
    </row>
    <row r="1419" spans="1:52" ht="15" customHeight="1" x14ac:dyDescent="0.25">
      <c r="A1419" s="13" t="e">
        <f>VLOOKUP(L1419,[1]VALIDAÇÃO!$D$13:$E$350,2,0)</f>
        <v>#N/A</v>
      </c>
      <c r="B1419" s="14" t="str">
        <f t="shared" si="264"/>
        <v>19</v>
      </c>
      <c r="C1419" s="15">
        <f t="shared" si="275"/>
        <v>19</v>
      </c>
      <c r="D1419" s="16" t="str">
        <f t="shared" si="265"/>
        <v>19</v>
      </c>
      <c r="E1419" s="17">
        <f t="shared" si="268"/>
        <v>19</v>
      </c>
      <c r="F1419" s="18" t="str">
        <f t="shared" si="266"/>
        <v>19</v>
      </c>
      <c r="G1419" s="18">
        <f t="shared" si="269"/>
        <v>19</v>
      </c>
      <c r="H1419" s="19" t="str">
        <f t="shared" si="267"/>
        <v>19</v>
      </c>
      <c r="I1419" s="19">
        <f t="shared" si="270"/>
        <v>19</v>
      </c>
      <c r="J1419" s="30"/>
      <c r="K1419" s="30"/>
      <c r="L1419" s="30"/>
      <c r="M1419" s="30"/>
      <c r="N1419" s="30"/>
      <c r="O1419" s="30"/>
      <c r="P1419" s="29"/>
      <c r="Q1419" s="29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  <c r="AJ1419" s="25"/>
      <c r="AK1419" s="30"/>
      <c r="AL1419" s="30"/>
      <c r="AM1419" s="30"/>
      <c r="AN1419" s="30"/>
      <c r="AO1419" s="30"/>
      <c r="AP1419" s="30"/>
      <c r="AQ1419" s="30"/>
      <c r="AR1419" s="30"/>
      <c r="AS1419" s="30"/>
      <c r="AT1419" s="30"/>
      <c r="AU1419" s="30"/>
      <c r="AW1419" s="27">
        <f t="shared" si="271"/>
        <v>1.4189999999999999E-3</v>
      </c>
      <c r="AX1419" s="27">
        <f t="shared" si="272"/>
        <v>1.4189999999999999E-3</v>
      </c>
      <c r="AY1419" s="27">
        <f t="shared" si="273"/>
        <v>1.4189999999999999E-3</v>
      </c>
      <c r="AZ1419" s="27">
        <f t="shared" si="274"/>
        <v>1.4189999999999999E-3</v>
      </c>
    </row>
    <row r="1420" spans="1:52" ht="15" customHeight="1" x14ac:dyDescent="0.25">
      <c r="A1420" s="13" t="e">
        <f>VLOOKUP(L1420,[1]VALIDAÇÃO!$D$13:$E$350,2,0)</f>
        <v>#N/A</v>
      </c>
      <c r="B1420" s="14" t="str">
        <f t="shared" si="264"/>
        <v>18</v>
      </c>
      <c r="C1420" s="15">
        <f t="shared" si="275"/>
        <v>18</v>
      </c>
      <c r="D1420" s="16" t="str">
        <f t="shared" si="265"/>
        <v>18</v>
      </c>
      <c r="E1420" s="17">
        <f t="shared" si="268"/>
        <v>18</v>
      </c>
      <c r="F1420" s="18" t="str">
        <f t="shared" si="266"/>
        <v>18</v>
      </c>
      <c r="G1420" s="18">
        <f t="shared" si="269"/>
        <v>18</v>
      </c>
      <c r="H1420" s="19" t="str">
        <f t="shared" si="267"/>
        <v>18</v>
      </c>
      <c r="I1420" s="19">
        <f t="shared" si="270"/>
        <v>18</v>
      </c>
      <c r="J1420" s="30"/>
      <c r="K1420" s="30"/>
      <c r="L1420" s="30"/>
      <c r="M1420" s="30"/>
      <c r="N1420" s="33"/>
      <c r="O1420" s="30"/>
      <c r="P1420" s="29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  <c r="AJ1420" s="25"/>
      <c r="AK1420" s="30"/>
      <c r="AL1420" s="30"/>
      <c r="AM1420" s="30"/>
      <c r="AN1420" s="30"/>
      <c r="AO1420" s="30"/>
      <c r="AP1420" s="30"/>
      <c r="AQ1420" s="30"/>
      <c r="AR1420" s="30"/>
      <c r="AS1420" s="30"/>
      <c r="AT1420" s="30"/>
      <c r="AU1420" s="30"/>
      <c r="AW1420" s="27">
        <f t="shared" si="271"/>
        <v>1.42E-3</v>
      </c>
      <c r="AX1420" s="27">
        <f t="shared" si="272"/>
        <v>1.42E-3</v>
      </c>
      <c r="AY1420" s="27">
        <f t="shared" si="273"/>
        <v>1.42E-3</v>
      </c>
      <c r="AZ1420" s="27">
        <f t="shared" si="274"/>
        <v>1.42E-3</v>
      </c>
    </row>
    <row r="1421" spans="1:52" ht="15" customHeight="1" x14ac:dyDescent="0.25">
      <c r="A1421" s="13" t="e">
        <f>VLOOKUP(L1421,[1]VALIDAÇÃO!$D$13:$E$350,2,0)</f>
        <v>#N/A</v>
      </c>
      <c r="B1421" s="14" t="str">
        <f t="shared" si="264"/>
        <v>17</v>
      </c>
      <c r="C1421" s="15">
        <f t="shared" si="275"/>
        <v>17</v>
      </c>
      <c r="D1421" s="16" t="str">
        <f t="shared" si="265"/>
        <v>17</v>
      </c>
      <c r="E1421" s="17">
        <f t="shared" si="268"/>
        <v>17</v>
      </c>
      <c r="F1421" s="18" t="str">
        <f t="shared" si="266"/>
        <v>17</v>
      </c>
      <c r="G1421" s="18">
        <f t="shared" si="269"/>
        <v>17</v>
      </c>
      <c r="H1421" s="19" t="str">
        <f t="shared" si="267"/>
        <v>17</v>
      </c>
      <c r="I1421" s="19">
        <f t="shared" si="270"/>
        <v>17</v>
      </c>
      <c r="J1421" s="30"/>
      <c r="K1421" s="30"/>
      <c r="L1421" s="30"/>
      <c r="M1421" s="30"/>
      <c r="N1421" s="30"/>
      <c r="O1421" s="30"/>
      <c r="P1421" s="29"/>
      <c r="Q1421" s="29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  <c r="AJ1421" s="25"/>
      <c r="AK1421" s="30"/>
      <c r="AL1421" s="30"/>
      <c r="AM1421" s="30"/>
      <c r="AN1421" s="30"/>
      <c r="AO1421" s="30"/>
      <c r="AP1421" s="30"/>
      <c r="AQ1421" s="30"/>
      <c r="AR1421" s="30"/>
      <c r="AS1421" s="30"/>
      <c r="AT1421" s="30"/>
      <c r="AU1421" s="30"/>
      <c r="AW1421" s="27">
        <f t="shared" si="271"/>
        <v>1.421E-3</v>
      </c>
      <c r="AX1421" s="27">
        <f t="shared" si="272"/>
        <v>1.421E-3</v>
      </c>
      <c r="AY1421" s="27">
        <f t="shared" si="273"/>
        <v>1.421E-3</v>
      </c>
      <c r="AZ1421" s="27">
        <f t="shared" si="274"/>
        <v>1.421E-3</v>
      </c>
    </row>
    <row r="1422" spans="1:52" ht="15" customHeight="1" x14ac:dyDescent="0.25">
      <c r="A1422" s="13" t="e">
        <f>VLOOKUP(L1422,[1]VALIDAÇÃO!$D$13:$E$350,2,0)</f>
        <v>#N/A</v>
      </c>
      <c r="B1422" s="14" t="str">
        <f t="shared" si="264"/>
        <v>16</v>
      </c>
      <c r="C1422" s="15">
        <f t="shared" si="275"/>
        <v>16</v>
      </c>
      <c r="D1422" s="16" t="str">
        <f t="shared" si="265"/>
        <v>16</v>
      </c>
      <c r="E1422" s="17">
        <f t="shared" si="268"/>
        <v>16</v>
      </c>
      <c r="F1422" s="18" t="str">
        <f t="shared" si="266"/>
        <v>16</v>
      </c>
      <c r="G1422" s="18">
        <f t="shared" si="269"/>
        <v>16</v>
      </c>
      <c r="H1422" s="19" t="str">
        <f t="shared" si="267"/>
        <v>16</v>
      </c>
      <c r="I1422" s="19">
        <f t="shared" si="270"/>
        <v>16</v>
      </c>
      <c r="J1422" s="30"/>
      <c r="K1422" s="30"/>
      <c r="L1422" s="30"/>
      <c r="M1422" s="30"/>
      <c r="N1422" s="30"/>
      <c r="O1422" s="30"/>
      <c r="P1422" s="29"/>
      <c r="Q1422" s="29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  <c r="AJ1422" s="25"/>
      <c r="AK1422" s="30"/>
      <c r="AL1422" s="30"/>
      <c r="AM1422" s="30"/>
      <c r="AN1422" s="30"/>
      <c r="AO1422" s="30"/>
      <c r="AP1422" s="30"/>
      <c r="AQ1422" s="30"/>
      <c r="AR1422" s="30"/>
      <c r="AS1422" s="30"/>
      <c r="AT1422" s="30"/>
      <c r="AU1422" s="30"/>
      <c r="AW1422" s="27">
        <f t="shared" si="271"/>
        <v>1.4220000000000001E-3</v>
      </c>
      <c r="AX1422" s="27">
        <f t="shared" si="272"/>
        <v>1.4220000000000001E-3</v>
      </c>
      <c r="AY1422" s="27">
        <f t="shared" si="273"/>
        <v>1.4220000000000001E-3</v>
      </c>
      <c r="AZ1422" s="27">
        <f t="shared" si="274"/>
        <v>1.4220000000000001E-3</v>
      </c>
    </row>
    <row r="1423" spans="1:52" ht="15" customHeight="1" x14ac:dyDescent="0.25">
      <c r="A1423" s="13" t="e">
        <f>VLOOKUP(L1423,[1]VALIDAÇÃO!$D$13:$E$350,2,0)</f>
        <v>#N/A</v>
      </c>
      <c r="B1423" s="14" t="str">
        <f t="shared" si="264"/>
        <v>15</v>
      </c>
      <c r="C1423" s="15">
        <f t="shared" si="275"/>
        <v>15</v>
      </c>
      <c r="D1423" s="16" t="str">
        <f t="shared" si="265"/>
        <v>15</v>
      </c>
      <c r="E1423" s="17">
        <f t="shared" si="268"/>
        <v>15</v>
      </c>
      <c r="F1423" s="18" t="str">
        <f t="shared" si="266"/>
        <v>15</v>
      </c>
      <c r="G1423" s="18">
        <f t="shared" si="269"/>
        <v>15</v>
      </c>
      <c r="H1423" s="19" t="str">
        <f t="shared" si="267"/>
        <v>15</v>
      </c>
      <c r="I1423" s="19">
        <f t="shared" si="270"/>
        <v>15</v>
      </c>
      <c r="J1423" s="30"/>
      <c r="K1423" s="30"/>
      <c r="L1423" s="30"/>
      <c r="M1423" s="30"/>
      <c r="N1423" s="30"/>
      <c r="O1423" s="30"/>
      <c r="P1423" s="29"/>
      <c r="Q1423" s="29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0"/>
      <c r="AJ1423" s="25"/>
      <c r="AK1423" s="30"/>
      <c r="AL1423" s="30"/>
      <c r="AM1423" s="30"/>
      <c r="AN1423" s="30"/>
      <c r="AO1423" s="30"/>
      <c r="AP1423" s="30"/>
      <c r="AQ1423" s="30"/>
      <c r="AR1423" s="30"/>
      <c r="AS1423" s="30"/>
      <c r="AT1423" s="30"/>
      <c r="AU1423" s="30"/>
      <c r="AW1423" s="27">
        <f t="shared" si="271"/>
        <v>1.423E-3</v>
      </c>
      <c r="AX1423" s="27">
        <f t="shared" si="272"/>
        <v>1.423E-3</v>
      </c>
      <c r="AY1423" s="27">
        <f t="shared" si="273"/>
        <v>1.423E-3</v>
      </c>
      <c r="AZ1423" s="27">
        <f t="shared" si="274"/>
        <v>1.423E-3</v>
      </c>
    </row>
    <row r="1424" spans="1:52" ht="15" customHeight="1" x14ac:dyDescent="0.25">
      <c r="A1424" s="13" t="e">
        <f>VLOOKUP(L1424,[1]VALIDAÇÃO!$D$13:$E$350,2,0)</f>
        <v>#N/A</v>
      </c>
      <c r="B1424" s="14" t="str">
        <f t="shared" si="264"/>
        <v>14</v>
      </c>
      <c r="C1424" s="15">
        <f t="shared" si="275"/>
        <v>14</v>
      </c>
      <c r="D1424" s="16" t="str">
        <f t="shared" si="265"/>
        <v>14</v>
      </c>
      <c r="E1424" s="17">
        <f t="shared" si="268"/>
        <v>14</v>
      </c>
      <c r="F1424" s="18" t="str">
        <f t="shared" si="266"/>
        <v>14</v>
      </c>
      <c r="G1424" s="18">
        <f t="shared" si="269"/>
        <v>14</v>
      </c>
      <c r="H1424" s="19" t="str">
        <f t="shared" si="267"/>
        <v>14</v>
      </c>
      <c r="I1424" s="19">
        <f t="shared" si="270"/>
        <v>14</v>
      </c>
      <c r="J1424" s="30"/>
      <c r="K1424" s="30"/>
      <c r="L1424" s="30"/>
      <c r="M1424" s="30"/>
      <c r="N1424" s="30"/>
      <c r="O1424" s="30"/>
      <c r="P1424" s="29"/>
      <c r="Q1424" s="29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0"/>
      <c r="AJ1424" s="25"/>
      <c r="AK1424" s="30"/>
      <c r="AL1424" s="30"/>
      <c r="AM1424" s="30"/>
      <c r="AN1424" s="30"/>
      <c r="AO1424" s="30"/>
      <c r="AP1424" s="30"/>
      <c r="AQ1424" s="30"/>
      <c r="AR1424" s="30"/>
      <c r="AS1424" s="30"/>
      <c r="AT1424" s="30"/>
      <c r="AU1424" s="30"/>
      <c r="AW1424" s="27">
        <f t="shared" si="271"/>
        <v>1.4239999999999999E-3</v>
      </c>
      <c r="AX1424" s="27">
        <f t="shared" si="272"/>
        <v>1.4239999999999999E-3</v>
      </c>
      <c r="AY1424" s="27">
        <f t="shared" si="273"/>
        <v>1.4239999999999999E-3</v>
      </c>
      <c r="AZ1424" s="27">
        <f t="shared" si="274"/>
        <v>1.4239999999999999E-3</v>
      </c>
    </row>
    <row r="1425" spans="1:53" ht="15" customHeight="1" x14ac:dyDescent="0.25">
      <c r="A1425" s="13" t="e">
        <f>VLOOKUP(L1425,[1]VALIDAÇÃO!$D$13:$E$350,2,0)</f>
        <v>#N/A</v>
      </c>
      <c r="B1425" s="14" t="str">
        <f t="shared" si="264"/>
        <v>13</v>
      </c>
      <c r="C1425" s="15">
        <f t="shared" si="275"/>
        <v>13</v>
      </c>
      <c r="D1425" s="16" t="str">
        <f t="shared" si="265"/>
        <v>13</v>
      </c>
      <c r="E1425" s="17">
        <f t="shared" si="268"/>
        <v>13</v>
      </c>
      <c r="F1425" s="18" t="str">
        <f t="shared" si="266"/>
        <v>13</v>
      </c>
      <c r="G1425" s="18">
        <f t="shared" si="269"/>
        <v>13</v>
      </c>
      <c r="H1425" s="19" t="str">
        <f t="shared" si="267"/>
        <v>13</v>
      </c>
      <c r="I1425" s="19">
        <f t="shared" si="270"/>
        <v>13</v>
      </c>
      <c r="J1425" s="30"/>
      <c r="K1425" s="30"/>
      <c r="L1425" s="30"/>
      <c r="M1425" s="30"/>
      <c r="N1425" s="33"/>
      <c r="O1425" s="30"/>
      <c r="P1425" s="29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  <c r="AJ1425" s="25"/>
      <c r="AK1425" s="30"/>
      <c r="AL1425" s="30"/>
      <c r="AM1425" s="30"/>
      <c r="AN1425" s="30"/>
      <c r="AO1425" s="30"/>
      <c r="AP1425" s="30"/>
      <c r="AQ1425" s="30"/>
      <c r="AR1425" s="30"/>
      <c r="AS1425" s="30"/>
      <c r="AT1425" s="30"/>
      <c r="AU1425" s="30"/>
      <c r="AW1425" s="27">
        <f t="shared" si="271"/>
        <v>1.4250000000000001E-3</v>
      </c>
      <c r="AX1425" s="27">
        <f t="shared" si="272"/>
        <v>1.4250000000000001E-3</v>
      </c>
      <c r="AY1425" s="27">
        <f t="shared" si="273"/>
        <v>1.4250000000000001E-3</v>
      </c>
      <c r="AZ1425" s="27">
        <f t="shared" si="274"/>
        <v>1.4250000000000001E-3</v>
      </c>
    </row>
    <row r="1426" spans="1:53" ht="15" customHeight="1" x14ac:dyDescent="0.25">
      <c r="A1426" s="13" t="e">
        <f>VLOOKUP(L1426,[1]VALIDAÇÃO!$D$13:$E$350,2,0)</f>
        <v>#N/A</v>
      </c>
      <c r="B1426" s="14" t="str">
        <f t="shared" si="264"/>
        <v>12</v>
      </c>
      <c r="C1426" s="15">
        <f t="shared" si="275"/>
        <v>12</v>
      </c>
      <c r="D1426" s="16" t="str">
        <f t="shared" si="265"/>
        <v>12</v>
      </c>
      <c r="E1426" s="17">
        <f t="shared" si="268"/>
        <v>12</v>
      </c>
      <c r="F1426" s="18" t="str">
        <f t="shared" si="266"/>
        <v>12</v>
      </c>
      <c r="G1426" s="18">
        <f t="shared" si="269"/>
        <v>12</v>
      </c>
      <c r="H1426" s="19" t="str">
        <f t="shared" si="267"/>
        <v>12</v>
      </c>
      <c r="I1426" s="19">
        <f t="shared" si="270"/>
        <v>12</v>
      </c>
      <c r="J1426" s="30"/>
      <c r="K1426" s="30"/>
      <c r="L1426" s="30"/>
      <c r="M1426" s="30"/>
      <c r="N1426" s="30"/>
      <c r="O1426" s="30"/>
      <c r="P1426" s="29"/>
      <c r="Q1426" s="29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  <c r="AJ1426" s="25"/>
      <c r="AK1426" s="30"/>
      <c r="AL1426" s="30"/>
      <c r="AM1426" s="30"/>
      <c r="AN1426" s="30"/>
      <c r="AO1426" s="30"/>
      <c r="AP1426" s="30"/>
      <c r="AQ1426" s="30"/>
      <c r="AR1426" s="30"/>
      <c r="AS1426" s="30"/>
      <c r="AT1426" s="30"/>
      <c r="AU1426" s="30"/>
      <c r="AW1426" s="27">
        <f t="shared" si="271"/>
        <v>1.426E-3</v>
      </c>
      <c r="AX1426" s="27">
        <f t="shared" si="272"/>
        <v>1.426E-3</v>
      </c>
      <c r="AY1426" s="27">
        <f t="shared" si="273"/>
        <v>1.426E-3</v>
      </c>
      <c r="AZ1426" s="27">
        <f t="shared" si="274"/>
        <v>1.426E-3</v>
      </c>
    </row>
    <row r="1427" spans="1:53" ht="15" customHeight="1" x14ac:dyDescent="0.25">
      <c r="A1427" s="13" t="e">
        <f>VLOOKUP(L1427,[1]VALIDAÇÃO!$D$13:$E$350,2,0)</f>
        <v>#N/A</v>
      </c>
      <c r="B1427" s="14" t="str">
        <f t="shared" si="264"/>
        <v>11</v>
      </c>
      <c r="C1427" s="15">
        <f t="shared" si="275"/>
        <v>11</v>
      </c>
      <c r="D1427" s="16" t="str">
        <f t="shared" si="265"/>
        <v>11</v>
      </c>
      <c r="E1427" s="17">
        <f t="shared" si="268"/>
        <v>11</v>
      </c>
      <c r="F1427" s="18" t="str">
        <f t="shared" si="266"/>
        <v>11</v>
      </c>
      <c r="G1427" s="18">
        <f t="shared" si="269"/>
        <v>11</v>
      </c>
      <c r="H1427" s="19" t="str">
        <f t="shared" si="267"/>
        <v>11</v>
      </c>
      <c r="I1427" s="19">
        <f t="shared" si="270"/>
        <v>11</v>
      </c>
      <c r="J1427" s="30"/>
      <c r="K1427" s="30"/>
      <c r="L1427" s="30"/>
      <c r="M1427" s="30"/>
      <c r="N1427" s="33"/>
      <c r="O1427" s="30"/>
      <c r="P1427" s="29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  <c r="AJ1427" s="25"/>
      <c r="AK1427" s="30"/>
      <c r="AL1427" s="30"/>
      <c r="AM1427" s="30"/>
      <c r="AN1427" s="30"/>
      <c r="AO1427" s="30"/>
      <c r="AP1427" s="30"/>
      <c r="AQ1427" s="30"/>
      <c r="AR1427" s="30"/>
      <c r="AS1427" s="30"/>
      <c r="AT1427" s="30"/>
      <c r="AU1427" s="30"/>
      <c r="AW1427" s="27">
        <f t="shared" si="271"/>
        <v>1.4270000000000001E-3</v>
      </c>
      <c r="AX1427" s="27">
        <f t="shared" si="272"/>
        <v>1.4270000000000001E-3</v>
      </c>
      <c r="AY1427" s="27">
        <f t="shared" si="273"/>
        <v>1.4270000000000001E-3</v>
      </c>
      <c r="AZ1427" s="27">
        <f t="shared" si="274"/>
        <v>1.4270000000000001E-3</v>
      </c>
    </row>
    <row r="1428" spans="1:53" ht="15" customHeight="1" x14ac:dyDescent="0.25">
      <c r="A1428" s="13" t="e">
        <f>VLOOKUP(L1428,[1]VALIDAÇÃO!$D$13:$E$350,2,0)</f>
        <v>#N/A</v>
      </c>
      <c r="B1428" s="14" t="str">
        <f t="shared" ref="B1428:B1466" si="276">C1428&amp;J1428</f>
        <v>10</v>
      </c>
      <c r="C1428" s="15">
        <f t="shared" si="275"/>
        <v>10</v>
      </c>
      <c r="D1428" s="16" t="str">
        <f t="shared" ref="D1428:D1466" si="277">E1428&amp;J1428</f>
        <v>10</v>
      </c>
      <c r="E1428" s="17">
        <f t="shared" si="268"/>
        <v>10</v>
      </c>
      <c r="F1428" s="18" t="str">
        <f t="shared" ref="F1428:F1466" si="278">G1428&amp;J1428</f>
        <v>10</v>
      </c>
      <c r="G1428" s="18">
        <f t="shared" si="269"/>
        <v>10</v>
      </c>
      <c r="H1428" s="19" t="str">
        <f t="shared" ref="H1428:H1466" si="279">I1428&amp;J1428</f>
        <v>10</v>
      </c>
      <c r="I1428" s="19">
        <f t="shared" si="270"/>
        <v>10</v>
      </c>
      <c r="J1428" s="30"/>
      <c r="K1428" s="30"/>
      <c r="L1428" s="30"/>
      <c r="M1428" s="30"/>
      <c r="N1428" s="30"/>
      <c r="O1428" s="30"/>
      <c r="P1428" s="29"/>
      <c r="Q1428" s="29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  <c r="AJ1428" s="25"/>
      <c r="AK1428" s="30"/>
      <c r="AL1428" s="30"/>
      <c r="AM1428" s="30"/>
      <c r="AN1428" s="30"/>
      <c r="AO1428" s="30"/>
      <c r="AP1428" s="30"/>
      <c r="AQ1428" s="30"/>
      <c r="AR1428" s="30"/>
      <c r="AS1428" s="30"/>
      <c r="AT1428" s="30"/>
      <c r="AU1428" s="30"/>
      <c r="AW1428" s="27">
        <f t="shared" si="271"/>
        <v>1.428E-3</v>
      </c>
      <c r="AX1428" s="27">
        <f t="shared" si="272"/>
        <v>1.428E-3</v>
      </c>
      <c r="AY1428" s="27">
        <f t="shared" si="273"/>
        <v>1.428E-3</v>
      </c>
      <c r="AZ1428" s="27">
        <f t="shared" si="274"/>
        <v>1.428E-3</v>
      </c>
    </row>
    <row r="1429" spans="1:53" ht="15" customHeight="1" x14ac:dyDescent="0.25">
      <c r="A1429" s="13" t="e">
        <f>VLOOKUP(L1429,[1]VALIDAÇÃO!$D$13:$E$350,2,0)</f>
        <v>#N/A</v>
      </c>
      <c r="B1429" s="14" t="str">
        <f t="shared" si="276"/>
        <v>9</v>
      </c>
      <c r="C1429" s="15">
        <f t="shared" si="275"/>
        <v>9</v>
      </c>
      <c r="D1429" s="16" t="str">
        <f t="shared" si="277"/>
        <v>9</v>
      </c>
      <c r="E1429" s="17">
        <f t="shared" si="268"/>
        <v>9</v>
      </c>
      <c r="F1429" s="18" t="str">
        <f t="shared" si="278"/>
        <v>9</v>
      </c>
      <c r="G1429" s="18">
        <f t="shared" si="269"/>
        <v>9</v>
      </c>
      <c r="H1429" s="19" t="str">
        <f t="shared" si="279"/>
        <v>9</v>
      </c>
      <c r="I1429" s="19">
        <f t="shared" si="270"/>
        <v>9</v>
      </c>
      <c r="J1429" s="30"/>
      <c r="K1429" s="30"/>
      <c r="L1429" s="30"/>
      <c r="M1429" s="30"/>
      <c r="N1429" s="30"/>
      <c r="O1429" s="30"/>
      <c r="P1429" s="29"/>
      <c r="Q1429" s="29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0"/>
      <c r="AJ1429" s="25"/>
      <c r="AK1429" s="30"/>
      <c r="AL1429" s="30"/>
      <c r="AM1429" s="30"/>
      <c r="AN1429" s="30"/>
      <c r="AO1429" s="30"/>
      <c r="AP1429" s="30"/>
      <c r="AQ1429" s="30"/>
      <c r="AR1429" s="30"/>
      <c r="AS1429" s="30"/>
      <c r="AT1429" s="30"/>
      <c r="AU1429" s="30"/>
      <c r="AW1429" s="27">
        <f t="shared" si="271"/>
        <v>1.4289999999999999E-3</v>
      </c>
      <c r="AX1429" s="27">
        <f t="shared" si="272"/>
        <v>1.4289999999999999E-3</v>
      </c>
      <c r="AY1429" s="27">
        <f t="shared" si="273"/>
        <v>1.4289999999999999E-3</v>
      </c>
      <c r="AZ1429" s="27">
        <f t="shared" si="274"/>
        <v>1.4289999999999999E-3</v>
      </c>
    </row>
    <row r="1430" spans="1:53" ht="15" customHeight="1" x14ac:dyDescent="0.25">
      <c r="A1430" s="13" t="e">
        <f>VLOOKUP(L1430,[1]VALIDAÇÃO!$D$13:$E$350,2,0)</f>
        <v>#N/A</v>
      </c>
      <c r="B1430" s="14" t="str">
        <f t="shared" si="276"/>
        <v>8</v>
      </c>
      <c r="C1430" s="15">
        <f t="shared" si="275"/>
        <v>8</v>
      </c>
      <c r="D1430" s="16" t="str">
        <f t="shared" si="277"/>
        <v>8</v>
      </c>
      <c r="E1430" s="17">
        <f t="shared" si="268"/>
        <v>8</v>
      </c>
      <c r="F1430" s="18" t="str">
        <f t="shared" si="278"/>
        <v>8</v>
      </c>
      <c r="G1430" s="18">
        <f t="shared" si="269"/>
        <v>8</v>
      </c>
      <c r="H1430" s="19" t="str">
        <f t="shared" si="279"/>
        <v>8</v>
      </c>
      <c r="I1430" s="19">
        <f t="shared" si="270"/>
        <v>8</v>
      </c>
      <c r="J1430" s="30"/>
      <c r="K1430" s="30"/>
      <c r="L1430" s="30"/>
      <c r="M1430" s="30"/>
      <c r="N1430" s="33"/>
      <c r="O1430" s="30"/>
      <c r="P1430" s="29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0"/>
      <c r="AJ1430" s="25"/>
      <c r="AK1430" s="30"/>
      <c r="AL1430" s="30"/>
      <c r="AM1430" s="30"/>
      <c r="AN1430" s="30"/>
      <c r="AO1430" s="30"/>
      <c r="AP1430" s="30"/>
      <c r="AQ1430" s="30"/>
      <c r="AR1430" s="30"/>
      <c r="AS1430" s="30"/>
      <c r="AT1430" s="30"/>
      <c r="AU1430" s="30"/>
      <c r="AW1430" s="27">
        <f t="shared" si="271"/>
        <v>1.4300000000000001E-3</v>
      </c>
      <c r="AX1430" s="27">
        <f t="shared" si="272"/>
        <v>1.4300000000000001E-3</v>
      </c>
      <c r="AY1430" s="27">
        <f t="shared" si="273"/>
        <v>1.4300000000000001E-3</v>
      </c>
      <c r="AZ1430" s="27">
        <f t="shared" si="274"/>
        <v>1.4300000000000001E-3</v>
      </c>
    </row>
    <row r="1431" spans="1:53" ht="15" customHeight="1" x14ac:dyDescent="0.25">
      <c r="A1431" s="13" t="e">
        <f>VLOOKUP(L1431,[1]VALIDAÇÃO!$D$13:$E$350,2,0)</f>
        <v>#N/A</v>
      </c>
      <c r="B1431" s="14" t="str">
        <f t="shared" si="276"/>
        <v>7</v>
      </c>
      <c r="C1431" s="15">
        <f t="shared" si="275"/>
        <v>7</v>
      </c>
      <c r="D1431" s="16" t="str">
        <f t="shared" si="277"/>
        <v>7</v>
      </c>
      <c r="E1431" s="17">
        <f t="shared" si="268"/>
        <v>7</v>
      </c>
      <c r="F1431" s="18" t="str">
        <f t="shared" si="278"/>
        <v>7</v>
      </c>
      <c r="G1431" s="18">
        <f t="shared" si="269"/>
        <v>7</v>
      </c>
      <c r="H1431" s="19" t="str">
        <f t="shared" si="279"/>
        <v>7</v>
      </c>
      <c r="I1431" s="19">
        <f t="shared" si="270"/>
        <v>7</v>
      </c>
      <c r="J1431" s="30"/>
      <c r="K1431" s="30"/>
      <c r="L1431" s="30"/>
      <c r="M1431" s="30"/>
      <c r="N1431" s="33"/>
      <c r="O1431" s="30"/>
      <c r="P1431" s="29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  <c r="AJ1431" s="25"/>
      <c r="AK1431" s="30"/>
      <c r="AL1431" s="30"/>
      <c r="AM1431" s="30"/>
      <c r="AN1431" s="30"/>
      <c r="AO1431" s="30"/>
      <c r="AP1431" s="30"/>
      <c r="AQ1431" s="30"/>
      <c r="AR1431" s="30"/>
      <c r="AS1431" s="30"/>
      <c r="AT1431" s="30"/>
      <c r="AU1431" s="30"/>
      <c r="AW1431" s="27">
        <f t="shared" si="271"/>
        <v>1.431E-3</v>
      </c>
      <c r="AX1431" s="27">
        <f t="shared" si="272"/>
        <v>1.431E-3</v>
      </c>
      <c r="AY1431" s="27">
        <f t="shared" si="273"/>
        <v>1.431E-3</v>
      </c>
      <c r="AZ1431" s="27">
        <f t="shared" si="274"/>
        <v>1.431E-3</v>
      </c>
    </row>
    <row r="1432" spans="1:53" ht="15" customHeight="1" x14ac:dyDescent="0.25">
      <c r="A1432" s="13" t="e">
        <f>VLOOKUP(L1432,[1]VALIDAÇÃO!$D$13:$E$350,2,0)</f>
        <v>#N/A</v>
      </c>
      <c r="B1432" s="14" t="str">
        <f t="shared" si="276"/>
        <v>6</v>
      </c>
      <c r="C1432" s="15">
        <f t="shared" si="275"/>
        <v>6</v>
      </c>
      <c r="D1432" s="16" t="str">
        <f t="shared" si="277"/>
        <v>6</v>
      </c>
      <c r="E1432" s="17">
        <f t="shared" si="268"/>
        <v>6</v>
      </c>
      <c r="F1432" s="18" t="str">
        <f t="shared" si="278"/>
        <v>6</v>
      </c>
      <c r="G1432" s="18">
        <f t="shared" si="269"/>
        <v>6</v>
      </c>
      <c r="H1432" s="19" t="str">
        <f t="shared" si="279"/>
        <v>6</v>
      </c>
      <c r="I1432" s="19">
        <f t="shared" si="270"/>
        <v>6</v>
      </c>
      <c r="J1432" s="30"/>
      <c r="K1432" s="30"/>
      <c r="L1432" s="30"/>
      <c r="M1432" s="30"/>
      <c r="N1432" s="30"/>
      <c r="O1432" s="30"/>
      <c r="P1432" s="29"/>
      <c r="Q1432" s="29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  <c r="AJ1432" s="25"/>
      <c r="AK1432" s="30"/>
      <c r="AL1432" s="30"/>
      <c r="AM1432" s="30"/>
      <c r="AN1432" s="30"/>
      <c r="AO1432" s="30"/>
      <c r="AP1432" s="30"/>
      <c r="AQ1432" s="30"/>
      <c r="AR1432" s="30"/>
      <c r="AS1432" s="30"/>
      <c r="AT1432" s="30"/>
      <c r="AU1432" s="30"/>
      <c r="AW1432" s="27">
        <f t="shared" si="271"/>
        <v>1.4319999999999999E-3</v>
      </c>
      <c r="AX1432" s="27">
        <f t="shared" si="272"/>
        <v>1.4319999999999999E-3</v>
      </c>
      <c r="AY1432" s="27">
        <f t="shared" si="273"/>
        <v>1.4319999999999999E-3</v>
      </c>
      <c r="AZ1432" s="27">
        <f t="shared" si="274"/>
        <v>1.4319999999999999E-3</v>
      </c>
    </row>
    <row r="1433" spans="1:53" ht="15" customHeight="1" x14ac:dyDescent="0.25">
      <c r="A1433" s="13" t="e">
        <f>VLOOKUP(L1433,[1]VALIDAÇÃO!$D$13:$E$350,2,0)</f>
        <v>#N/A</v>
      </c>
      <c r="B1433" s="14" t="str">
        <f t="shared" si="276"/>
        <v>5</v>
      </c>
      <c r="C1433" s="15">
        <f t="shared" si="275"/>
        <v>5</v>
      </c>
      <c r="D1433" s="16" t="str">
        <f t="shared" si="277"/>
        <v>5</v>
      </c>
      <c r="E1433" s="17">
        <f t="shared" si="268"/>
        <v>5</v>
      </c>
      <c r="F1433" s="18" t="str">
        <f t="shared" si="278"/>
        <v>5</v>
      </c>
      <c r="G1433" s="18">
        <f t="shared" si="269"/>
        <v>5</v>
      </c>
      <c r="H1433" s="19" t="str">
        <f t="shared" si="279"/>
        <v>5</v>
      </c>
      <c r="I1433" s="19">
        <f t="shared" si="270"/>
        <v>5</v>
      </c>
      <c r="J1433" s="30"/>
      <c r="K1433" s="30"/>
      <c r="L1433" s="30"/>
      <c r="M1433" s="30"/>
      <c r="N1433" s="30"/>
      <c r="O1433" s="30"/>
      <c r="P1433" s="29"/>
      <c r="Q1433" s="29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  <c r="AJ1433" s="25"/>
      <c r="AK1433" s="30"/>
      <c r="AL1433" s="30"/>
      <c r="AM1433" s="30"/>
      <c r="AN1433" s="30"/>
      <c r="AO1433" s="30"/>
      <c r="AP1433" s="30"/>
      <c r="AQ1433" s="30"/>
      <c r="AR1433" s="30"/>
      <c r="AS1433" s="30"/>
      <c r="AT1433" s="30"/>
      <c r="AU1433" s="30"/>
      <c r="AW1433" s="27">
        <f t="shared" si="271"/>
        <v>1.433E-3</v>
      </c>
      <c r="AX1433" s="27">
        <f t="shared" si="272"/>
        <v>1.433E-3</v>
      </c>
      <c r="AY1433" s="27">
        <f t="shared" si="273"/>
        <v>1.433E-3</v>
      </c>
      <c r="AZ1433" s="27">
        <f t="shared" si="274"/>
        <v>1.433E-3</v>
      </c>
    </row>
    <row r="1434" spans="1:53" ht="15" customHeight="1" x14ac:dyDescent="0.25">
      <c r="A1434" s="13" t="e">
        <f>VLOOKUP(L1434,[1]VALIDAÇÃO!$D$13:$E$350,2,0)</f>
        <v>#N/A</v>
      </c>
      <c r="B1434" s="14" t="str">
        <f t="shared" si="276"/>
        <v>4</v>
      </c>
      <c r="C1434" s="15">
        <f t="shared" si="275"/>
        <v>4</v>
      </c>
      <c r="D1434" s="16" t="str">
        <f t="shared" si="277"/>
        <v>4</v>
      </c>
      <c r="E1434" s="17">
        <f t="shared" si="268"/>
        <v>4</v>
      </c>
      <c r="F1434" s="18" t="str">
        <f t="shared" si="278"/>
        <v>4</v>
      </c>
      <c r="G1434" s="18">
        <f t="shared" si="269"/>
        <v>4</v>
      </c>
      <c r="H1434" s="19" t="str">
        <f t="shared" si="279"/>
        <v>4</v>
      </c>
      <c r="I1434" s="19">
        <f t="shared" si="270"/>
        <v>4</v>
      </c>
      <c r="J1434" s="30"/>
      <c r="K1434" s="30"/>
      <c r="L1434" s="30"/>
      <c r="M1434" s="30"/>
      <c r="N1434" s="33"/>
      <c r="O1434" s="30"/>
      <c r="P1434" s="29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  <c r="AJ1434" s="25"/>
      <c r="AK1434" s="30"/>
      <c r="AL1434" s="30"/>
      <c r="AM1434" s="30"/>
      <c r="AN1434" s="30"/>
      <c r="AO1434" s="30"/>
      <c r="AP1434" s="30"/>
      <c r="AQ1434" s="30"/>
      <c r="AR1434" s="30"/>
      <c r="AS1434" s="30"/>
      <c r="AT1434" s="30"/>
      <c r="AU1434" s="30"/>
      <c r="AW1434" s="27">
        <f t="shared" si="271"/>
        <v>1.4339999999999999E-3</v>
      </c>
      <c r="AX1434" s="27">
        <f t="shared" si="272"/>
        <v>1.4339999999999999E-3</v>
      </c>
      <c r="AY1434" s="27">
        <f t="shared" si="273"/>
        <v>1.4339999999999999E-3</v>
      </c>
      <c r="AZ1434" s="27">
        <f t="shared" si="274"/>
        <v>1.4339999999999999E-3</v>
      </c>
    </row>
    <row r="1435" spans="1:53" ht="15" customHeight="1" x14ac:dyDescent="0.25">
      <c r="A1435" s="13" t="e">
        <f>VLOOKUP(L1435,[1]VALIDAÇÃO!$D$13:$E$350,2,0)</f>
        <v>#N/A</v>
      </c>
      <c r="B1435" s="14" t="str">
        <f t="shared" si="276"/>
        <v>3</v>
      </c>
      <c r="C1435" s="15">
        <f t="shared" si="275"/>
        <v>3</v>
      </c>
      <c r="D1435" s="16" t="str">
        <f t="shared" si="277"/>
        <v>3</v>
      </c>
      <c r="E1435" s="17">
        <f t="shared" si="268"/>
        <v>3</v>
      </c>
      <c r="F1435" s="18" t="str">
        <f t="shared" si="278"/>
        <v>3</v>
      </c>
      <c r="G1435" s="18">
        <f t="shared" si="269"/>
        <v>3</v>
      </c>
      <c r="H1435" s="19" t="str">
        <f t="shared" si="279"/>
        <v>3</v>
      </c>
      <c r="I1435" s="19">
        <f t="shared" si="270"/>
        <v>3</v>
      </c>
      <c r="J1435" s="30"/>
      <c r="K1435" s="30"/>
      <c r="L1435" s="30"/>
      <c r="M1435" s="30"/>
      <c r="N1435" s="30"/>
      <c r="O1435" s="30"/>
      <c r="P1435" s="29"/>
      <c r="Q1435" s="29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  <c r="AJ1435" s="25"/>
      <c r="AK1435" s="30"/>
      <c r="AL1435" s="30"/>
      <c r="AM1435" s="30"/>
      <c r="AN1435" s="30"/>
      <c r="AO1435" s="30"/>
      <c r="AP1435" s="30"/>
      <c r="AQ1435" s="30"/>
      <c r="AR1435" s="30"/>
      <c r="AS1435" s="30"/>
      <c r="AT1435" s="30"/>
      <c r="AU1435" s="30"/>
      <c r="AW1435" s="27">
        <f t="shared" si="271"/>
        <v>1.4350000000000001E-3</v>
      </c>
      <c r="AX1435" s="27">
        <f t="shared" si="272"/>
        <v>1.4350000000000001E-3</v>
      </c>
      <c r="AY1435" s="27">
        <f t="shared" si="273"/>
        <v>1.4350000000000001E-3</v>
      </c>
      <c r="AZ1435" s="27">
        <f t="shared" si="274"/>
        <v>1.4350000000000001E-3</v>
      </c>
    </row>
    <row r="1436" spans="1:53" ht="15" customHeight="1" x14ac:dyDescent="0.25">
      <c r="A1436" s="13" t="e">
        <f>VLOOKUP(L1436,[1]VALIDAÇÃO!$D$13:$E$350,2,0)</f>
        <v>#N/A</v>
      </c>
      <c r="B1436" s="14" t="str">
        <f t="shared" si="276"/>
        <v>2</v>
      </c>
      <c r="C1436" s="15">
        <f t="shared" si="275"/>
        <v>2</v>
      </c>
      <c r="D1436" s="16" t="str">
        <f t="shared" si="277"/>
        <v>2</v>
      </c>
      <c r="E1436" s="17">
        <f t="shared" si="268"/>
        <v>2</v>
      </c>
      <c r="F1436" s="18" t="str">
        <f t="shared" si="278"/>
        <v>2</v>
      </c>
      <c r="G1436" s="18">
        <f t="shared" si="269"/>
        <v>2</v>
      </c>
      <c r="H1436" s="19" t="str">
        <f t="shared" si="279"/>
        <v>2</v>
      </c>
      <c r="I1436" s="19">
        <f t="shared" si="270"/>
        <v>2</v>
      </c>
      <c r="J1436" s="30"/>
      <c r="K1436" s="30"/>
      <c r="L1436" s="30"/>
      <c r="M1436" s="30"/>
      <c r="N1436" s="33"/>
      <c r="O1436" s="30"/>
      <c r="P1436" s="29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0"/>
      <c r="AJ1436" s="25"/>
      <c r="AK1436" s="30"/>
      <c r="AL1436" s="30"/>
      <c r="AM1436" s="30"/>
      <c r="AN1436" s="30"/>
      <c r="AO1436" s="30"/>
      <c r="AP1436" s="30"/>
      <c r="AQ1436" s="30"/>
      <c r="AR1436" s="30"/>
      <c r="AS1436" s="30"/>
      <c r="AT1436" s="30"/>
      <c r="AU1436" s="30"/>
      <c r="AW1436" s="27">
        <f t="shared" si="271"/>
        <v>1.436E-3</v>
      </c>
      <c r="AX1436" s="27">
        <f t="shared" si="272"/>
        <v>1.436E-3</v>
      </c>
      <c r="AY1436" s="27">
        <f t="shared" si="273"/>
        <v>1.436E-3</v>
      </c>
      <c r="AZ1436" s="27">
        <f t="shared" si="274"/>
        <v>1.436E-3</v>
      </c>
    </row>
    <row r="1437" spans="1:53" ht="13.5" x14ac:dyDescent="0.25">
      <c r="A1437" s="13" t="e">
        <f>VLOOKUP(L1437,[1]VALIDAÇÃO!$D$13:$E$350,2,0)</f>
        <v>#N/A</v>
      </c>
      <c r="B1437" s="14" t="str">
        <f t="shared" si="276"/>
        <v>1</v>
      </c>
      <c r="C1437" s="15">
        <f t="shared" si="275"/>
        <v>1</v>
      </c>
      <c r="D1437" s="16" t="str">
        <f t="shared" si="277"/>
        <v>1</v>
      </c>
      <c r="E1437" s="17">
        <f t="shared" si="268"/>
        <v>1</v>
      </c>
      <c r="F1437" s="18" t="str">
        <f t="shared" si="278"/>
        <v>1</v>
      </c>
      <c r="G1437" s="18">
        <f t="shared" si="269"/>
        <v>1</v>
      </c>
      <c r="H1437" s="19" t="str">
        <f t="shared" si="279"/>
        <v>1</v>
      </c>
      <c r="I1437" s="19">
        <f t="shared" si="270"/>
        <v>1</v>
      </c>
      <c r="J1437" s="30"/>
      <c r="K1437" s="30"/>
      <c r="L1437" s="30"/>
      <c r="M1437" s="30"/>
      <c r="N1437" s="33"/>
      <c r="O1437" s="30"/>
      <c r="P1437" s="29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0"/>
      <c r="AJ1437" s="25"/>
      <c r="AK1437" s="30"/>
      <c r="AL1437" s="30"/>
      <c r="AM1437" s="30"/>
      <c r="AN1437" s="30"/>
      <c r="AO1437" s="30"/>
      <c r="AP1437" s="30"/>
      <c r="AQ1437" s="30"/>
      <c r="AR1437" s="30"/>
      <c r="AS1437" s="30"/>
      <c r="AT1437" s="30"/>
      <c r="AU1437" s="30"/>
      <c r="AV1437" s="32"/>
      <c r="AW1437" s="27">
        <f t="shared" si="271"/>
        <v>1.4369999999999999E-3</v>
      </c>
      <c r="AX1437" s="27">
        <f t="shared" si="272"/>
        <v>1.4369999999999999E-3</v>
      </c>
      <c r="AY1437" s="27">
        <f t="shared" si="273"/>
        <v>1.4369999999999999E-3</v>
      </c>
      <c r="AZ1437" s="27">
        <f t="shared" si="274"/>
        <v>1.4369999999999999E-3</v>
      </c>
    </row>
    <row r="1438" spans="1:53" ht="15" customHeight="1" x14ac:dyDescent="0.25">
      <c r="J1438" s="30"/>
      <c r="K1438" s="30"/>
      <c r="L1438" s="30"/>
      <c r="M1438" s="30"/>
      <c r="N1438" s="30"/>
      <c r="O1438" s="30"/>
      <c r="P1438" s="29"/>
      <c r="Q1438" s="29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c r="AJ1438" s="25"/>
      <c r="AK1438" s="30"/>
      <c r="AL1438" s="30"/>
      <c r="AM1438" s="30"/>
      <c r="AN1438" s="30"/>
      <c r="AO1438" s="30"/>
      <c r="AP1438" s="30"/>
      <c r="AQ1438" s="30"/>
      <c r="AR1438" s="30"/>
      <c r="AS1438" s="30"/>
      <c r="AT1438" s="30"/>
      <c r="AU1438" s="30"/>
      <c r="AW1438" s="27">
        <f t="shared" si="271"/>
        <v>1.438E-3</v>
      </c>
      <c r="AX1438" s="27">
        <f t="shared" si="272"/>
        <v>1.438E-3</v>
      </c>
      <c r="AY1438" s="27">
        <f t="shared" si="273"/>
        <v>1.438E-3</v>
      </c>
      <c r="AZ1438" s="27">
        <f t="shared" si="274"/>
        <v>1.438E-3</v>
      </c>
    </row>
    <row r="1439" spans="1:53" ht="15" customHeight="1" x14ac:dyDescent="0.25">
      <c r="J1439" s="30"/>
      <c r="K1439" s="30"/>
      <c r="L1439" s="30"/>
      <c r="M1439" s="30"/>
      <c r="N1439" s="33"/>
      <c r="O1439" s="30"/>
      <c r="P1439" s="29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  <c r="AJ1439" s="25"/>
      <c r="AK1439" s="30"/>
      <c r="AL1439" s="30"/>
      <c r="AM1439" s="30"/>
      <c r="AN1439" s="30"/>
      <c r="AO1439" s="30"/>
      <c r="AP1439" s="30"/>
      <c r="AQ1439" s="30"/>
      <c r="AR1439" s="30"/>
      <c r="AS1439" s="30"/>
      <c r="AT1439" s="30"/>
      <c r="AU1439" s="30"/>
      <c r="AW1439" s="27">
        <f t="shared" si="271"/>
        <v>1.439E-3</v>
      </c>
      <c r="AX1439" s="27">
        <f t="shared" si="272"/>
        <v>1.439E-3</v>
      </c>
      <c r="AY1439" s="27">
        <f t="shared" si="273"/>
        <v>1.439E-3</v>
      </c>
      <c r="AZ1439" s="27">
        <f t="shared" si="274"/>
        <v>1.439E-3</v>
      </c>
    </row>
    <row r="1440" spans="1:53" ht="15" customHeight="1" x14ac:dyDescent="0.25">
      <c r="E1440" s="26"/>
      <c r="F1440" s="35"/>
      <c r="I1440" s="35"/>
      <c r="J1440" s="30"/>
      <c r="K1440" s="30"/>
      <c r="L1440" s="36"/>
      <c r="M1440" s="30"/>
      <c r="N1440" s="33"/>
      <c r="O1440" s="36"/>
      <c r="P1440" s="29"/>
      <c r="Q1440" s="30"/>
      <c r="R1440" s="36"/>
      <c r="S1440" s="30"/>
      <c r="T1440" s="30"/>
      <c r="U1440" s="36"/>
      <c r="V1440" s="30"/>
      <c r="W1440" s="30"/>
      <c r="X1440" s="36"/>
      <c r="Y1440" s="30"/>
      <c r="Z1440" s="30"/>
      <c r="AA1440" s="36"/>
      <c r="AB1440" s="30"/>
      <c r="AC1440" s="30"/>
      <c r="AD1440" s="36"/>
      <c r="AE1440" s="30"/>
      <c r="AF1440" s="30"/>
      <c r="AG1440" s="36"/>
      <c r="AH1440" s="30"/>
      <c r="AI1440" s="30"/>
      <c r="AJ1440" s="25"/>
      <c r="AK1440" s="30"/>
      <c r="AL1440" s="30"/>
      <c r="AM1440" s="36"/>
      <c r="AN1440" s="30"/>
      <c r="AO1440" s="30"/>
      <c r="AP1440" s="36"/>
      <c r="AQ1440" s="30"/>
      <c r="AR1440" s="30"/>
      <c r="AS1440" s="36"/>
      <c r="AT1440" s="30"/>
      <c r="AU1440" s="30"/>
      <c r="AV1440" s="35"/>
      <c r="AW1440" s="27">
        <f t="shared" si="271"/>
        <v>1.4400000000000001E-3</v>
      </c>
      <c r="AX1440" s="27">
        <f t="shared" si="272"/>
        <v>1.4400000000000001E-3</v>
      </c>
      <c r="AY1440" s="27">
        <f t="shared" si="273"/>
        <v>1.4400000000000001E-3</v>
      </c>
      <c r="AZ1440" s="27">
        <f t="shared" si="274"/>
        <v>1.4400000000000001E-3</v>
      </c>
      <c r="BA1440" s="35"/>
    </row>
    <row r="1441" spans="10:47" ht="15" customHeight="1" x14ac:dyDescent="0.25">
      <c r="J1441" s="30"/>
      <c r="K1441" s="30"/>
      <c r="L1441" s="30"/>
      <c r="M1441" s="30"/>
      <c r="N1441" s="33"/>
      <c r="O1441" s="30"/>
      <c r="P1441" s="29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/>
      <c r="AD1441" s="30"/>
      <c r="AE1441" s="24"/>
      <c r="AF1441" s="30"/>
      <c r="AG1441" s="30"/>
      <c r="AH1441" s="30"/>
      <c r="AI1441" s="30"/>
      <c r="AJ1441" s="25"/>
      <c r="AK1441" s="30"/>
      <c r="AL1441" s="30"/>
      <c r="AM1441" s="30"/>
      <c r="AN1441" s="30"/>
      <c r="AO1441" s="30"/>
      <c r="AP1441" s="30"/>
      <c r="AQ1441" s="30"/>
      <c r="AR1441" s="30"/>
      <c r="AS1441" s="30"/>
      <c r="AT1441" s="30"/>
      <c r="AU1441" s="30"/>
    </row>
    <row r="1442" spans="10:47" ht="15" customHeight="1" x14ac:dyDescent="0.25">
      <c r="J1442" s="30"/>
      <c r="K1442" s="30"/>
      <c r="L1442" s="30"/>
      <c r="M1442" s="30"/>
      <c r="N1442" s="33"/>
      <c r="O1442" s="30"/>
      <c r="P1442" s="29"/>
      <c r="Q1442" s="29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  <c r="AD1442" s="30"/>
      <c r="AE1442" s="24"/>
      <c r="AF1442" s="30"/>
      <c r="AG1442" s="30"/>
      <c r="AH1442" s="30"/>
      <c r="AI1442" s="30"/>
      <c r="AJ1442" s="25"/>
      <c r="AK1442" s="30"/>
      <c r="AL1442" s="30"/>
      <c r="AM1442" s="30"/>
      <c r="AN1442" s="30"/>
      <c r="AO1442" s="30"/>
      <c r="AP1442" s="30"/>
      <c r="AQ1442" s="30"/>
      <c r="AR1442" s="30"/>
      <c r="AS1442" s="30"/>
      <c r="AT1442" s="30"/>
      <c r="AU1442" s="30"/>
    </row>
    <row r="1443" spans="10:47" ht="15" customHeight="1" x14ac:dyDescent="0.25">
      <c r="J1443" s="30"/>
      <c r="K1443" s="30"/>
      <c r="L1443" s="30"/>
      <c r="M1443" s="30"/>
      <c r="N1443" s="33"/>
      <c r="O1443" s="30"/>
      <c r="P1443" s="29"/>
      <c r="Q1443" s="29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  <c r="AD1443" s="30"/>
      <c r="AE1443" s="24"/>
      <c r="AF1443" s="30"/>
      <c r="AG1443" s="30"/>
      <c r="AH1443" s="30"/>
      <c r="AI1443" s="30"/>
      <c r="AJ1443" s="34"/>
      <c r="AK1443" s="30"/>
      <c r="AL1443" s="30"/>
      <c r="AM1443" s="30"/>
      <c r="AN1443" s="30"/>
      <c r="AO1443" s="30"/>
      <c r="AP1443" s="30"/>
      <c r="AQ1443" s="30"/>
      <c r="AR1443" s="30"/>
      <c r="AS1443" s="30"/>
      <c r="AT1443" s="30"/>
      <c r="AU1443" s="30"/>
    </row>
    <row r="1444" spans="10:47" ht="15" customHeight="1" x14ac:dyDescent="0.25">
      <c r="J1444" s="30"/>
      <c r="K1444" s="30"/>
      <c r="L1444" s="30"/>
      <c r="M1444" s="30"/>
      <c r="N1444" s="33"/>
      <c r="O1444" s="30"/>
      <c r="P1444" s="29"/>
      <c r="Q1444" s="29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  <c r="AD1444" s="30"/>
      <c r="AE1444" s="24"/>
      <c r="AF1444" s="30"/>
      <c r="AG1444" s="30"/>
      <c r="AH1444" s="30"/>
      <c r="AI1444" s="30"/>
      <c r="AJ1444" s="34"/>
      <c r="AK1444" s="30"/>
      <c r="AL1444" s="30"/>
      <c r="AM1444" s="30"/>
      <c r="AN1444" s="30"/>
      <c r="AO1444" s="30"/>
      <c r="AP1444" s="30"/>
      <c r="AQ1444" s="30"/>
      <c r="AR1444" s="30"/>
      <c r="AS1444" s="30"/>
      <c r="AT1444" s="30"/>
      <c r="AU1444" s="30"/>
    </row>
    <row r="1445" spans="10:47" ht="15" customHeight="1" x14ac:dyDescent="0.25">
      <c r="J1445" s="30"/>
      <c r="K1445" s="30"/>
      <c r="L1445" s="30"/>
      <c r="M1445" s="30"/>
      <c r="N1445" s="33"/>
      <c r="O1445" s="30"/>
      <c r="P1445" s="29"/>
      <c r="Q1445" s="29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  <c r="AJ1445" s="34"/>
      <c r="AK1445" s="30"/>
      <c r="AL1445" s="30"/>
      <c r="AM1445" s="30"/>
      <c r="AN1445" s="30"/>
      <c r="AO1445" s="30"/>
      <c r="AP1445" s="30"/>
      <c r="AQ1445" s="30"/>
      <c r="AR1445" s="30"/>
      <c r="AS1445" s="30"/>
      <c r="AT1445" s="30"/>
      <c r="AU1445" s="30"/>
    </row>
    <row r="1446" spans="10:47" ht="15" customHeight="1" x14ac:dyDescent="0.25">
      <c r="J1446" s="30"/>
      <c r="K1446" s="30"/>
      <c r="L1446" s="30"/>
      <c r="M1446" s="30"/>
      <c r="N1446" s="33"/>
      <c r="O1446" s="30"/>
      <c r="P1446" s="29"/>
      <c r="Q1446" s="29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  <c r="AJ1446" s="34"/>
      <c r="AK1446" s="30"/>
      <c r="AL1446" s="30"/>
      <c r="AM1446" s="30"/>
      <c r="AN1446" s="30"/>
      <c r="AO1446" s="30"/>
      <c r="AP1446" s="30"/>
      <c r="AQ1446" s="30"/>
      <c r="AR1446" s="30"/>
      <c r="AS1446" s="30"/>
      <c r="AT1446" s="30"/>
      <c r="AU1446" s="30"/>
    </row>
    <row r="1447" spans="10:47" ht="15" customHeight="1" x14ac:dyDescent="0.25">
      <c r="J1447" s="30"/>
      <c r="K1447" s="30"/>
      <c r="L1447" s="30"/>
      <c r="M1447" s="30"/>
      <c r="N1447" s="30"/>
      <c r="O1447" s="30"/>
      <c r="P1447" s="29"/>
      <c r="Q1447" s="29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  <c r="AJ1447" s="34"/>
      <c r="AK1447" s="30"/>
      <c r="AL1447" s="30"/>
      <c r="AM1447" s="30"/>
      <c r="AN1447" s="30"/>
      <c r="AO1447" s="30"/>
      <c r="AP1447" s="30"/>
      <c r="AQ1447" s="30"/>
      <c r="AR1447" s="30"/>
      <c r="AS1447" s="30"/>
      <c r="AT1447" s="30"/>
      <c r="AU1447" s="30"/>
    </row>
    <row r="1448" spans="10:47" ht="15" customHeight="1" x14ac:dyDescent="0.25">
      <c r="J1448" s="30"/>
      <c r="K1448" s="30"/>
      <c r="L1448" s="30"/>
      <c r="M1448" s="30"/>
      <c r="N1448" s="33"/>
      <c r="O1448" s="30"/>
      <c r="P1448" s="29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0"/>
      <c r="AJ1448" s="34"/>
      <c r="AK1448" s="30"/>
      <c r="AL1448" s="30"/>
      <c r="AM1448" s="30"/>
      <c r="AN1448" s="30"/>
      <c r="AO1448" s="30"/>
      <c r="AP1448" s="30"/>
      <c r="AQ1448" s="30"/>
      <c r="AR1448" s="30"/>
      <c r="AS1448" s="30"/>
      <c r="AT1448" s="30"/>
      <c r="AU1448" s="30"/>
    </row>
    <row r="1449" spans="10:47" ht="15" customHeight="1" x14ac:dyDescent="0.25">
      <c r="J1449" s="30"/>
      <c r="K1449" s="30"/>
      <c r="L1449" s="30"/>
      <c r="M1449" s="30"/>
      <c r="N1449" s="33"/>
      <c r="O1449" s="30"/>
      <c r="P1449" s="29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0"/>
      <c r="AJ1449" s="34"/>
      <c r="AK1449" s="30"/>
      <c r="AL1449" s="30"/>
      <c r="AM1449" s="30"/>
      <c r="AN1449" s="30"/>
      <c r="AO1449" s="30"/>
      <c r="AP1449" s="30"/>
      <c r="AQ1449" s="30"/>
      <c r="AR1449" s="30"/>
      <c r="AS1449" s="30"/>
      <c r="AT1449" s="30"/>
      <c r="AU1449" s="30"/>
    </row>
    <row r="1450" spans="10:47" ht="15" customHeight="1" x14ac:dyDescent="0.25">
      <c r="J1450" s="30"/>
      <c r="K1450" s="30"/>
      <c r="L1450" s="30"/>
      <c r="M1450" s="30"/>
      <c r="N1450" s="33"/>
      <c r="O1450" s="30"/>
      <c r="P1450" s="29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  <c r="AJ1450" s="34"/>
      <c r="AK1450" s="30"/>
      <c r="AL1450" s="30"/>
      <c r="AM1450" s="30"/>
      <c r="AN1450" s="30"/>
      <c r="AO1450" s="30"/>
      <c r="AP1450" s="30"/>
      <c r="AQ1450" s="30"/>
      <c r="AR1450" s="30"/>
      <c r="AS1450" s="30"/>
      <c r="AT1450" s="30"/>
      <c r="AU1450" s="30"/>
    </row>
    <row r="1451" spans="10:47" ht="15" customHeight="1" x14ac:dyDescent="0.25">
      <c r="J1451" s="30"/>
      <c r="K1451" s="30"/>
      <c r="L1451" s="30"/>
      <c r="M1451" s="30"/>
      <c r="N1451" s="33"/>
      <c r="O1451" s="30"/>
      <c r="P1451" s="29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  <c r="AJ1451" s="34"/>
      <c r="AK1451" s="30"/>
      <c r="AL1451" s="30"/>
      <c r="AM1451" s="30"/>
      <c r="AN1451" s="30"/>
      <c r="AO1451" s="30"/>
      <c r="AP1451" s="30"/>
      <c r="AQ1451" s="30"/>
      <c r="AR1451" s="30"/>
      <c r="AS1451" s="30"/>
      <c r="AT1451" s="30"/>
      <c r="AU1451" s="30"/>
    </row>
    <row r="1452" spans="10:47" ht="15" customHeight="1" x14ac:dyDescent="0.25">
      <c r="J1452" s="30"/>
      <c r="K1452" s="30"/>
      <c r="L1452" s="30"/>
      <c r="M1452" s="30"/>
      <c r="N1452" s="30"/>
      <c r="O1452" s="30"/>
      <c r="P1452" s="29"/>
      <c r="Q1452" s="29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  <c r="AJ1452" s="34"/>
      <c r="AK1452" s="30"/>
      <c r="AL1452" s="30"/>
      <c r="AM1452" s="30"/>
      <c r="AN1452" s="30"/>
      <c r="AO1452" s="30"/>
      <c r="AP1452" s="30"/>
      <c r="AQ1452" s="30"/>
      <c r="AR1452" s="30"/>
      <c r="AS1452" s="30"/>
      <c r="AT1452" s="30"/>
      <c r="AU1452" s="30"/>
    </row>
    <row r="1453" spans="10:47" ht="15" customHeight="1" x14ac:dyDescent="0.25">
      <c r="J1453" s="30"/>
      <c r="K1453" s="30"/>
      <c r="L1453" s="30"/>
      <c r="M1453" s="30"/>
      <c r="N1453" s="33"/>
      <c r="O1453" s="30"/>
      <c r="P1453" s="29"/>
      <c r="Q1453" s="29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0"/>
      <c r="AJ1453" s="34"/>
      <c r="AK1453" s="30"/>
      <c r="AL1453" s="30"/>
      <c r="AM1453" s="30"/>
      <c r="AN1453" s="30"/>
      <c r="AO1453" s="30"/>
      <c r="AP1453" s="30"/>
      <c r="AQ1453" s="30"/>
      <c r="AR1453" s="30"/>
      <c r="AS1453" s="30"/>
      <c r="AT1453" s="30"/>
      <c r="AU1453" s="30"/>
    </row>
    <row r="1454" spans="10:47" ht="15" customHeight="1" x14ac:dyDescent="0.25">
      <c r="J1454" s="30"/>
      <c r="K1454" s="30"/>
      <c r="L1454" s="30"/>
      <c r="M1454" s="30"/>
      <c r="N1454" s="33"/>
      <c r="O1454" s="30"/>
      <c r="P1454" s="29"/>
      <c r="Q1454" s="29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0"/>
      <c r="AJ1454" s="34"/>
      <c r="AK1454" s="30"/>
      <c r="AL1454" s="30"/>
      <c r="AM1454" s="30"/>
      <c r="AN1454" s="30"/>
      <c r="AO1454" s="30"/>
      <c r="AP1454" s="30"/>
      <c r="AQ1454" s="30"/>
      <c r="AR1454" s="30"/>
      <c r="AS1454" s="30"/>
      <c r="AT1454" s="30"/>
      <c r="AU1454" s="30"/>
    </row>
    <row r="1455" spans="10:47" ht="15" customHeight="1" x14ac:dyDescent="0.25">
      <c r="J1455" s="30"/>
      <c r="K1455" s="30"/>
      <c r="L1455" s="30"/>
      <c r="M1455" s="30"/>
      <c r="N1455" s="33"/>
      <c r="O1455" s="30"/>
      <c r="P1455" s="29"/>
      <c r="Q1455" s="29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  <c r="AJ1455" s="34"/>
      <c r="AK1455" s="30"/>
      <c r="AL1455" s="30"/>
      <c r="AM1455" s="30"/>
      <c r="AN1455" s="30"/>
      <c r="AO1455" s="30"/>
      <c r="AP1455" s="30"/>
      <c r="AQ1455" s="30"/>
      <c r="AR1455" s="30"/>
      <c r="AS1455" s="30"/>
      <c r="AT1455" s="30"/>
      <c r="AU1455" s="30"/>
    </row>
    <row r="1456" spans="10:47" ht="15" customHeight="1" x14ac:dyDescent="0.25">
      <c r="J1456" s="30"/>
      <c r="K1456" s="30"/>
      <c r="L1456" s="30"/>
      <c r="M1456" s="30"/>
      <c r="N1456" s="30"/>
      <c r="O1456" s="30"/>
      <c r="P1456" s="29"/>
      <c r="Q1456" s="29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  <c r="AJ1456" s="34"/>
      <c r="AK1456" s="30"/>
      <c r="AL1456" s="30"/>
      <c r="AM1456" s="30"/>
      <c r="AN1456" s="30"/>
      <c r="AO1456" s="30"/>
      <c r="AP1456" s="30"/>
      <c r="AQ1456" s="30"/>
      <c r="AR1456" s="30"/>
      <c r="AS1456" s="30"/>
      <c r="AT1456" s="30"/>
      <c r="AU1456" s="30"/>
    </row>
    <row r="1457" spans="10:47" ht="15" customHeight="1" x14ac:dyDescent="0.25">
      <c r="J1457" s="30"/>
      <c r="K1457" s="30"/>
      <c r="L1457" s="30"/>
      <c r="M1457" s="30"/>
      <c r="N1457" s="30"/>
      <c r="O1457" s="30"/>
      <c r="P1457" s="29"/>
      <c r="Q1457" s="29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c r="AJ1457" s="34"/>
      <c r="AK1457" s="30"/>
      <c r="AL1457" s="30"/>
      <c r="AM1457" s="30"/>
      <c r="AN1457" s="30"/>
      <c r="AO1457" s="30"/>
      <c r="AP1457" s="30"/>
      <c r="AQ1457" s="30"/>
      <c r="AR1457" s="30"/>
      <c r="AS1457" s="30"/>
      <c r="AT1457" s="30"/>
      <c r="AU1457" s="30"/>
    </row>
    <row r="1458" spans="10:47" ht="15" customHeight="1" x14ac:dyDescent="0.25">
      <c r="J1458" s="30"/>
      <c r="K1458" s="30"/>
      <c r="L1458" s="30"/>
      <c r="M1458" s="30"/>
      <c r="N1458" s="33"/>
      <c r="O1458" s="30"/>
      <c r="P1458" s="29"/>
      <c r="Q1458" s="29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  <c r="AJ1458" s="34"/>
      <c r="AK1458" s="30"/>
      <c r="AL1458" s="30"/>
      <c r="AM1458" s="30"/>
      <c r="AN1458" s="30"/>
      <c r="AO1458" s="30"/>
      <c r="AP1458" s="30"/>
      <c r="AQ1458" s="30"/>
      <c r="AR1458" s="30"/>
      <c r="AS1458" s="30"/>
      <c r="AT1458" s="30"/>
      <c r="AU1458" s="30"/>
    </row>
    <row r="1459" spans="10:47" ht="15" customHeight="1" x14ac:dyDescent="0.25">
      <c r="J1459" s="30"/>
      <c r="K1459" s="30"/>
      <c r="L1459" s="30"/>
      <c r="M1459" s="30"/>
      <c r="N1459" s="33"/>
      <c r="O1459" s="30"/>
      <c r="P1459" s="29"/>
      <c r="Q1459" s="29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0"/>
      <c r="AJ1459" s="34"/>
      <c r="AK1459" s="30"/>
      <c r="AL1459" s="30"/>
      <c r="AM1459" s="30"/>
      <c r="AN1459" s="30"/>
      <c r="AO1459" s="30"/>
      <c r="AP1459" s="30"/>
      <c r="AQ1459" s="30"/>
      <c r="AR1459" s="30"/>
      <c r="AS1459" s="30"/>
      <c r="AT1459" s="30"/>
      <c r="AU1459" s="30"/>
    </row>
    <row r="1460" spans="10:47" ht="15" customHeight="1" x14ac:dyDescent="0.25">
      <c r="J1460" s="30"/>
      <c r="K1460" s="30"/>
      <c r="L1460" s="30"/>
      <c r="M1460" s="30"/>
      <c r="N1460" s="30"/>
      <c r="O1460" s="30"/>
      <c r="P1460" s="29"/>
      <c r="Q1460" s="29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0"/>
      <c r="AJ1460" s="34"/>
      <c r="AK1460" s="30"/>
      <c r="AL1460" s="30"/>
      <c r="AM1460" s="30"/>
      <c r="AN1460" s="30"/>
      <c r="AO1460" s="30"/>
      <c r="AP1460" s="30"/>
      <c r="AQ1460" s="30"/>
      <c r="AR1460" s="30"/>
      <c r="AS1460" s="30"/>
      <c r="AT1460" s="30"/>
      <c r="AU1460" s="30"/>
    </row>
    <row r="1461" spans="10:47" ht="15" customHeight="1" x14ac:dyDescent="0.25">
      <c r="J1461" s="30"/>
      <c r="K1461" s="30"/>
      <c r="L1461" s="30"/>
      <c r="M1461" s="30"/>
      <c r="N1461" s="33"/>
      <c r="O1461" s="30"/>
      <c r="P1461" s="29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  <c r="AJ1461" s="34"/>
      <c r="AK1461" s="30"/>
      <c r="AL1461" s="30"/>
      <c r="AM1461" s="30"/>
      <c r="AN1461" s="30"/>
      <c r="AO1461" s="30"/>
      <c r="AP1461" s="30"/>
      <c r="AQ1461" s="30"/>
      <c r="AR1461" s="30"/>
      <c r="AS1461" s="30"/>
      <c r="AT1461" s="30"/>
      <c r="AU1461" s="30"/>
    </row>
    <row r="1462" spans="10:47" ht="15" customHeight="1" x14ac:dyDescent="0.25">
      <c r="J1462" s="30"/>
      <c r="K1462" s="30"/>
      <c r="L1462" s="30"/>
      <c r="M1462" s="30"/>
      <c r="N1462" s="30"/>
      <c r="O1462" s="30"/>
      <c r="P1462" s="29"/>
      <c r="Q1462" s="29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  <c r="AJ1462" s="34"/>
      <c r="AK1462" s="30"/>
      <c r="AL1462" s="30"/>
      <c r="AM1462" s="30"/>
      <c r="AN1462" s="30"/>
      <c r="AO1462" s="30"/>
      <c r="AP1462" s="30"/>
      <c r="AQ1462" s="30"/>
      <c r="AR1462" s="30"/>
      <c r="AS1462" s="30"/>
      <c r="AT1462" s="30"/>
      <c r="AU1462" s="30"/>
    </row>
    <row r="1463" spans="10:47" ht="15" customHeight="1" x14ac:dyDescent="0.25">
      <c r="J1463" s="30"/>
      <c r="K1463" s="30"/>
      <c r="L1463" s="30"/>
      <c r="M1463" s="30"/>
      <c r="N1463" s="33"/>
      <c r="O1463" s="30"/>
      <c r="P1463" s="29"/>
      <c r="Q1463" s="29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  <c r="AJ1463" s="34"/>
      <c r="AK1463" s="30"/>
      <c r="AL1463" s="30"/>
      <c r="AM1463" s="30"/>
      <c r="AN1463" s="30"/>
      <c r="AO1463" s="30"/>
      <c r="AP1463" s="30"/>
      <c r="AQ1463" s="30"/>
      <c r="AR1463" s="30"/>
      <c r="AS1463" s="30"/>
      <c r="AT1463" s="30"/>
      <c r="AU1463" s="30"/>
    </row>
    <row r="1464" spans="10:47" ht="15" customHeight="1" x14ac:dyDescent="0.25">
      <c r="J1464" s="30"/>
      <c r="K1464" s="30"/>
      <c r="L1464" s="30"/>
      <c r="M1464" s="30"/>
      <c r="N1464" s="33"/>
      <c r="O1464" s="30"/>
      <c r="P1464" s="29"/>
      <c r="Q1464" s="29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  <c r="AJ1464" s="34"/>
      <c r="AK1464" s="30"/>
      <c r="AL1464" s="30"/>
      <c r="AM1464" s="30"/>
      <c r="AN1464" s="30"/>
      <c r="AO1464" s="30"/>
      <c r="AP1464" s="30"/>
      <c r="AQ1464" s="30"/>
      <c r="AR1464" s="30"/>
      <c r="AS1464" s="30"/>
      <c r="AT1464" s="30"/>
      <c r="AU1464" s="30"/>
    </row>
    <row r="1465" spans="10:47" ht="15" customHeight="1" x14ac:dyDescent="0.25">
      <c r="J1465" s="30"/>
      <c r="K1465" s="30"/>
      <c r="L1465" s="30"/>
      <c r="M1465" s="30"/>
      <c r="N1465" s="33"/>
      <c r="O1465" s="30"/>
      <c r="P1465" s="29"/>
      <c r="Q1465" s="29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0"/>
      <c r="AJ1465" s="34"/>
      <c r="AK1465" s="30"/>
      <c r="AL1465" s="30"/>
      <c r="AM1465" s="30"/>
      <c r="AN1465" s="30"/>
      <c r="AO1465" s="30"/>
      <c r="AP1465" s="30"/>
      <c r="AQ1465" s="30"/>
      <c r="AR1465" s="30"/>
      <c r="AS1465" s="30"/>
      <c r="AT1465" s="30"/>
      <c r="AU1465" s="30"/>
    </row>
    <row r="1466" spans="10:47" ht="15" customHeight="1" x14ac:dyDescent="0.25">
      <c r="J1466" s="30"/>
      <c r="K1466" s="30"/>
      <c r="L1466" s="30"/>
      <c r="M1466" s="30"/>
      <c r="N1466" s="33"/>
      <c r="O1466" s="30"/>
      <c r="P1466" s="29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  <c r="AJ1466" s="34"/>
      <c r="AK1466" s="30"/>
      <c r="AL1466" s="30"/>
      <c r="AM1466" s="30"/>
      <c r="AN1466" s="30"/>
      <c r="AO1466" s="30"/>
      <c r="AP1466" s="30"/>
      <c r="AQ1466" s="30"/>
      <c r="AR1466" s="30"/>
      <c r="AS1466" s="30"/>
      <c r="AT1466" s="30"/>
      <c r="AU1466" s="30"/>
    </row>
    <row r="1467" spans="10:47" ht="15" customHeight="1" x14ac:dyDescent="0.25">
      <c r="J1467" s="30"/>
      <c r="K1467" s="30"/>
      <c r="L1467" s="30"/>
      <c r="M1467" s="30"/>
      <c r="N1467" s="33"/>
      <c r="O1467" s="30"/>
      <c r="P1467" s="29"/>
      <c r="Q1467" s="29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  <c r="AJ1467" s="34"/>
      <c r="AK1467" s="30"/>
      <c r="AL1467" s="30"/>
      <c r="AM1467" s="30"/>
      <c r="AN1467" s="30"/>
      <c r="AO1467" s="30"/>
      <c r="AP1467" s="30"/>
      <c r="AQ1467" s="30"/>
      <c r="AR1467" s="30"/>
      <c r="AS1467" s="30"/>
      <c r="AT1467" s="30"/>
      <c r="AU1467" s="30"/>
    </row>
    <row r="1468" spans="10:47" ht="15" customHeight="1" x14ac:dyDescent="0.25">
      <c r="J1468" s="30"/>
      <c r="K1468" s="30"/>
      <c r="L1468" s="30"/>
      <c r="M1468" s="30"/>
      <c r="N1468" s="33"/>
      <c r="O1468" s="30"/>
      <c r="P1468" s="29"/>
      <c r="Q1468" s="29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  <c r="AJ1468" s="34"/>
      <c r="AK1468" s="30"/>
      <c r="AL1468" s="30"/>
      <c r="AM1468" s="30"/>
      <c r="AN1468" s="30"/>
      <c r="AO1468" s="30"/>
      <c r="AP1468" s="30"/>
      <c r="AQ1468" s="30"/>
      <c r="AR1468" s="30"/>
      <c r="AS1468" s="30"/>
      <c r="AT1468" s="30"/>
      <c r="AU1468" s="30"/>
    </row>
    <row r="1469" spans="10:47" ht="15" customHeight="1" x14ac:dyDescent="0.25">
      <c r="J1469" s="30"/>
      <c r="K1469" s="30"/>
      <c r="L1469" s="30"/>
      <c r="M1469" s="30"/>
      <c r="N1469" s="33"/>
      <c r="O1469" s="30"/>
      <c r="P1469" s="29"/>
      <c r="Q1469" s="29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c r="AJ1469" s="34"/>
      <c r="AK1469" s="30"/>
      <c r="AL1469" s="30"/>
      <c r="AM1469" s="30"/>
      <c r="AN1469" s="30"/>
      <c r="AO1469" s="30"/>
      <c r="AP1469" s="30"/>
      <c r="AQ1469" s="30"/>
      <c r="AR1469" s="30"/>
      <c r="AS1469" s="30"/>
      <c r="AT1469" s="30"/>
      <c r="AU1469" s="30"/>
    </row>
    <row r="1470" spans="10:47" ht="15" customHeight="1" x14ac:dyDescent="0.25">
      <c r="J1470" s="30"/>
      <c r="K1470" s="30"/>
      <c r="L1470" s="30"/>
      <c r="M1470" s="30"/>
      <c r="N1470" s="33"/>
      <c r="O1470" s="30"/>
      <c r="P1470" s="29"/>
      <c r="Q1470" s="29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  <c r="AJ1470" s="34"/>
      <c r="AK1470" s="30"/>
      <c r="AL1470" s="30"/>
      <c r="AM1470" s="30"/>
      <c r="AN1470" s="30"/>
      <c r="AO1470" s="30"/>
      <c r="AP1470" s="30"/>
      <c r="AQ1470" s="30"/>
      <c r="AR1470" s="30"/>
      <c r="AS1470" s="30"/>
      <c r="AT1470" s="30"/>
      <c r="AU1470" s="30"/>
    </row>
    <row r="1471" spans="10:47" ht="15" customHeight="1" x14ac:dyDescent="0.25">
      <c r="J1471" s="30"/>
      <c r="K1471" s="30"/>
      <c r="L1471" s="30"/>
      <c r="M1471" s="30"/>
      <c r="N1471" s="33"/>
      <c r="O1471" s="30"/>
      <c r="P1471" s="29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0"/>
      <c r="AJ1471" s="34"/>
      <c r="AK1471" s="30"/>
      <c r="AL1471" s="30"/>
      <c r="AM1471" s="30"/>
      <c r="AN1471" s="30"/>
      <c r="AO1471" s="30"/>
      <c r="AP1471" s="30"/>
      <c r="AQ1471" s="30"/>
      <c r="AR1471" s="30"/>
      <c r="AS1471" s="30"/>
      <c r="AT1471" s="30"/>
      <c r="AU1471" s="30"/>
    </row>
    <row r="1472" spans="10:47" ht="15" customHeight="1" x14ac:dyDescent="0.25">
      <c r="J1472" s="30"/>
      <c r="K1472" s="30"/>
      <c r="L1472" s="30"/>
      <c r="M1472" s="30"/>
      <c r="N1472" s="33"/>
      <c r="O1472" s="30"/>
      <c r="P1472" s="29"/>
      <c r="Q1472" s="29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  <c r="AJ1472" s="34"/>
      <c r="AK1472" s="30"/>
      <c r="AL1472" s="30"/>
      <c r="AM1472" s="30"/>
      <c r="AN1472" s="30"/>
      <c r="AO1472" s="30"/>
      <c r="AP1472" s="30"/>
      <c r="AQ1472" s="30"/>
      <c r="AR1472" s="30"/>
      <c r="AS1472" s="30"/>
      <c r="AT1472" s="30"/>
      <c r="AU1472" s="30"/>
    </row>
    <row r="1473" spans="10:47" ht="15" customHeight="1" x14ac:dyDescent="0.25">
      <c r="J1473" s="30"/>
      <c r="K1473" s="30"/>
      <c r="L1473" s="30"/>
      <c r="M1473" s="30"/>
      <c r="N1473" s="33"/>
      <c r="O1473" s="30"/>
      <c r="P1473" s="29"/>
      <c r="Q1473" s="29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c r="AJ1473" s="34"/>
      <c r="AK1473" s="30"/>
      <c r="AL1473" s="30"/>
      <c r="AM1473" s="30"/>
      <c r="AN1473" s="30"/>
      <c r="AO1473" s="30"/>
      <c r="AP1473" s="30"/>
      <c r="AQ1473" s="30"/>
      <c r="AR1473" s="30"/>
      <c r="AS1473" s="30"/>
      <c r="AT1473" s="30"/>
      <c r="AU1473" s="30"/>
    </row>
    <row r="1474" spans="10:47" ht="15" customHeight="1" x14ac:dyDescent="0.25">
      <c r="J1474" s="30"/>
      <c r="K1474" s="30"/>
      <c r="L1474" s="30"/>
      <c r="M1474" s="30"/>
      <c r="N1474" s="33"/>
      <c r="O1474" s="30"/>
      <c r="P1474" s="29"/>
      <c r="Q1474" s="29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c r="AJ1474" s="34"/>
      <c r="AK1474" s="30"/>
      <c r="AL1474" s="30"/>
      <c r="AM1474" s="30"/>
      <c r="AN1474" s="30"/>
      <c r="AO1474" s="30"/>
      <c r="AP1474" s="30"/>
      <c r="AQ1474" s="30"/>
      <c r="AR1474" s="30"/>
      <c r="AS1474" s="30"/>
      <c r="AT1474" s="30"/>
      <c r="AU1474" s="30"/>
    </row>
    <row r="1475" spans="10:47" ht="15" customHeight="1" x14ac:dyDescent="0.25">
      <c r="J1475" s="30"/>
      <c r="K1475" s="30"/>
      <c r="L1475" s="30"/>
      <c r="M1475" s="30"/>
      <c r="N1475" s="33"/>
      <c r="O1475" s="30"/>
      <c r="P1475" s="29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  <c r="AJ1475" s="34"/>
      <c r="AK1475" s="30"/>
      <c r="AL1475" s="30"/>
      <c r="AM1475" s="30"/>
      <c r="AN1475" s="30"/>
      <c r="AO1475" s="30"/>
      <c r="AP1475" s="30"/>
      <c r="AQ1475" s="30"/>
      <c r="AR1475" s="30"/>
      <c r="AS1475" s="30"/>
      <c r="AT1475" s="30"/>
      <c r="AU1475" s="30"/>
    </row>
    <row r="1476" spans="10:47" ht="15" customHeight="1" x14ac:dyDescent="0.25">
      <c r="J1476" s="30"/>
      <c r="K1476" s="30"/>
      <c r="L1476" s="30"/>
      <c r="M1476" s="30"/>
      <c r="N1476" s="30"/>
      <c r="O1476" s="30"/>
      <c r="P1476" s="29"/>
      <c r="Q1476" s="29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  <c r="AJ1476" s="34"/>
      <c r="AK1476" s="30"/>
      <c r="AL1476" s="30"/>
      <c r="AM1476" s="30"/>
      <c r="AN1476" s="30"/>
      <c r="AO1476" s="30"/>
      <c r="AP1476" s="30"/>
      <c r="AQ1476" s="30"/>
      <c r="AR1476" s="30"/>
      <c r="AS1476" s="30"/>
      <c r="AT1476" s="30"/>
      <c r="AU1476" s="30"/>
    </row>
    <row r="1477" spans="10:47" ht="15" customHeight="1" x14ac:dyDescent="0.25">
      <c r="J1477" s="30"/>
      <c r="K1477" s="30"/>
      <c r="L1477" s="30"/>
      <c r="M1477" s="30"/>
      <c r="N1477" s="33"/>
      <c r="O1477" s="30"/>
      <c r="P1477" s="29"/>
      <c r="Q1477" s="29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c r="AJ1477" s="34"/>
      <c r="AK1477" s="30"/>
      <c r="AL1477" s="30"/>
      <c r="AM1477" s="30"/>
      <c r="AN1477" s="30"/>
      <c r="AO1477" s="30"/>
      <c r="AP1477" s="30"/>
      <c r="AQ1477" s="30"/>
      <c r="AR1477" s="30"/>
      <c r="AS1477" s="30"/>
      <c r="AT1477" s="30"/>
      <c r="AU1477" s="30"/>
    </row>
    <row r="1478" spans="10:47" ht="15" customHeight="1" x14ac:dyDescent="0.25">
      <c r="J1478" s="30"/>
      <c r="K1478" s="30"/>
      <c r="L1478" s="30"/>
      <c r="M1478" s="30"/>
      <c r="N1478" s="33"/>
      <c r="O1478" s="30"/>
      <c r="P1478" s="29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c r="AJ1478" s="34"/>
      <c r="AK1478" s="30"/>
      <c r="AL1478" s="30"/>
      <c r="AM1478" s="30"/>
      <c r="AN1478" s="30"/>
      <c r="AO1478" s="30"/>
      <c r="AP1478" s="30"/>
      <c r="AQ1478" s="30"/>
      <c r="AR1478" s="30"/>
      <c r="AS1478" s="30"/>
      <c r="AT1478" s="30"/>
      <c r="AU1478" s="30"/>
    </row>
    <row r="1479" spans="10:47" ht="15" customHeight="1" x14ac:dyDescent="0.25">
      <c r="J1479" s="30"/>
      <c r="K1479" s="30"/>
      <c r="L1479" s="30"/>
      <c r="M1479" s="30"/>
      <c r="N1479" s="33"/>
      <c r="O1479" s="30"/>
      <c r="P1479" s="29"/>
      <c r="Q1479" s="29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c r="AJ1479" s="34"/>
      <c r="AK1479" s="30"/>
      <c r="AL1479" s="30"/>
      <c r="AM1479" s="30"/>
      <c r="AN1479" s="30"/>
      <c r="AO1479" s="30"/>
      <c r="AP1479" s="30"/>
      <c r="AQ1479" s="30"/>
      <c r="AR1479" s="30"/>
      <c r="AS1479" s="30"/>
      <c r="AT1479" s="30"/>
      <c r="AU1479" s="30"/>
    </row>
    <row r="1480" spans="10:47" ht="15" customHeight="1" x14ac:dyDescent="0.25">
      <c r="J1480" s="30"/>
      <c r="K1480" s="30"/>
      <c r="L1480" s="30"/>
      <c r="M1480" s="30"/>
      <c r="N1480" s="33"/>
      <c r="O1480" s="30"/>
      <c r="P1480" s="29"/>
      <c r="Q1480" s="29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0"/>
      <c r="AJ1480" s="34"/>
      <c r="AK1480" s="30"/>
      <c r="AL1480" s="30"/>
      <c r="AM1480" s="30"/>
      <c r="AN1480" s="30"/>
      <c r="AO1480" s="30"/>
      <c r="AP1480" s="30"/>
      <c r="AQ1480" s="30"/>
      <c r="AR1480" s="30"/>
      <c r="AS1480" s="30"/>
      <c r="AT1480" s="30"/>
      <c r="AU1480" s="30"/>
    </row>
    <row r="1481" spans="10:47" ht="15" customHeight="1" x14ac:dyDescent="0.25">
      <c r="J1481" s="30"/>
      <c r="K1481" s="30"/>
      <c r="L1481" s="30"/>
      <c r="M1481" s="30"/>
      <c r="N1481" s="33"/>
      <c r="O1481" s="30"/>
      <c r="P1481" s="29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0"/>
      <c r="AJ1481" s="34"/>
      <c r="AK1481" s="30"/>
      <c r="AL1481" s="30"/>
      <c r="AM1481" s="30"/>
      <c r="AN1481" s="30"/>
      <c r="AO1481" s="30"/>
      <c r="AP1481" s="30"/>
      <c r="AQ1481" s="30"/>
      <c r="AR1481" s="30"/>
      <c r="AS1481" s="30"/>
      <c r="AT1481" s="30"/>
      <c r="AU1481" s="30"/>
    </row>
    <row r="1482" spans="10:47" ht="15" customHeight="1" x14ac:dyDescent="0.25">
      <c r="J1482" s="30"/>
      <c r="K1482" s="30"/>
      <c r="L1482" s="30"/>
      <c r="M1482" s="30"/>
      <c r="N1482" s="30"/>
      <c r="O1482" s="30"/>
      <c r="P1482" s="29"/>
      <c r="Q1482" s="29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  <c r="AJ1482" s="34"/>
      <c r="AK1482" s="30"/>
      <c r="AL1482" s="30"/>
      <c r="AM1482" s="30"/>
      <c r="AN1482" s="30"/>
      <c r="AO1482" s="30"/>
      <c r="AP1482" s="30"/>
      <c r="AQ1482" s="30"/>
      <c r="AR1482" s="30"/>
      <c r="AS1482" s="30"/>
      <c r="AT1482" s="30"/>
      <c r="AU1482" s="30"/>
    </row>
    <row r="1483" spans="10:47" ht="15" customHeight="1" x14ac:dyDescent="0.25">
      <c r="J1483" s="30"/>
      <c r="K1483" s="30"/>
      <c r="L1483" s="30"/>
      <c r="M1483" s="30"/>
      <c r="N1483" s="30"/>
      <c r="O1483" s="30"/>
      <c r="P1483" s="29"/>
      <c r="Q1483" s="29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  <c r="AJ1483" s="34"/>
      <c r="AK1483" s="30"/>
      <c r="AL1483" s="30"/>
      <c r="AM1483" s="30"/>
      <c r="AN1483" s="30"/>
      <c r="AO1483" s="30"/>
      <c r="AP1483" s="30"/>
      <c r="AQ1483" s="30"/>
      <c r="AR1483" s="30"/>
      <c r="AS1483" s="30"/>
      <c r="AT1483" s="30"/>
      <c r="AU1483" s="30"/>
    </row>
    <row r="1484" spans="10:47" ht="15" customHeight="1" x14ac:dyDescent="0.25">
      <c r="J1484" s="30"/>
      <c r="K1484" s="30"/>
      <c r="L1484" s="30"/>
      <c r="M1484" s="30"/>
      <c r="N1484" s="33"/>
      <c r="O1484" s="30"/>
      <c r="P1484" s="29"/>
      <c r="Q1484" s="29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  <c r="AJ1484" s="34"/>
      <c r="AK1484" s="30"/>
      <c r="AL1484" s="30"/>
      <c r="AM1484" s="30"/>
      <c r="AN1484" s="30"/>
      <c r="AO1484" s="30"/>
      <c r="AP1484" s="30"/>
      <c r="AQ1484" s="30"/>
      <c r="AR1484" s="30"/>
      <c r="AS1484" s="30"/>
      <c r="AT1484" s="30"/>
      <c r="AU1484" s="30"/>
    </row>
    <row r="1485" spans="10:47" ht="15" customHeight="1" x14ac:dyDescent="0.25">
      <c r="J1485" s="30"/>
      <c r="K1485" s="30"/>
      <c r="L1485" s="30"/>
      <c r="M1485" s="30"/>
      <c r="N1485" s="33"/>
      <c r="O1485" s="30"/>
      <c r="P1485" s="29"/>
      <c r="Q1485" s="29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  <c r="AJ1485" s="34"/>
      <c r="AK1485" s="30"/>
      <c r="AL1485" s="30"/>
      <c r="AM1485" s="30"/>
      <c r="AN1485" s="30"/>
      <c r="AO1485" s="30"/>
      <c r="AP1485" s="30"/>
      <c r="AQ1485" s="30"/>
      <c r="AR1485" s="30"/>
      <c r="AS1485" s="30"/>
      <c r="AT1485" s="30"/>
      <c r="AU1485" s="30"/>
    </row>
    <row r="1486" spans="10:47" ht="15" customHeight="1" x14ac:dyDescent="0.25">
      <c r="J1486" s="30"/>
      <c r="K1486" s="30"/>
      <c r="L1486" s="30"/>
      <c r="M1486" s="30"/>
      <c r="N1486" s="33"/>
      <c r="O1486" s="30"/>
      <c r="P1486" s="29"/>
      <c r="Q1486" s="29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  <c r="AJ1486" s="34"/>
      <c r="AK1486" s="30"/>
      <c r="AL1486" s="30"/>
      <c r="AM1486" s="30"/>
      <c r="AN1486" s="30"/>
      <c r="AO1486" s="30"/>
      <c r="AP1486" s="30"/>
      <c r="AQ1486" s="30"/>
      <c r="AR1486" s="30"/>
      <c r="AS1486" s="30"/>
      <c r="AT1486" s="30"/>
      <c r="AU1486" s="30"/>
    </row>
    <row r="1487" spans="10:47" ht="15" customHeight="1" x14ac:dyDescent="0.25">
      <c r="J1487" s="30"/>
      <c r="K1487" s="30"/>
      <c r="L1487" s="30"/>
      <c r="M1487" s="30"/>
      <c r="N1487" s="30"/>
      <c r="O1487" s="30"/>
      <c r="P1487" s="29"/>
      <c r="Q1487" s="29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0"/>
      <c r="AJ1487" s="34"/>
      <c r="AK1487" s="30"/>
      <c r="AL1487" s="30"/>
      <c r="AM1487" s="30"/>
      <c r="AN1487" s="30"/>
      <c r="AO1487" s="30"/>
      <c r="AP1487" s="30"/>
      <c r="AQ1487" s="30"/>
      <c r="AR1487" s="30"/>
      <c r="AS1487" s="30"/>
      <c r="AT1487" s="30"/>
      <c r="AU1487" s="30"/>
    </row>
    <row r="1488" spans="10:47" ht="15" customHeight="1" x14ac:dyDescent="0.25">
      <c r="J1488" s="30"/>
      <c r="K1488" s="30"/>
      <c r="L1488" s="30"/>
      <c r="M1488" s="30"/>
      <c r="N1488" s="30"/>
      <c r="O1488" s="30"/>
      <c r="P1488" s="29"/>
      <c r="Q1488" s="29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0"/>
      <c r="AJ1488" s="34"/>
      <c r="AK1488" s="30"/>
      <c r="AL1488" s="30"/>
      <c r="AM1488" s="30"/>
      <c r="AN1488" s="30"/>
      <c r="AO1488" s="30"/>
      <c r="AP1488" s="30"/>
      <c r="AQ1488" s="30"/>
      <c r="AR1488" s="30"/>
      <c r="AS1488" s="30"/>
      <c r="AT1488" s="30"/>
      <c r="AU1488" s="30"/>
    </row>
    <row r="1489" spans="10:47" ht="15" customHeight="1" x14ac:dyDescent="0.25">
      <c r="J1489" s="30"/>
      <c r="K1489" s="30"/>
      <c r="L1489" s="30"/>
      <c r="M1489" s="30"/>
      <c r="N1489" s="33"/>
      <c r="O1489" s="30"/>
      <c r="P1489" s="29"/>
      <c r="Q1489" s="29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  <c r="AJ1489" s="34"/>
      <c r="AK1489" s="30"/>
      <c r="AL1489" s="30"/>
      <c r="AM1489" s="30"/>
      <c r="AN1489" s="30"/>
      <c r="AO1489" s="30"/>
      <c r="AP1489" s="30"/>
      <c r="AQ1489" s="30"/>
      <c r="AR1489" s="30"/>
      <c r="AS1489" s="30"/>
      <c r="AT1489" s="30"/>
      <c r="AU1489" s="30"/>
    </row>
    <row r="1490" spans="10:47" ht="15" customHeight="1" x14ac:dyDescent="0.25">
      <c r="J1490" s="30"/>
      <c r="K1490" s="30"/>
      <c r="L1490" s="30"/>
      <c r="M1490" s="30"/>
      <c r="N1490" s="33"/>
      <c r="O1490" s="30"/>
      <c r="P1490" s="29"/>
      <c r="Q1490" s="29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  <c r="AJ1490" s="34"/>
      <c r="AK1490" s="30"/>
      <c r="AL1490" s="30"/>
      <c r="AM1490" s="30"/>
      <c r="AN1490" s="30"/>
      <c r="AO1490" s="30"/>
      <c r="AP1490" s="30"/>
      <c r="AQ1490" s="30"/>
      <c r="AR1490" s="30"/>
      <c r="AS1490" s="30"/>
      <c r="AT1490" s="30"/>
      <c r="AU1490" s="30"/>
    </row>
    <row r="1491" spans="10:47" ht="15" customHeight="1" x14ac:dyDescent="0.25">
      <c r="J1491" s="30"/>
      <c r="K1491" s="30"/>
      <c r="L1491" s="30"/>
      <c r="M1491" s="30"/>
      <c r="N1491" s="33"/>
      <c r="O1491" s="30"/>
      <c r="P1491" s="29"/>
      <c r="Q1491" s="29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  <c r="AJ1491" s="34"/>
      <c r="AK1491" s="30"/>
      <c r="AL1491" s="30"/>
      <c r="AM1491" s="30"/>
      <c r="AN1491" s="30"/>
      <c r="AO1491" s="30"/>
      <c r="AP1491" s="30"/>
      <c r="AQ1491" s="30"/>
      <c r="AR1491" s="30"/>
      <c r="AS1491" s="30"/>
      <c r="AT1491" s="30"/>
      <c r="AU1491" s="30"/>
    </row>
    <row r="1492" spans="10:47" ht="15" customHeight="1" x14ac:dyDescent="0.25">
      <c r="J1492" s="30"/>
      <c r="K1492" s="30"/>
      <c r="L1492" s="30"/>
      <c r="M1492" s="30"/>
      <c r="N1492" s="33"/>
      <c r="O1492" s="30"/>
      <c r="P1492" s="29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  <c r="AJ1492" s="34"/>
      <c r="AK1492" s="30"/>
      <c r="AL1492" s="30"/>
      <c r="AM1492" s="30"/>
      <c r="AN1492" s="30"/>
      <c r="AO1492" s="30"/>
      <c r="AP1492" s="30"/>
      <c r="AQ1492" s="30"/>
      <c r="AR1492" s="30"/>
      <c r="AS1492" s="30"/>
      <c r="AT1492" s="30"/>
      <c r="AU1492" s="30"/>
    </row>
    <row r="1493" spans="10:47" ht="15" customHeight="1" x14ac:dyDescent="0.25">
      <c r="J1493" s="30"/>
      <c r="K1493" s="30"/>
      <c r="L1493" s="30"/>
      <c r="M1493" s="30"/>
      <c r="N1493" s="30"/>
      <c r="O1493" s="30"/>
      <c r="P1493" s="29"/>
      <c r="Q1493" s="29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  <c r="AJ1493" s="34"/>
      <c r="AK1493" s="30"/>
      <c r="AL1493" s="30"/>
      <c r="AM1493" s="30"/>
      <c r="AN1493" s="30"/>
      <c r="AO1493" s="30"/>
      <c r="AP1493" s="30"/>
      <c r="AQ1493" s="30"/>
      <c r="AR1493" s="30"/>
      <c r="AS1493" s="30"/>
      <c r="AT1493" s="30"/>
      <c r="AU1493" s="30"/>
    </row>
    <row r="1494" spans="10:47" ht="15" customHeight="1" x14ac:dyDescent="0.25">
      <c r="J1494" s="30"/>
      <c r="K1494" s="30"/>
      <c r="L1494" s="30"/>
      <c r="M1494" s="30"/>
      <c r="N1494" s="33"/>
      <c r="O1494" s="30"/>
      <c r="P1494" s="29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0"/>
      <c r="AJ1494" s="34"/>
      <c r="AK1494" s="30"/>
      <c r="AL1494" s="30"/>
      <c r="AM1494" s="30"/>
      <c r="AN1494" s="30"/>
      <c r="AO1494" s="30"/>
      <c r="AP1494" s="30"/>
      <c r="AQ1494" s="30"/>
      <c r="AR1494" s="30"/>
      <c r="AS1494" s="30"/>
      <c r="AT1494" s="30"/>
      <c r="AU1494" s="30"/>
    </row>
    <row r="1495" spans="10:47" ht="15" customHeight="1" x14ac:dyDescent="0.25">
      <c r="J1495" s="30"/>
      <c r="K1495" s="30"/>
      <c r="L1495" s="30"/>
      <c r="M1495" s="30"/>
      <c r="N1495" s="33"/>
      <c r="O1495" s="30"/>
      <c r="P1495" s="29"/>
      <c r="Q1495" s="29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0"/>
      <c r="AJ1495" s="34"/>
      <c r="AK1495" s="30"/>
      <c r="AL1495" s="30"/>
      <c r="AM1495" s="30"/>
      <c r="AN1495" s="30"/>
      <c r="AO1495" s="30"/>
      <c r="AP1495" s="30"/>
      <c r="AQ1495" s="30"/>
      <c r="AR1495" s="30"/>
      <c r="AS1495" s="30"/>
      <c r="AT1495" s="30"/>
      <c r="AU1495" s="30"/>
    </row>
    <row r="1496" spans="10:47" ht="15" customHeight="1" x14ac:dyDescent="0.25">
      <c r="J1496" s="30"/>
      <c r="K1496" s="30"/>
      <c r="L1496" s="30"/>
      <c r="M1496" s="30"/>
      <c r="N1496" s="33"/>
      <c r="O1496" s="30"/>
      <c r="P1496" s="29"/>
      <c r="Q1496" s="29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  <c r="AJ1496" s="34"/>
      <c r="AK1496" s="30"/>
      <c r="AL1496" s="30"/>
      <c r="AM1496" s="30"/>
      <c r="AN1496" s="30"/>
      <c r="AO1496" s="30"/>
      <c r="AP1496" s="30"/>
      <c r="AQ1496" s="30"/>
      <c r="AR1496" s="30"/>
      <c r="AS1496" s="30"/>
      <c r="AT1496" s="30"/>
      <c r="AU1496" s="30"/>
    </row>
    <row r="1497" spans="10:47" ht="15" customHeight="1" x14ac:dyDescent="0.25">
      <c r="J1497" s="30"/>
      <c r="K1497" s="30"/>
      <c r="L1497" s="30"/>
      <c r="M1497" s="30"/>
      <c r="N1497" s="30"/>
      <c r="O1497" s="30"/>
      <c r="P1497" s="29"/>
      <c r="Q1497" s="29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  <c r="AJ1497" s="34"/>
      <c r="AK1497" s="30"/>
      <c r="AL1497" s="30"/>
      <c r="AM1497" s="30"/>
      <c r="AN1497" s="30"/>
      <c r="AO1497" s="30"/>
      <c r="AP1497" s="30"/>
      <c r="AQ1497" s="30"/>
      <c r="AR1497" s="30"/>
      <c r="AS1497" s="30"/>
      <c r="AT1497" s="30"/>
      <c r="AU1497" s="30"/>
    </row>
    <row r="1498" spans="10:47" ht="15" customHeight="1" x14ac:dyDescent="0.25">
      <c r="J1498" s="30"/>
      <c r="K1498" s="30"/>
      <c r="L1498" s="30"/>
      <c r="M1498" s="30"/>
      <c r="N1498" s="30"/>
      <c r="O1498" s="30"/>
      <c r="P1498" s="29"/>
      <c r="Q1498" s="29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0"/>
      <c r="AJ1498" s="34"/>
      <c r="AK1498" s="30"/>
      <c r="AL1498" s="30"/>
      <c r="AM1498" s="30"/>
      <c r="AN1498" s="30"/>
      <c r="AO1498" s="30"/>
      <c r="AP1498" s="30"/>
      <c r="AQ1498" s="30"/>
      <c r="AR1498" s="30"/>
      <c r="AS1498" s="30"/>
      <c r="AT1498" s="30"/>
      <c r="AU1498" s="30"/>
    </row>
    <row r="1499" spans="10:47" ht="15" customHeight="1" x14ac:dyDescent="0.25">
      <c r="J1499" s="30"/>
      <c r="K1499" s="30"/>
      <c r="L1499" s="30"/>
      <c r="M1499" s="30"/>
      <c r="N1499" s="33"/>
      <c r="O1499" s="30"/>
      <c r="P1499" s="29"/>
      <c r="Q1499" s="29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0"/>
      <c r="AJ1499" s="34"/>
      <c r="AK1499" s="30"/>
      <c r="AL1499" s="30"/>
      <c r="AM1499" s="30"/>
      <c r="AN1499" s="30"/>
      <c r="AO1499" s="30"/>
      <c r="AP1499" s="30"/>
      <c r="AQ1499" s="30"/>
      <c r="AR1499" s="30"/>
      <c r="AS1499" s="30"/>
      <c r="AT1499" s="30"/>
      <c r="AU1499" s="30"/>
    </row>
    <row r="1500" spans="10:47" ht="15" customHeight="1" x14ac:dyDescent="0.25">
      <c r="J1500" s="30"/>
      <c r="K1500" s="30"/>
      <c r="L1500" s="30"/>
      <c r="M1500" s="30"/>
      <c r="N1500" s="33"/>
      <c r="O1500" s="30"/>
      <c r="P1500" s="29"/>
      <c r="Q1500" s="29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  <c r="AJ1500" s="34"/>
      <c r="AK1500" s="30"/>
      <c r="AL1500" s="30"/>
      <c r="AM1500" s="30"/>
      <c r="AN1500" s="30"/>
      <c r="AO1500" s="30"/>
      <c r="AP1500" s="30"/>
      <c r="AQ1500" s="30"/>
      <c r="AR1500" s="30"/>
      <c r="AS1500" s="30"/>
      <c r="AT1500" s="30"/>
      <c r="AU1500" s="30"/>
    </row>
    <row r="1501" spans="10:47" ht="15" customHeight="1" x14ac:dyDescent="0.25">
      <c r="J1501" s="30"/>
      <c r="K1501" s="30"/>
      <c r="L1501" s="30"/>
      <c r="M1501" s="30"/>
      <c r="N1501" s="33"/>
      <c r="O1501" s="30"/>
      <c r="P1501" s="29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  <c r="AJ1501" s="34"/>
      <c r="AK1501" s="30"/>
      <c r="AL1501" s="30"/>
      <c r="AM1501" s="30"/>
      <c r="AN1501" s="30"/>
      <c r="AO1501" s="30"/>
      <c r="AP1501" s="30"/>
      <c r="AQ1501" s="30"/>
      <c r="AR1501" s="30"/>
      <c r="AS1501" s="30"/>
      <c r="AT1501" s="30"/>
      <c r="AU1501" s="30"/>
    </row>
    <row r="1502" spans="10:47" ht="15" customHeight="1" x14ac:dyDescent="0.25">
      <c r="J1502" s="30"/>
      <c r="K1502" s="30"/>
      <c r="L1502" s="30"/>
      <c r="M1502" s="30"/>
      <c r="N1502" s="33"/>
      <c r="O1502" s="30"/>
      <c r="P1502" s="29"/>
      <c r="Q1502" s="29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  <c r="AJ1502" s="34"/>
      <c r="AK1502" s="30"/>
      <c r="AL1502" s="30"/>
      <c r="AM1502" s="30"/>
      <c r="AN1502" s="30"/>
      <c r="AO1502" s="30"/>
      <c r="AP1502" s="30"/>
      <c r="AQ1502" s="30"/>
      <c r="AR1502" s="30"/>
      <c r="AS1502" s="30"/>
      <c r="AT1502" s="30"/>
      <c r="AU1502" s="30"/>
    </row>
    <row r="1503" spans="10:47" ht="15" customHeight="1" x14ac:dyDescent="0.25">
      <c r="J1503" s="30"/>
      <c r="K1503" s="30"/>
      <c r="L1503" s="30"/>
      <c r="M1503" s="30"/>
      <c r="N1503" s="33"/>
      <c r="O1503" s="30"/>
      <c r="P1503" s="29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  <c r="AJ1503" s="34"/>
      <c r="AK1503" s="30"/>
      <c r="AL1503" s="30"/>
      <c r="AM1503" s="30"/>
      <c r="AN1503" s="30"/>
      <c r="AO1503" s="30"/>
      <c r="AP1503" s="30"/>
      <c r="AQ1503" s="30"/>
      <c r="AR1503" s="30"/>
      <c r="AS1503" s="30"/>
      <c r="AT1503" s="30"/>
      <c r="AU1503" s="30"/>
    </row>
    <row r="1504" spans="10:47" ht="15" customHeight="1" x14ac:dyDescent="0.25">
      <c r="J1504" s="30"/>
      <c r="K1504" s="30"/>
      <c r="L1504" s="30"/>
      <c r="M1504" s="30"/>
      <c r="N1504" s="33"/>
      <c r="O1504" s="30"/>
      <c r="P1504" s="29"/>
      <c r="Q1504" s="29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0"/>
      <c r="AJ1504" s="34"/>
      <c r="AK1504" s="30"/>
      <c r="AL1504" s="30"/>
      <c r="AM1504" s="30"/>
      <c r="AN1504" s="30"/>
      <c r="AO1504" s="30"/>
      <c r="AP1504" s="30"/>
      <c r="AQ1504" s="30"/>
      <c r="AR1504" s="30"/>
      <c r="AS1504" s="30"/>
      <c r="AT1504" s="30"/>
      <c r="AU1504" s="30"/>
    </row>
    <row r="1505" spans="10:47" ht="15" customHeight="1" x14ac:dyDescent="0.25">
      <c r="J1505" s="30"/>
      <c r="K1505" s="30"/>
      <c r="L1505" s="30"/>
      <c r="M1505" s="30"/>
      <c r="N1505" s="33"/>
      <c r="O1505" s="30"/>
      <c r="P1505" s="29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  <c r="AJ1505" s="34"/>
      <c r="AK1505" s="30"/>
      <c r="AL1505" s="30"/>
      <c r="AM1505" s="30"/>
      <c r="AN1505" s="30"/>
      <c r="AO1505" s="30"/>
      <c r="AP1505" s="30"/>
      <c r="AQ1505" s="30"/>
      <c r="AR1505" s="30"/>
      <c r="AS1505" s="30"/>
      <c r="AT1505" s="30"/>
      <c r="AU1505" s="30"/>
    </row>
    <row r="1506" spans="10:47" ht="15" customHeight="1" x14ac:dyDescent="0.25">
      <c r="J1506" s="30"/>
      <c r="K1506" s="30"/>
      <c r="L1506" s="30"/>
      <c r="M1506" s="30"/>
      <c r="N1506" s="33"/>
      <c r="O1506" s="30"/>
      <c r="P1506" s="29"/>
      <c r="Q1506" s="29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  <c r="AJ1506" s="34"/>
      <c r="AK1506" s="30"/>
      <c r="AL1506" s="30"/>
      <c r="AM1506" s="30"/>
      <c r="AN1506" s="30"/>
      <c r="AO1506" s="30"/>
      <c r="AP1506" s="30"/>
      <c r="AQ1506" s="30"/>
      <c r="AR1506" s="30"/>
      <c r="AS1506" s="30"/>
      <c r="AT1506" s="30"/>
      <c r="AU1506" s="30"/>
    </row>
    <row r="1507" spans="10:47" ht="15" customHeight="1" x14ac:dyDescent="0.25">
      <c r="J1507" s="30"/>
      <c r="K1507" s="30"/>
      <c r="L1507" s="30"/>
      <c r="M1507" s="30"/>
      <c r="N1507" s="30"/>
      <c r="O1507" s="30"/>
      <c r="P1507" s="29"/>
      <c r="Q1507" s="29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  <c r="AJ1507" s="34"/>
      <c r="AK1507" s="30"/>
      <c r="AL1507" s="30"/>
      <c r="AM1507" s="30"/>
      <c r="AN1507" s="30"/>
      <c r="AO1507" s="30"/>
      <c r="AP1507" s="30"/>
      <c r="AQ1507" s="30"/>
      <c r="AR1507" s="30"/>
      <c r="AS1507" s="30"/>
      <c r="AT1507" s="30"/>
      <c r="AU1507" s="30"/>
    </row>
    <row r="1508" spans="10:47" ht="15" customHeight="1" x14ac:dyDescent="0.25">
      <c r="J1508" s="30"/>
      <c r="K1508" s="30"/>
      <c r="L1508" s="30"/>
      <c r="M1508" s="30"/>
      <c r="N1508" s="33"/>
      <c r="O1508" s="30"/>
      <c r="P1508" s="29"/>
      <c r="Q1508" s="29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c r="AJ1508" s="34"/>
      <c r="AK1508" s="30"/>
      <c r="AL1508" s="30"/>
      <c r="AM1508" s="30"/>
      <c r="AN1508" s="30"/>
      <c r="AO1508" s="30"/>
      <c r="AP1508" s="30"/>
      <c r="AQ1508" s="30"/>
      <c r="AR1508" s="30"/>
      <c r="AS1508" s="30"/>
      <c r="AT1508" s="30"/>
      <c r="AU1508" s="30"/>
    </row>
    <row r="1509" spans="10:47" ht="15" customHeight="1" x14ac:dyDescent="0.25">
      <c r="J1509" s="30"/>
      <c r="K1509" s="30"/>
      <c r="L1509" s="30"/>
      <c r="M1509" s="30"/>
      <c r="N1509" s="33"/>
      <c r="O1509" s="30"/>
      <c r="P1509" s="29"/>
      <c r="Q1509" s="29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c r="AJ1509" s="34"/>
      <c r="AK1509" s="30"/>
      <c r="AL1509" s="30"/>
      <c r="AM1509" s="30"/>
      <c r="AN1509" s="30"/>
      <c r="AO1509" s="30"/>
      <c r="AP1509" s="30"/>
      <c r="AQ1509" s="30"/>
      <c r="AR1509" s="30"/>
      <c r="AS1509" s="30"/>
      <c r="AT1509" s="30"/>
      <c r="AU1509" s="30"/>
    </row>
    <row r="1510" spans="10:47" ht="15" customHeight="1" x14ac:dyDescent="0.25">
      <c r="J1510" s="30"/>
      <c r="K1510" s="30"/>
      <c r="L1510" s="30"/>
      <c r="M1510" s="30"/>
      <c r="N1510" s="33"/>
      <c r="O1510" s="30"/>
      <c r="P1510" s="29"/>
      <c r="Q1510" s="29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  <c r="AJ1510" s="34"/>
      <c r="AK1510" s="30"/>
      <c r="AL1510" s="30"/>
      <c r="AM1510" s="30"/>
      <c r="AN1510" s="30"/>
      <c r="AO1510" s="30"/>
      <c r="AP1510" s="30"/>
      <c r="AQ1510" s="30"/>
      <c r="AR1510" s="30"/>
      <c r="AS1510" s="30"/>
      <c r="AT1510" s="30"/>
      <c r="AU1510" s="30"/>
    </row>
    <row r="1511" spans="10:47" ht="15" customHeight="1" x14ac:dyDescent="0.25">
      <c r="J1511" s="30"/>
      <c r="K1511" s="30"/>
      <c r="L1511" s="30"/>
      <c r="M1511" s="30"/>
      <c r="N1511" s="33"/>
      <c r="O1511" s="30"/>
      <c r="P1511" s="29"/>
      <c r="Q1511" s="29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  <c r="AJ1511" s="34"/>
      <c r="AK1511" s="30"/>
      <c r="AL1511" s="30"/>
      <c r="AM1511" s="30"/>
      <c r="AN1511" s="30"/>
      <c r="AO1511" s="30"/>
      <c r="AP1511" s="30"/>
      <c r="AQ1511" s="30"/>
      <c r="AR1511" s="30"/>
      <c r="AS1511" s="30"/>
      <c r="AT1511" s="30"/>
      <c r="AU1511" s="30"/>
    </row>
    <row r="1512" spans="10:47" ht="15" customHeight="1" x14ac:dyDescent="0.25">
      <c r="J1512" s="30"/>
      <c r="K1512" s="30"/>
      <c r="L1512" s="30"/>
      <c r="M1512" s="30"/>
      <c r="N1512" s="33"/>
      <c r="O1512" s="30"/>
      <c r="P1512" s="29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c r="AJ1512" s="34"/>
      <c r="AK1512" s="30"/>
      <c r="AL1512" s="30"/>
      <c r="AM1512" s="30"/>
      <c r="AN1512" s="30"/>
      <c r="AO1512" s="30"/>
      <c r="AP1512" s="30"/>
      <c r="AQ1512" s="30"/>
      <c r="AR1512" s="30"/>
      <c r="AS1512" s="30"/>
      <c r="AT1512" s="30"/>
      <c r="AU1512" s="30"/>
    </row>
    <row r="1513" spans="10:47" ht="15" customHeight="1" x14ac:dyDescent="0.25">
      <c r="J1513" s="30"/>
      <c r="K1513" s="30"/>
      <c r="L1513" s="30"/>
      <c r="M1513" s="30"/>
      <c r="N1513" s="33"/>
      <c r="O1513" s="30"/>
      <c r="P1513" s="29"/>
      <c r="Q1513" s="29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  <c r="AJ1513" s="34"/>
      <c r="AK1513" s="30"/>
      <c r="AL1513" s="30"/>
      <c r="AM1513" s="30"/>
      <c r="AN1513" s="30"/>
      <c r="AO1513" s="30"/>
      <c r="AP1513" s="30"/>
      <c r="AQ1513" s="30"/>
      <c r="AR1513" s="30"/>
      <c r="AS1513" s="30"/>
      <c r="AT1513" s="30"/>
      <c r="AU1513" s="30"/>
    </row>
    <row r="1514" spans="10:47" ht="15" customHeight="1" x14ac:dyDescent="0.25">
      <c r="J1514" s="30"/>
      <c r="K1514" s="30"/>
      <c r="L1514" s="30"/>
      <c r="M1514" s="30"/>
      <c r="N1514" s="33"/>
      <c r="O1514" s="30"/>
      <c r="P1514" s="29"/>
      <c r="Q1514" s="29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  <c r="AJ1514" s="34"/>
      <c r="AK1514" s="30"/>
      <c r="AL1514" s="30"/>
      <c r="AM1514" s="30"/>
      <c r="AN1514" s="30"/>
      <c r="AO1514" s="30"/>
      <c r="AP1514" s="30"/>
      <c r="AQ1514" s="30"/>
      <c r="AR1514" s="30"/>
      <c r="AS1514" s="30"/>
      <c r="AT1514" s="30"/>
      <c r="AU1514" s="30"/>
    </row>
    <row r="1515" spans="10:47" ht="15" customHeight="1" x14ac:dyDescent="0.25">
      <c r="J1515" s="30"/>
      <c r="K1515" s="30"/>
      <c r="L1515" s="30"/>
      <c r="M1515" s="30"/>
      <c r="N1515" s="30"/>
      <c r="O1515" s="30"/>
      <c r="P1515" s="29"/>
      <c r="Q1515" s="29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  <c r="AJ1515" s="34"/>
      <c r="AK1515" s="30"/>
      <c r="AL1515" s="30"/>
      <c r="AM1515" s="30"/>
      <c r="AN1515" s="30"/>
      <c r="AO1515" s="30"/>
      <c r="AP1515" s="30"/>
      <c r="AQ1515" s="30"/>
      <c r="AR1515" s="30"/>
      <c r="AS1515" s="30"/>
      <c r="AT1515" s="30"/>
      <c r="AU1515" s="30"/>
    </row>
    <row r="1516" spans="10:47" ht="15" customHeight="1" x14ac:dyDescent="0.25">
      <c r="J1516" s="30"/>
      <c r="K1516" s="30"/>
      <c r="L1516" s="30"/>
      <c r="M1516" s="30"/>
      <c r="N1516" s="33"/>
      <c r="O1516" s="30"/>
      <c r="P1516" s="29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  <c r="AJ1516" s="34"/>
      <c r="AK1516" s="30"/>
      <c r="AL1516" s="30"/>
      <c r="AM1516" s="30"/>
      <c r="AN1516" s="30"/>
      <c r="AO1516" s="30"/>
      <c r="AP1516" s="30"/>
      <c r="AQ1516" s="30"/>
      <c r="AR1516" s="30"/>
      <c r="AS1516" s="30"/>
      <c r="AT1516" s="30"/>
      <c r="AU1516" s="30"/>
    </row>
    <row r="1517" spans="10:47" ht="15" customHeight="1" x14ac:dyDescent="0.25">
      <c r="J1517" s="30"/>
      <c r="K1517" s="30"/>
      <c r="L1517" s="30"/>
      <c r="M1517" s="30"/>
      <c r="N1517" s="33"/>
      <c r="O1517" s="30"/>
      <c r="P1517" s="29"/>
      <c r="Q1517" s="29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  <c r="AJ1517" s="34"/>
      <c r="AK1517" s="30"/>
      <c r="AL1517" s="30"/>
      <c r="AM1517" s="30"/>
      <c r="AN1517" s="30"/>
      <c r="AO1517" s="30"/>
      <c r="AP1517" s="30"/>
      <c r="AQ1517" s="30"/>
      <c r="AR1517" s="30"/>
      <c r="AS1517" s="30"/>
      <c r="AT1517" s="30"/>
      <c r="AU1517" s="30"/>
    </row>
    <row r="1518" spans="10:47" ht="15" customHeight="1" x14ac:dyDescent="0.25">
      <c r="J1518" s="30"/>
      <c r="K1518" s="30"/>
      <c r="L1518" s="30"/>
      <c r="M1518" s="30"/>
      <c r="N1518" s="30"/>
      <c r="O1518" s="30"/>
      <c r="P1518" s="29"/>
      <c r="Q1518" s="29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  <c r="AJ1518" s="34"/>
      <c r="AK1518" s="30"/>
      <c r="AL1518" s="30"/>
      <c r="AM1518" s="30"/>
      <c r="AN1518" s="30"/>
      <c r="AO1518" s="30"/>
      <c r="AP1518" s="30"/>
      <c r="AQ1518" s="30"/>
      <c r="AR1518" s="30"/>
      <c r="AS1518" s="30"/>
      <c r="AT1518" s="30"/>
      <c r="AU1518" s="30"/>
    </row>
    <row r="1519" spans="10:47" ht="15" customHeight="1" x14ac:dyDescent="0.25">
      <c r="J1519" s="30"/>
      <c r="K1519" s="30"/>
      <c r="L1519" s="30"/>
      <c r="M1519" s="30"/>
      <c r="N1519" s="33"/>
      <c r="O1519" s="30"/>
      <c r="P1519" s="29"/>
      <c r="Q1519" s="29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  <c r="AJ1519" s="34"/>
      <c r="AK1519" s="30"/>
      <c r="AL1519" s="30"/>
      <c r="AM1519" s="30"/>
      <c r="AN1519" s="30"/>
      <c r="AO1519" s="30"/>
      <c r="AP1519" s="30"/>
      <c r="AQ1519" s="30"/>
      <c r="AR1519" s="30"/>
      <c r="AS1519" s="30"/>
      <c r="AT1519" s="30"/>
      <c r="AU1519" s="30"/>
    </row>
    <row r="1520" spans="10:47" ht="15" customHeight="1" x14ac:dyDescent="0.25">
      <c r="J1520" s="30"/>
      <c r="K1520" s="30"/>
      <c r="L1520" s="30"/>
      <c r="M1520" s="30"/>
      <c r="N1520" s="30"/>
      <c r="O1520" s="30"/>
      <c r="P1520" s="29"/>
      <c r="Q1520" s="29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  <c r="AJ1520" s="34"/>
      <c r="AK1520" s="30"/>
      <c r="AL1520" s="30"/>
      <c r="AM1520" s="30"/>
      <c r="AN1520" s="30"/>
      <c r="AO1520" s="30"/>
      <c r="AP1520" s="30"/>
      <c r="AQ1520" s="30"/>
      <c r="AR1520" s="30"/>
      <c r="AS1520" s="30"/>
      <c r="AT1520" s="30"/>
      <c r="AU1520" s="30"/>
    </row>
    <row r="1521" spans="10:47" ht="15" customHeight="1" x14ac:dyDescent="0.25">
      <c r="J1521" s="30"/>
      <c r="K1521" s="30"/>
      <c r="L1521" s="30"/>
      <c r="M1521" s="30"/>
      <c r="N1521" s="30"/>
      <c r="O1521" s="30"/>
      <c r="P1521" s="29"/>
      <c r="Q1521" s="29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  <c r="AJ1521" s="34"/>
      <c r="AK1521" s="30"/>
      <c r="AL1521" s="30"/>
      <c r="AM1521" s="30"/>
      <c r="AN1521" s="30"/>
      <c r="AO1521" s="30"/>
      <c r="AP1521" s="30"/>
      <c r="AQ1521" s="30"/>
      <c r="AR1521" s="30"/>
      <c r="AS1521" s="30"/>
      <c r="AT1521" s="30"/>
      <c r="AU1521" s="30"/>
    </row>
    <row r="1522" spans="10:47" ht="15" customHeight="1" x14ac:dyDescent="0.25">
      <c r="J1522" s="30"/>
      <c r="K1522" s="30"/>
      <c r="L1522" s="30"/>
      <c r="M1522" s="30"/>
      <c r="N1522" s="33"/>
      <c r="O1522" s="30"/>
      <c r="P1522" s="29"/>
      <c r="Q1522" s="29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c r="AJ1522" s="34"/>
      <c r="AK1522" s="30"/>
      <c r="AL1522" s="30"/>
      <c r="AM1522" s="30"/>
      <c r="AN1522" s="30"/>
      <c r="AO1522" s="30"/>
      <c r="AP1522" s="30"/>
      <c r="AQ1522" s="30"/>
      <c r="AR1522" s="30"/>
      <c r="AS1522" s="30"/>
      <c r="AT1522" s="30"/>
      <c r="AU1522" s="30"/>
    </row>
    <row r="1523" spans="10:47" ht="15" customHeight="1" x14ac:dyDescent="0.25">
      <c r="J1523" s="30"/>
      <c r="K1523" s="30"/>
      <c r="L1523" s="30"/>
      <c r="M1523" s="30"/>
      <c r="N1523" s="30"/>
      <c r="O1523" s="30"/>
      <c r="P1523" s="29"/>
      <c r="Q1523" s="29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0"/>
      <c r="AJ1523" s="34"/>
      <c r="AK1523" s="30"/>
      <c r="AL1523" s="30"/>
      <c r="AM1523" s="30"/>
      <c r="AN1523" s="30"/>
      <c r="AO1523" s="30"/>
      <c r="AP1523" s="30"/>
      <c r="AQ1523" s="30"/>
      <c r="AR1523" s="30"/>
      <c r="AS1523" s="30"/>
      <c r="AT1523" s="30"/>
      <c r="AU1523" s="30"/>
    </row>
    <row r="1524" spans="10:47" ht="15" customHeight="1" x14ac:dyDescent="0.25">
      <c r="J1524" s="30"/>
      <c r="K1524" s="30"/>
      <c r="L1524" s="30"/>
      <c r="M1524" s="30"/>
      <c r="N1524" s="30"/>
      <c r="O1524" s="30"/>
      <c r="P1524" s="29"/>
      <c r="Q1524" s="29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0"/>
      <c r="AJ1524" s="34"/>
      <c r="AK1524" s="30"/>
      <c r="AL1524" s="30"/>
      <c r="AM1524" s="30"/>
      <c r="AN1524" s="30"/>
      <c r="AO1524" s="30"/>
      <c r="AP1524" s="30"/>
      <c r="AQ1524" s="30"/>
      <c r="AR1524" s="30"/>
      <c r="AS1524" s="30"/>
      <c r="AT1524" s="30"/>
      <c r="AU1524" s="30"/>
    </row>
    <row r="1525" spans="10:47" ht="15" customHeight="1" x14ac:dyDescent="0.25">
      <c r="J1525" s="30"/>
      <c r="K1525" s="30"/>
      <c r="L1525" s="30"/>
      <c r="M1525" s="30"/>
      <c r="N1525" s="33"/>
      <c r="O1525" s="30"/>
      <c r="P1525" s="29"/>
      <c r="Q1525" s="29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0"/>
      <c r="AJ1525" s="34"/>
      <c r="AK1525" s="30"/>
      <c r="AL1525" s="30"/>
      <c r="AM1525" s="30"/>
      <c r="AN1525" s="30"/>
      <c r="AO1525" s="30"/>
      <c r="AP1525" s="30"/>
      <c r="AQ1525" s="30"/>
      <c r="AR1525" s="30"/>
      <c r="AS1525" s="30"/>
      <c r="AT1525" s="30"/>
      <c r="AU1525" s="30"/>
    </row>
    <row r="1526" spans="10:47" ht="15" customHeight="1" x14ac:dyDescent="0.25">
      <c r="J1526" s="30"/>
      <c r="K1526" s="30"/>
      <c r="L1526" s="30"/>
      <c r="M1526" s="30"/>
      <c r="N1526" s="30"/>
      <c r="O1526" s="30"/>
      <c r="P1526" s="29"/>
      <c r="Q1526" s="29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  <c r="AJ1526" s="34"/>
      <c r="AK1526" s="30"/>
      <c r="AL1526" s="30"/>
      <c r="AM1526" s="30"/>
      <c r="AN1526" s="30"/>
      <c r="AO1526" s="30"/>
      <c r="AP1526" s="30"/>
      <c r="AQ1526" s="30"/>
      <c r="AR1526" s="30"/>
      <c r="AS1526" s="30"/>
      <c r="AT1526" s="30"/>
      <c r="AU1526" s="30"/>
    </row>
    <row r="1527" spans="10:47" ht="15" customHeight="1" x14ac:dyDescent="0.25">
      <c r="J1527" s="30"/>
      <c r="K1527" s="30"/>
      <c r="L1527" s="30"/>
      <c r="M1527" s="30"/>
      <c r="N1527" s="30"/>
      <c r="O1527" s="30"/>
      <c r="P1527" s="29"/>
      <c r="Q1527" s="29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  <c r="AJ1527" s="34"/>
      <c r="AK1527" s="30"/>
      <c r="AL1527" s="30"/>
      <c r="AM1527" s="30"/>
      <c r="AN1527" s="30"/>
      <c r="AO1527" s="30"/>
      <c r="AP1527" s="30"/>
      <c r="AQ1527" s="30"/>
      <c r="AR1527" s="30"/>
      <c r="AS1527" s="30"/>
      <c r="AT1527" s="30"/>
      <c r="AU1527" s="30"/>
    </row>
    <row r="1528" spans="10:47" ht="15" customHeight="1" x14ac:dyDescent="0.25">
      <c r="J1528" s="30"/>
      <c r="K1528" s="30"/>
      <c r="L1528" s="30"/>
      <c r="M1528" s="30"/>
      <c r="N1528" s="33"/>
      <c r="O1528" s="30"/>
      <c r="P1528" s="29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  <c r="AJ1528" s="34"/>
      <c r="AK1528" s="30"/>
      <c r="AL1528" s="30"/>
      <c r="AM1528" s="30"/>
      <c r="AN1528" s="30"/>
      <c r="AO1528" s="30"/>
      <c r="AP1528" s="30"/>
      <c r="AQ1528" s="30"/>
      <c r="AR1528" s="30"/>
      <c r="AS1528" s="30"/>
      <c r="AT1528" s="30"/>
      <c r="AU1528" s="30"/>
    </row>
    <row r="1529" spans="10:47" ht="15" customHeight="1" x14ac:dyDescent="0.25">
      <c r="J1529" s="30"/>
      <c r="K1529" s="30"/>
      <c r="L1529" s="30"/>
      <c r="M1529" s="30"/>
      <c r="N1529" s="33"/>
      <c r="O1529" s="30"/>
      <c r="P1529" s="29"/>
      <c r="Q1529" s="29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  <c r="AJ1529" s="34"/>
      <c r="AK1529" s="30"/>
      <c r="AL1529" s="30"/>
      <c r="AM1529" s="30"/>
      <c r="AN1529" s="30"/>
      <c r="AO1529" s="30"/>
      <c r="AP1529" s="30"/>
      <c r="AQ1529" s="30"/>
      <c r="AR1529" s="30"/>
      <c r="AS1529" s="30"/>
      <c r="AT1529" s="30"/>
      <c r="AU1529" s="30"/>
    </row>
    <row r="1530" spans="10:47" ht="15" customHeight="1" x14ac:dyDescent="0.25">
      <c r="J1530" s="30"/>
      <c r="K1530" s="30"/>
      <c r="L1530" s="30"/>
      <c r="M1530" s="30"/>
      <c r="N1530" s="33"/>
      <c r="O1530" s="30"/>
      <c r="P1530" s="29"/>
      <c r="Q1530" s="29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  <c r="AJ1530" s="34"/>
      <c r="AK1530" s="30"/>
      <c r="AL1530" s="30"/>
      <c r="AM1530" s="30"/>
      <c r="AN1530" s="30"/>
      <c r="AO1530" s="30"/>
      <c r="AP1530" s="30"/>
      <c r="AQ1530" s="30"/>
      <c r="AR1530" s="30"/>
      <c r="AS1530" s="30"/>
      <c r="AT1530" s="30"/>
      <c r="AU1530" s="30"/>
    </row>
    <row r="1531" spans="10:47" ht="15" customHeight="1" x14ac:dyDescent="0.25">
      <c r="J1531" s="30"/>
      <c r="K1531" s="30"/>
      <c r="L1531" s="30"/>
      <c r="M1531" s="30"/>
      <c r="N1531" s="33"/>
      <c r="O1531" s="30"/>
      <c r="P1531" s="29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  <c r="AJ1531" s="34"/>
      <c r="AK1531" s="30"/>
      <c r="AL1531" s="30"/>
      <c r="AM1531" s="30"/>
      <c r="AN1531" s="30"/>
      <c r="AO1531" s="30"/>
      <c r="AP1531" s="30"/>
      <c r="AQ1531" s="30"/>
      <c r="AR1531" s="30"/>
      <c r="AS1531" s="30"/>
      <c r="AT1531" s="30"/>
      <c r="AU1531" s="30"/>
    </row>
    <row r="1532" spans="10:47" ht="15" customHeight="1" x14ac:dyDescent="0.25">
      <c r="J1532" s="30"/>
      <c r="K1532" s="30"/>
      <c r="L1532" s="30"/>
      <c r="M1532" s="30"/>
      <c r="N1532" s="33"/>
      <c r="O1532" s="30"/>
      <c r="P1532" s="29"/>
      <c r="Q1532" s="29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  <c r="AJ1532" s="34"/>
      <c r="AK1532" s="30"/>
      <c r="AL1532" s="30"/>
      <c r="AM1532" s="30"/>
      <c r="AN1532" s="30"/>
      <c r="AO1532" s="30"/>
      <c r="AP1532" s="30"/>
      <c r="AQ1532" s="30"/>
      <c r="AR1532" s="30"/>
      <c r="AS1532" s="30"/>
      <c r="AT1532" s="30"/>
      <c r="AU1532" s="30"/>
    </row>
    <row r="1533" spans="10:47" ht="15" customHeight="1" x14ac:dyDescent="0.25">
      <c r="J1533" s="30"/>
      <c r="K1533" s="30"/>
      <c r="L1533" s="30"/>
      <c r="M1533" s="30"/>
      <c r="N1533" s="30"/>
      <c r="O1533" s="30"/>
      <c r="P1533" s="29"/>
      <c r="Q1533" s="29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0"/>
      <c r="AJ1533" s="34"/>
      <c r="AK1533" s="30"/>
      <c r="AL1533" s="30"/>
      <c r="AM1533" s="30"/>
      <c r="AN1533" s="30"/>
      <c r="AO1533" s="30"/>
      <c r="AP1533" s="30"/>
      <c r="AQ1533" s="30"/>
      <c r="AR1533" s="30"/>
      <c r="AS1533" s="30"/>
      <c r="AT1533" s="30"/>
      <c r="AU1533" s="30"/>
    </row>
    <row r="1534" spans="10:47" ht="15" customHeight="1" x14ac:dyDescent="0.25">
      <c r="J1534" s="30"/>
      <c r="K1534" s="30"/>
      <c r="L1534" s="30"/>
      <c r="M1534" s="30"/>
      <c r="N1534" s="33"/>
      <c r="O1534" s="30"/>
      <c r="P1534" s="29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0"/>
      <c r="AJ1534" s="34"/>
      <c r="AK1534" s="30"/>
      <c r="AL1534" s="30"/>
      <c r="AM1534" s="30"/>
      <c r="AN1534" s="30"/>
      <c r="AO1534" s="30"/>
      <c r="AP1534" s="30"/>
      <c r="AQ1534" s="30"/>
      <c r="AR1534" s="30"/>
      <c r="AS1534" s="30"/>
      <c r="AT1534" s="30"/>
      <c r="AU1534" s="30"/>
    </row>
    <row r="1535" spans="10:47" ht="15" customHeight="1" x14ac:dyDescent="0.25">
      <c r="J1535" s="30"/>
      <c r="K1535" s="30"/>
      <c r="L1535" s="30"/>
      <c r="M1535" s="30"/>
      <c r="N1535" s="33"/>
      <c r="O1535" s="30"/>
      <c r="P1535" s="29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  <c r="AJ1535" s="34"/>
      <c r="AK1535" s="30"/>
      <c r="AL1535" s="30"/>
      <c r="AM1535" s="30"/>
      <c r="AN1535" s="30"/>
      <c r="AO1535" s="30"/>
      <c r="AP1535" s="30"/>
      <c r="AQ1535" s="30"/>
      <c r="AR1535" s="30"/>
      <c r="AS1535" s="30"/>
      <c r="AT1535" s="30"/>
      <c r="AU1535" s="30"/>
    </row>
    <row r="1536" spans="10:47" ht="15" customHeight="1" x14ac:dyDescent="0.25">
      <c r="J1536" s="30"/>
      <c r="K1536" s="30"/>
      <c r="L1536" s="30"/>
      <c r="M1536" s="30"/>
      <c r="N1536" s="33"/>
      <c r="O1536" s="30"/>
      <c r="P1536" s="29"/>
      <c r="Q1536" s="29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  <c r="AJ1536" s="34"/>
      <c r="AK1536" s="30"/>
      <c r="AL1536" s="30"/>
      <c r="AM1536" s="30"/>
      <c r="AN1536" s="30"/>
      <c r="AO1536" s="30"/>
      <c r="AP1536" s="30"/>
      <c r="AQ1536" s="30"/>
      <c r="AR1536" s="30"/>
      <c r="AS1536" s="30"/>
      <c r="AT1536" s="30"/>
      <c r="AU1536" s="30"/>
    </row>
    <row r="1537" spans="10:47" ht="15" customHeight="1" x14ac:dyDescent="0.25">
      <c r="J1537" s="30"/>
      <c r="K1537" s="30"/>
      <c r="L1537" s="30"/>
      <c r="M1537" s="30"/>
      <c r="N1537" s="33"/>
      <c r="O1537" s="30"/>
      <c r="P1537" s="29"/>
      <c r="Q1537" s="29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  <c r="AJ1537" s="34"/>
      <c r="AK1537" s="30"/>
      <c r="AL1537" s="30"/>
      <c r="AM1537" s="30"/>
      <c r="AN1537" s="30"/>
      <c r="AO1537" s="30"/>
      <c r="AP1537" s="30"/>
      <c r="AQ1537" s="30"/>
      <c r="AR1537" s="30"/>
      <c r="AS1537" s="30"/>
      <c r="AT1537" s="30"/>
      <c r="AU1537" s="30"/>
    </row>
    <row r="1538" spans="10:47" ht="15" customHeight="1" x14ac:dyDescent="0.25">
      <c r="J1538" s="30"/>
      <c r="K1538" s="30"/>
      <c r="L1538" s="30"/>
      <c r="M1538" s="30"/>
      <c r="N1538" s="33"/>
      <c r="O1538" s="30"/>
      <c r="P1538" s="29"/>
      <c r="Q1538" s="29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0"/>
      <c r="AJ1538" s="34"/>
      <c r="AK1538" s="30"/>
      <c r="AL1538" s="30"/>
      <c r="AM1538" s="30"/>
      <c r="AN1538" s="30"/>
      <c r="AO1538" s="30"/>
      <c r="AP1538" s="30"/>
      <c r="AQ1538" s="30"/>
      <c r="AR1538" s="30"/>
      <c r="AS1538" s="30"/>
      <c r="AT1538" s="30"/>
      <c r="AU1538" s="30"/>
    </row>
    <row r="1539" spans="10:47" ht="15" customHeight="1" x14ac:dyDescent="0.25">
      <c r="J1539" s="30"/>
      <c r="K1539" s="30"/>
      <c r="L1539" s="30"/>
      <c r="M1539" s="30"/>
      <c r="N1539" s="30"/>
      <c r="O1539" s="30"/>
      <c r="P1539" s="29"/>
      <c r="Q1539" s="29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0"/>
      <c r="AJ1539" s="34"/>
      <c r="AK1539" s="30"/>
      <c r="AL1539" s="30"/>
      <c r="AM1539" s="30"/>
      <c r="AN1539" s="30"/>
      <c r="AO1539" s="30"/>
      <c r="AP1539" s="30"/>
      <c r="AQ1539" s="30"/>
      <c r="AR1539" s="30"/>
      <c r="AS1539" s="30"/>
      <c r="AT1539" s="30"/>
      <c r="AU1539" s="30"/>
    </row>
    <row r="1540" spans="10:47" ht="15" customHeight="1" x14ac:dyDescent="0.25">
      <c r="J1540" s="30"/>
      <c r="K1540" s="30"/>
      <c r="L1540" s="30"/>
      <c r="M1540" s="30"/>
      <c r="N1540" s="30"/>
      <c r="O1540" s="30"/>
      <c r="P1540" s="29"/>
      <c r="Q1540" s="29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  <c r="AJ1540" s="34"/>
      <c r="AK1540" s="30"/>
      <c r="AL1540" s="30"/>
      <c r="AM1540" s="30"/>
      <c r="AN1540" s="30"/>
      <c r="AO1540" s="30"/>
      <c r="AP1540" s="30"/>
      <c r="AQ1540" s="30"/>
      <c r="AR1540" s="30"/>
      <c r="AS1540" s="30"/>
      <c r="AT1540" s="30"/>
      <c r="AU1540" s="30"/>
    </row>
    <row r="1541" spans="10:47" ht="15" customHeight="1" x14ac:dyDescent="0.25">
      <c r="J1541" s="30"/>
      <c r="K1541" s="30"/>
      <c r="L1541" s="30"/>
      <c r="M1541" s="30"/>
      <c r="N1541" s="33"/>
      <c r="O1541" s="30"/>
      <c r="P1541" s="29"/>
      <c r="Q1541" s="29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  <c r="AJ1541" s="34"/>
      <c r="AK1541" s="30"/>
      <c r="AL1541" s="30"/>
      <c r="AM1541" s="30"/>
      <c r="AN1541" s="30"/>
      <c r="AO1541" s="30"/>
      <c r="AP1541" s="30"/>
      <c r="AQ1541" s="30"/>
      <c r="AR1541" s="30"/>
      <c r="AS1541" s="30"/>
      <c r="AT1541" s="30"/>
      <c r="AU1541" s="30"/>
    </row>
    <row r="1542" spans="10:47" ht="15" customHeight="1" x14ac:dyDescent="0.25">
      <c r="J1542" s="30"/>
      <c r="K1542" s="30"/>
      <c r="L1542" s="30"/>
      <c r="M1542" s="30"/>
      <c r="N1542" s="33"/>
      <c r="O1542" s="30"/>
      <c r="P1542" s="29"/>
      <c r="Q1542" s="29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  <c r="AJ1542" s="34"/>
      <c r="AK1542" s="30"/>
      <c r="AL1542" s="30"/>
      <c r="AM1542" s="30"/>
      <c r="AN1542" s="30"/>
      <c r="AO1542" s="30"/>
      <c r="AP1542" s="30"/>
      <c r="AQ1542" s="30"/>
      <c r="AR1542" s="30"/>
      <c r="AS1542" s="30"/>
      <c r="AT1542" s="30"/>
      <c r="AU1542" s="30"/>
    </row>
    <row r="1543" spans="10:47" ht="15" customHeight="1" x14ac:dyDescent="0.25">
      <c r="J1543" s="30"/>
      <c r="K1543" s="30"/>
      <c r="L1543" s="30"/>
      <c r="M1543" s="30"/>
      <c r="N1543" s="33"/>
      <c r="O1543" s="30"/>
      <c r="P1543" s="29"/>
      <c r="Q1543" s="29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  <c r="AJ1543" s="34"/>
      <c r="AK1543" s="30"/>
      <c r="AL1543" s="30"/>
      <c r="AM1543" s="30"/>
      <c r="AN1543" s="30"/>
      <c r="AO1543" s="30"/>
      <c r="AP1543" s="30"/>
      <c r="AQ1543" s="30"/>
      <c r="AR1543" s="30"/>
      <c r="AS1543" s="30"/>
      <c r="AT1543" s="30"/>
      <c r="AU1543" s="30"/>
    </row>
    <row r="1544" spans="10:47" ht="15" customHeight="1" x14ac:dyDescent="0.25">
      <c r="J1544" s="30"/>
      <c r="K1544" s="30"/>
      <c r="L1544" s="30"/>
      <c r="M1544" s="30"/>
      <c r="N1544" s="33"/>
      <c r="O1544" s="30"/>
      <c r="P1544" s="29"/>
      <c r="Q1544" s="29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  <c r="AJ1544" s="34"/>
      <c r="AK1544" s="30"/>
      <c r="AL1544" s="30"/>
      <c r="AM1544" s="30"/>
      <c r="AN1544" s="30"/>
      <c r="AO1544" s="30"/>
      <c r="AP1544" s="30"/>
      <c r="AQ1544" s="30"/>
      <c r="AR1544" s="30"/>
      <c r="AS1544" s="30"/>
      <c r="AT1544" s="30"/>
      <c r="AU1544" s="30"/>
    </row>
    <row r="1545" spans="10:47" ht="15" customHeight="1" x14ac:dyDescent="0.25">
      <c r="J1545" s="30"/>
      <c r="K1545" s="30"/>
      <c r="L1545" s="30"/>
      <c r="M1545" s="30"/>
      <c r="N1545" s="33"/>
      <c r="O1545" s="30"/>
      <c r="P1545" s="29"/>
      <c r="Q1545" s="29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  <c r="AJ1545" s="34"/>
      <c r="AK1545" s="30"/>
      <c r="AL1545" s="30"/>
      <c r="AM1545" s="30"/>
      <c r="AN1545" s="30"/>
      <c r="AO1545" s="30"/>
      <c r="AP1545" s="30"/>
      <c r="AQ1545" s="30"/>
      <c r="AR1545" s="30"/>
      <c r="AS1545" s="30"/>
      <c r="AT1545" s="30"/>
      <c r="AU1545" s="30"/>
    </row>
    <row r="1546" spans="10:47" ht="15" customHeight="1" x14ac:dyDescent="0.25">
      <c r="J1546" s="30"/>
      <c r="K1546" s="30"/>
      <c r="L1546" s="30"/>
      <c r="M1546" s="30"/>
      <c r="N1546" s="33"/>
      <c r="O1546" s="30"/>
      <c r="P1546" s="29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0"/>
      <c r="AJ1546" s="34"/>
      <c r="AK1546" s="30"/>
      <c r="AL1546" s="30"/>
      <c r="AM1546" s="30"/>
      <c r="AN1546" s="30"/>
      <c r="AO1546" s="30"/>
      <c r="AP1546" s="30"/>
      <c r="AQ1546" s="30"/>
      <c r="AR1546" s="30"/>
      <c r="AS1546" s="30"/>
      <c r="AT1546" s="30"/>
      <c r="AU1546" s="30"/>
    </row>
    <row r="1547" spans="10:47" ht="15" customHeight="1" x14ac:dyDescent="0.25">
      <c r="J1547" s="30"/>
      <c r="K1547" s="30"/>
      <c r="L1547" s="30"/>
      <c r="M1547" s="30"/>
      <c r="N1547" s="30"/>
      <c r="O1547" s="30"/>
      <c r="P1547" s="29"/>
      <c r="Q1547" s="29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0"/>
      <c r="AJ1547" s="34"/>
      <c r="AK1547" s="30"/>
      <c r="AL1547" s="30"/>
      <c r="AM1547" s="30"/>
      <c r="AN1547" s="30"/>
      <c r="AO1547" s="30"/>
      <c r="AP1547" s="30"/>
      <c r="AQ1547" s="30"/>
      <c r="AR1547" s="30"/>
      <c r="AS1547" s="30"/>
      <c r="AT1547" s="30"/>
      <c r="AU1547" s="30"/>
    </row>
    <row r="1548" spans="10:47" ht="15" customHeight="1" x14ac:dyDescent="0.25">
      <c r="J1548" s="30"/>
      <c r="K1548" s="30"/>
      <c r="L1548" s="30"/>
      <c r="M1548" s="30"/>
      <c r="N1548" s="33"/>
      <c r="O1548" s="30"/>
      <c r="P1548" s="29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  <c r="AJ1548" s="34"/>
      <c r="AK1548" s="30"/>
      <c r="AL1548" s="30"/>
      <c r="AM1548" s="30"/>
      <c r="AN1548" s="30"/>
      <c r="AO1548" s="30"/>
      <c r="AP1548" s="30"/>
      <c r="AQ1548" s="30"/>
      <c r="AR1548" s="30"/>
      <c r="AS1548" s="30"/>
      <c r="AT1548" s="30"/>
      <c r="AU1548" s="30"/>
    </row>
    <row r="1549" spans="10:47" ht="15" customHeight="1" x14ac:dyDescent="0.25">
      <c r="J1549" s="30"/>
      <c r="K1549" s="30"/>
      <c r="L1549" s="30"/>
      <c r="M1549" s="30"/>
      <c r="N1549" s="33"/>
      <c r="O1549" s="30"/>
      <c r="P1549" s="29"/>
      <c r="Q1549" s="29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  <c r="AJ1549" s="34"/>
      <c r="AK1549" s="30"/>
      <c r="AL1549" s="30"/>
      <c r="AM1549" s="30"/>
      <c r="AN1549" s="30"/>
      <c r="AO1549" s="30"/>
      <c r="AP1549" s="30"/>
      <c r="AQ1549" s="30"/>
      <c r="AR1549" s="30"/>
      <c r="AS1549" s="30"/>
      <c r="AT1549" s="30"/>
      <c r="AU1549" s="30"/>
    </row>
    <row r="1550" spans="10:47" ht="15" customHeight="1" x14ac:dyDescent="0.25">
      <c r="J1550" s="30"/>
      <c r="K1550" s="30"/>
      <c r="L1550" s="30"/>
      <c r="M1550" s="30"/>
      <c r="N1550" s="33"/>
      <c r="O1550" s="30"/>
      <c r="P1550" s="29"/>
      <c r="Q1550" s="29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c r="AJ1550" s="34"/>
      <c r="AK1550" s="30"/>
      <c r="AL1550" s="30"/>
      <c r="AM1550" s="30"/>
      <c r="AN1550" s="30"/>
      <c r="AO1550" s="30"/>
      <c r="AP1550" s="30"/>
      <c r="AQ1550" s="30"/>
      <c r="AR1550" s="30"/>
      <c r="AS1550" s="30"/>
      <c r="AT1550" s="30"/>
      <c r="AU1550" s="30"/>
    </row>
    <row r="1551" spans="10:47" ht="15" customHeight="1" x14ac:dyDescent="0.25">
      <c r="J1551" s="30"/>
      <c r="K1551" s="30"/>
      <c r="L1551" s="30"/>
      <c r="M1551" s="30"/>
      <c r="N1551" s="33"/>
      <c r="O1551" s="30"/>
      <c r="P1551" s="29"/>
      <c r="Q1551" s="29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c r="AJ1551" s="34"/>
      <c r="AK1551" s="30"/>
      <c r="AL1551" s="30"/>
      <c r="AM1551" s="30"/>
      <c r="AN1551" s="30"/>
      <c r="AO1551" s="30"/>
      <c r="AP1551" s="30"/>
      <c r="AQ1551" s="30"/>
      <c r="AR1551" s="30"/>
      <c r="AS1551" s="30"/>
      <c r="AT1551" s="30"/>
      <c r="AU1551" s="30"/>
    </row>
    <row r="1552" spans="10:47" ht="15" customHeight="1" x14ac:dyDescent="0.25">
      <c r="J1552" s="30"/>
      <c r="K1552" s="30"/>
      <c r="L1552" s="30"/>
      <c r="M1552" s="30"/>
      <c r="N1552" s="33"/>
      <c r="O1552" s="30"/>
      <c r="P1552" s="29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  <c r="AJ1552" s="34"/>
      <c r="AK1552" s="30"/>
      <c r="AL1552" s="30"/>
      <c r="AM1552" s="30"/>
      <c r="AN1552" s="30"/>
      <c r="AO1552" s="30"/>
      <c r="AP1552" s="30"/>
      <c r="AQ1552" s="30"/>
      <c r="AR1552" s="30"/>
      <c r="AS1552" s="30"/>
      <c r="AT1552" s="30"/>
      <c r="AU1552" s="30"/>
    </row>
    <row r="1553" spans="10:47" ht="15" customHeight="1" x14ac:dyDescent="0.25">
      <c r="J1553" s="30"/>
      <c r="K1553" s="30"/>
      <c r="L1553" s="30"/>
      <c r="M1553" s="30"/>
      <c r="N1553" s="33"/>
      <c r="O1553" s="30"/>
      <c r="P1553" s="29"/>
      <c r="Q1553" s="29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  <c r="AJ1553" s="34"/>
      <c r="AK1553" s="30"/>
      <c r="AL1553" s="30"/>
      <c r="AM1553" s="30"/>
      <c r="AN1553" s="30"/>
      <c r="AO1553" s="30"/>
      <c r="AP1553" s="30"/>
      <c r="AQ1553" s="30"/>
      <c r="AR1553" s="30"/>
      <c r="AS1553" s="30"/>
      <c r="AT1553" s="30"/>
      <c r="AU1553" s="30"/>
    </row>
    <row r="1554" spans="10:47" ht="15" customHeight="1" x14ac:dyDescent="0.25">
      <c r="J1554" s="30"/>
      <c r="K1554" s="30"/>
      <c r="L1554" s="30"/>
      <c r="M1554" s="30"/>
      <c r="N1554" s="33"/>
      <c r="O1554" s="30"/>
      <c r="P1554" s="29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  <c r="AJ1554" s="34"/>
      <c r="AK1554" s="30"/>
      <c r="AL1554" s="30"/>
      <c r="AM1554" s="30"/>
      <c r="AN1554" s="30"/>
      <c r="AO1554" s="30"/>
      <c r="AP1554" s="30"/>
      <c r="AQ1554" s="30"/>
      <c r="AR1554" s="30"/>
      <c r="AS1554" s="30"/>
      <c r="AT1554" s="30"/>
      <c r="AU1554" s="30"/>
    </row>
    <row r="1555" spans="10:47" ht="15" customHeight="1" x14ac:dyDescent="0.25">
      <c r="J1555" s="30"/>
      <c r="K1555" s="30"/>
      <c r="L1555" s="30"/>
      <c r="M1555" s="30"/>
      <c r="N1555" s="33"/>
      <c r="O1555" s="30"/>
      <c r="P1555" s="29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  <c r="AJ1555" s="34"/>
      <c r="AK1555" s="30"/>
      <c r="AL1555" s="30"/>
      <c r="AM1555" s="30"/>
      <c r="AN1555" s="30"/>
      <c r="AO1555" s="30"/>
      <c r="AP1555" s="30"/>
      <c r="AQ1555" s="30"/>
      <c r="AR1555" s="30"/>
      <c r="AS1555" s="30"/>
      <c r="AT1555" s="30"/>
      <c r="AU1555" s="30"/>
    </row>
    <row r="1556" spans="10:47" ht="15" customHeight="1" x14ac:dyDescent="0.25">
      <c r="J1556" s="30"/>
      <c r="K1556" s="30"/>
      <c r="L1556" s="30"/>
      <c r="M1556" s="30"/>
      <c r="N1556" s="33"/>
      <c r="O1556" s="30"/>
      <c r="P1556" s="29"/>
      <c r="Q1556" s="29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0"/>
      <c r="AJ1556" s="34"/>
      <c r="AK1556" s="30"/>
      <c r="AL1556" s="30"/>
      <c r="AM1556" s="30"/>
      <c r="AN1556" s="30"/>
      <c r="AO1556" s="30"/>
      <c r="AP1556" s="30"/>
      <c r="AQ1556" s="30"/>
      <c r="AR1556" s="30"/>
      <c r="AS1556" s="30"/>
      <c r="AT1556" s="30"/>
      <c r="AU1556" s="30"/>
    </row>
    <row r="1557" spans="10:47" ht="15" customHeight="1" x14ac:dyDescent="0.25">
      <c r="J1557" s="30"/>
      <c r="K1557" s="30"/>
      <c r="L1557" s="30"/>
      <c r="M1557" s="30"/>
      <c r="N1557" s="33"/>
      <c r="O1557" s="30"/>
      <c r="P1557" s="29"/>
      <c r="Q1557" s="29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0"/>
      <c r="AJ1557" s="34"/>
      <c r="AK1557" s="30"/>
      <c r="AL1557" s="30"/>
      <c r="AM1557" s="30"/>
      <c r="AN1557" s="30"/>
      <c r="AO1557" s="30"/>
      <c r="AP1557" s="30"/>
      <c r="AQ1557" s="30"/>
      <c r="AR1557" s="30"/>
      <c r="AS1557" s="30"/>
      <c r="AT1557" s="30"/>
      <c r="AU1557" s="30"/>
    </row>
    <row r="1558" spans="10:47" ht="15" customHeight="1" x14ac:dyDescent="0.25">
      <c r="J1558" s="30"/>
      <c r="K1558" s="30"/>
      <c r="L1558" s="30"/>
      <c r="M1558" s="30"/>
      <c r="N1558" s="33"/>
      <c r="O1558" s="30"/>
      <c r="P1558" s="29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  <c r="AJ1558" s="34"/>
      <c r="AK1558" s="30"/>
      <c r="AL1558" s="30"/>
      <c r="AM1558" s="30"/>
      <c r="AN1558" s="30"/>
      <c r="AO1558" s="30"/>
      <c r="AP1558" s="30"/>
      <c r="AQ1558" s="30"/>
      <c r="AR1558" s="30"/>
      <c r="AS1558" s="30"/>
      <c r="AT1558" s="30"/>
      <c r="AU1558" s="30"/>
    </row>
    <row r="1559" spans="10:47" ht="15" customHeight="1" x14ac:dyDescent="0.25">
      <c r="J1559" s="30"/>
      <c r="K1559" s="30"/>
      <c r="L1559" s="30"/>
      <c r="M1559" s="30"/>
      <c r="N1559" s="30"/>
      <c r="O1559" s="30"/>
      <c r="P1559" s="29"/>
      <c r="Q1559" s="29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  <c r="AJ1559" s="34"/>
      <c r="AK1559" s="30"/>
      <c r="AL1559" s="30"/>
      <c r="AM1559" s="30"/>
      <c r="AN1559" s="30"/>
      <c r="AO1559" s="30"/>
      <c r="AP1559" s="30"/>
      <c r="AQ1559" s="30"/>
      <c r="AR1559" s="30"/>
      <c r="AS1559" s="30"/>
      <c r="AT1559" s="30"/>
      <c r="AU1559" s="30"/>
    </row>
    <row r="1560" spans="10:47" ht="15" customHeight="1" x14ac:dyDescent="0.25">
      <c r="J1560" s="30"/>
      <c r="K1560" s="30"/>
      <c r="L1560" s="30"/>
      <c r="M1560" s="30"/>
      <c r="N1560" s="30"/>
      <c r="O1560" s="30"/>
      <c r="P1560" s="29"/>
      <c r="Q1560" s="29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  <c r="AJ1560" s="34"/>
      <c r="AK1560" s="30"/>
      <c r="AL1560" s="30"/>
      <c r="AM1560" s="30"/>
      <c r="AN1560" s="30"/>
      <c r="AO1560" s="30"/>
      <c r="AP1560" s="30"/>
      <c r="AQ1560" s="30"/>
      <c r="AR1560" s="30"/>
      <c r="AS1560" s="30"/>
      <c r="AT1560" s="30"/>
      <c r="AU1560" s="30"/>
    </row>
    <row r="1561" spans="10:47" ht="15" customHeight="1" x14ac:dyDescent="0.25">
      <c r="J1561" s="30"/>
      <c r="K1561" s="30"/>
      <c r="L1561" s="30"/>
      <c r="M1561" s="30"/>
      <c r="N1561" s="33"/>
      <c r="O1561" s="30"/>
      <c r="P1561" s="29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0"/>
      <c r="AJ1561" s="34"/>
      <c r="AK1561" s="30"/>
      <c r="AL1561" s="30"/>
      <c r="AM1561" s="30"/>
      <c r="AN1561" s="30"/>
      <c r="AO1561" s="30"/>
      <c r="AP1561" s="30"/>
      <c r="AQ1561" s="30"/>
      <c r="AR1561" s="30"/>
      <c r="AS1561" s="30"/>
      <c r="AT1561" s="30"/>
      <c r="AU1561" s="30"/>
    </row>
    <row r="1562" spans="10:47" ht="15" customHeight="1" x14ac:dyDescent="0.25">
      <c r="J1562" s="30"/>
      <c r="K1562" s="30"/>
      <c r="L1562" s="30"/>
      <c r="M1562" s="30"/>
      <c r="N1562" s="33"/>
      <c r="O1562" s="30"/>
      <c r="P1562" s="29"/>
      <c r="Q1562" s="29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0"/>
      <c r="AJ1562" s="34"/>
      <c r="AK1562" s="30"/>
      <c r="AL1562" s="30"/>
      <c r="AM1562" s="30"/>
      <c r="AN1562" s="30"/>
      <c r="AO1562" s="30"/>
      <c r="AP1562" s="30"/>
      <c r="AQ1562" s="30"/>
      <c r="AR1562" s="30"/>
      <c r="AS1562" s="30"/>
      <c r="AT1562" s="30"/>
      <c r="AU1562" s="30"/>
    </row>
    <row r="1563" spans="10:47" ht="15" customHeight="1" x14ac:dyDescent="0.25">
      <c r="J1563" s="30"/>
      <c r="K1563" s="30"/>
      <c r="L1563" s="30"/>
      <c r="M1563" s="30"/>
      <c r="N1563" s="33"/>
      <c r="O1563" s="30"/>
      <c r="P1563" s="29"/>
      <c r="Q1563" s="29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  <c r="AJ1563" s="34"/>
      <c r="AK1563" s="30"/>
      <c r="AL1563" s="30"/>
      <c r="AM1563" s="30"/>
      <c r="AN1563" s="30"/>
      <c r="AO1563" s="30"/>
      <c r="AP1563" s="30"/>
      <c r="AQ1563" s="30"/>
      <c r="AR1563" s="30"/>
      <c r="AS1563" s="30"/>
      <c r="AT1563" s="30"/>
      <c r="AU1563" s="30"/>
    </row>
    <row r="1564" spans="10:47" ht="15" customHeight="1" x14ac:dyDescent="0.25">
      <c r="J1564" s="30"/>
      <c r="K1564" s="30"/>
      <c r="L1564" s="30"/>
      <c r="M1564" s="30"/>
      <c r="N1564" s="30"/>
      <c r="O1564" s="30"/>
      <c r="P1564" s="29"/>
      <c r="Q1564" s="29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  <c r="AJ1564" s="34"/>
      <c r="AK1564" s="30"/>
      <c r="AL1564" s="30"/>
      <c r="AM1564" s="30"/>
      <c r="AN1564" s="30"/>
      <c r="AO1564" s="30"/>
      <c r="AP1564" s="30"/>
      <c r="AQ1564" s="30"/>
      <c r="AR1564" s="30"/>
      <c r="AS1564" s="30"/>
      <c r="AT1564" s="30"/>
      <c r="AU1564" s="30"/>
    </row>
    <row r="1565" spans="10:47" ht="15" customHeight="1" x14ac:dyDescent="0.25">
      <c r="J1565" s="30"/>
      <c r="K1565" s="30"/>
      <c r="L1565" s="30"/>
      <c r="M1565" s="30"/>
      <c r="N1565" s="33"/>
      <c r="O1565" s="30"/>
      <c r="P1565" s="29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  <c r="AJ1565" s="34"/>
      <c r="AK1565" s="30"/>
      <c r="AL1565" s="30"/>
      <c r="AM1565" s="30"/>
      <c r="AN1565" s="30"/>
      <c r="AO1565" s="30"/>
      <c r="AP1565" s="30"/>
      <c r="AQ1565" s="30"/>
      <c r="AR1565" s="30"/>
      <c r="AS1565" s="30"/>
      <c r="AT1565" s="30"/>
      <c r="AU1565" s="30"/>
    </row>
    <row r="1566" spans="10:47" ht="15" customHeight="1" x14ac:dyDescent="0.25">
      <c r="J1566" s="30"/>
      <c r="K1566" s="30"/>
      <c r="L1566" s="30"/>
      <c r="M1566" s="30"/>
      <c r="N1566" s="30"/>
      <c r="O1566" s="30"/>
      <c r="P1566" s="29"/>
      <c r="Q1566" s="29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  <c r="AJ1566" s="34"/>
      <c r="AK1566" s="30"/>
      <c r="AL1566" s="30"/>
      <c r="AM1566" s="30"/>
      <c r="AN1566" s="30"/>
      <c r="AO1566" s="30"/>
      <c r="AP1566" s="30"/>
      <c r="AQ1566" s="30"/>
      <c r="AR1566" s="30"/>
      <c r="AS1566" s="30"/>
      <c r="AT1566" s="30"/>
      <c r="AU1566" s="30"/>
    </row>
    <row r="1567" spans="10:47" ht="15" customHeight="1" x14ac:dyDescent="0.25">
      <c r="J1567" s="30"/>
      <c r="K1567" s="30"/>
      <c r="L1567" s="30"/>
      <c r="M1567" s="30"/>
      <c r="N1567" s="33"/>
      <c r="O1567" s="30"/>
      <c r="P1567" s="29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  <c r="AJ1567" s="34"/>
      <c r="AK1567" s="30"/>
      <c r="AL1567" s="30"/>
      <c r="AM1567" s="30"/>
      <c r="AN1567" s="30"/>
      <c r="AO1567" s="30"/>
      <c r="AP1567" s="30"/>
      <c r="AQ1567" s="30"/>
      <c r="AR1567" s="30"/>
      <c r="AS1567" s="30"/>
      <c r="AT1567" s="30"/>
      <c r="AU1567" s="30"/>
    </row>
    <row r="1568" spans="10:47" ht="15" customHeight="1" x14ac:dyDescent="0.25">
      <c r="J1568" s="30"/>
      <c r="K1568" s="30"/>
      <c r="L1568" s="30"/>
      <c r="M1568" s="30"/>
      <c r="N1568" s="33"/>
      <c r="O1568" s="30"/>
      <c r="P1568" s="29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  <c r="AJ1568" s="34"/>
      <c r="AK1568" s="30"/>
      <c r="AL1568" s="30"/>
      <c r="AM1568" s="30"/>
      <c r="AN1568" s="30"/>
      <c r="AO1568" s="30"/>
      <c r="AP1568" s="30"/>
      <c r="AQ1568" s="30"/>
      <c r="AR1568" s="30"/>
      <c r="AS1568" s="30"/>
      <c r="AT1568" s="30"/>
      <c r="AU1568" s="30"/>
    </row>
    <row r="1569" spans="10:47" ht="15" customHeight="1" x14ac:dyDescent="0.25">
      <c r="J1569" s="30"/>
      <c r="K1569" s="30"/>
      <c r="L1569" s="30"/>
      <c r="M1569" s="30"/>
      <c r="N1569" s="33"/>
      <c r="O1569" s="30"/>
      <c r="P1569" s="29"/>
      <c r="Q1569" s="29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c r="AJ1569" s="34"/>
      <c r="AK1569" s="30"/>
      <c r="AL1569" s="30"/>
      <c r="AM1569" s="30"/>
      <c r="AN1569" s="30"/>
      <c r="AO1569" s="30"/>
      <c r="AP1569" s="30"/>
      <c r="AQ1569" s="30"/>
      <c r="AR1569" s="30"/>
      <c r="AS1569" s="30"/>
      <c r="AT1569" s="30"/>
      <c r="AU1569" s="30"/>
    </row>
    <row r="1570" spans="10:47" ht="15" customHeight="1" x14ac:dyDescent="0.25">
      <c r="J1570" s="30"/>
      <c r="K1570" s="30"/>
      <c r="L1570" s="30"/>
      <c r="M1570" s="30"/>
      <c r="N1570" s="33"/>
      <c r="O1570" s="30"/>
      <c r="P1570" s="29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0"/>
      <c r="AJ1570" s="34"/>
      <c r="AK1570" s="30"/>
      <c r="AL1570" s="30"/>
      <c r="AM1570" s="30"/>
      <c r="AN1570" s="30"/>
      <c r="AO1570" s="30"/>
      <c r="AP1570" s="30"/>
      <c r="AQ1570" s="30"/>
      <c r="AR1570" s="30"/>
      <c r="AS1570" s="30"/>
      <c r="AT1570" s="30"/>
      <c r="AU1570" s="30"/>
    </row>
    <row r="1571" spans="10:47" ht="15" customHeight="1" x14ac:dyDescent="0.25">
      <c r="J1571" s="30"/>
      <c r="K1571" s="30"/>
      <c r="L1571" s="30"/>
      <c r="M1571" s="30"/>
      <c r="N1571" s="33"/>
      <c r="O1571" s="30"/>
      <c r="P1571" s="29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0"/>
      <c r="AJ1571" s="34"/>
      <c r="AK1571" s="30"/>
      <c r="AL1571" s="30"/>
      <c r="AM1571" s="30"/>
      <c r="AN1571" s="30"/>
      <c r="AO1571" s="30"/>
      <c r="AP1571" s="30"/>
      <c r="AQ1571" s="30"/>
      <c r="AR1571" s="30"/>
      <c r="AS1571" s="30"/>
      <c r="AT1571" s="30"/>
      <c r="AU1571" s="30"/>
    </row>
    <row r="1572" spans="10:47" ht="15" customHeight="1" x14ac:dyDescent="0.25">
      <c r="J1572" s="30"/>
      <c r="K1572" s="30"/>
      <c r="L1572" s="30"/>
      <c r="M1572" s="30"/>
      <c r="N1572" s="33"/>
      <c r="O1572" s="30"/>
      <c r="P1572" s="29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  <c r="AJ1572" s="34"/>
      <c r="AK1572" s="30"/>
      <c r="AL1572" s="30"/>
      <c r="AM1572" s="30"/>
      <c r="AN1572" s="30"/>
      <c r="AO1572" s="30"/>
      <c r="AP1572" s="30"/>
      <c r="AQ1572" s="30"/>
      <c r="AR1572" s="30"/>
      <c r="AS1572" s="30"/>
      <c r="AT1572" s="30"/>
      <c r="AU1572" s="30"/>
    </row>
    <row r="1573" spans="10:47" ht="15" customHeight="1" x14ac:dyDescent="0.25">
      <c r="J1573" s="30"/>
      <c r="K1573" s="30"/>
      <c r="L1573" s="30"/>
      <c r="M1573" s="30"/>
      <c r="N1573" s="33"/>
      <c r="O1573" s="30"/>
      <c r="P1573" s="29"/>
      <c r="Q1573" s="29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  <c r="AJ1573" s="34"/>
      <c r="AK1573" s="30"/>
      <c r="AL1573" s="30"/>
      <c r="AM1573" s="30"/>
      <c r="AN1573" s="30"/>
      <c r="AO1573" s="30"/>
      <c r="AP1573" s="30"/>
      <c r="AQ1573" s="30"/>
      <c r="AR1573" s="30"/>
      <c r="AS1573" s="30"/>
      <c r="AT1573" s="30"/>
      <c r="AU1573" s="30"/>
    </row>
    <row r="1574" spans="10:47" ht="15" customHeight="1" x14ac:dyDescent="0.25">
      <c r="J1574" s="30"/>
      <c r="K1574" s="30"/>
      <c r="L1574" s="30"/>
      <c r="M1574" s="30"/>
      <c r="N1574" s="33"/>
      <c r="O1574" s="30"/>
      <c r="P1574" s="29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c r="AJ1574" s="34"/>
      <c r="AK1574" s="30"/>
      <c r="AL1574" s="30"/>
      <c r="AM1574" s="30"/>
      <c r="AN1574" s="30"/>
      <c r="AO1574" s="30"/>
      <c r="AP1574" s="30"/>
      <c r="AQ1574" s="30"/>
      <c r="AR1574" s="30"/>
      <c r="AS1574" s="30"/>
      <c r="AT1574" s="30"/>
      <c r="AU1574" s="30"/>
    </row>
    <row r="1575" spans="10:47" ht="15" customHeight="1" x14ac:dyDescent="0.25">
      <c r="J1575" s="30"/>
      <c r="K1575" s="30"/>
      <c r="L1575" s="30"/>
      <c r="M1575" s="30"/>
      <c r="N1575" s="33"/>
      <c r="O1575" s="30"/>
      <c r="P1575" s="29"/>
      <c r="Q1575" s="29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  <c r="AJ1575" s="34"/>
      <c r="AK1575" s="30"/>
      <c r="AL1575" s="30"/>
      <c r="AM1575" s="30"/>
      <c r="AN1575" s="30"/>
      <c r="AO1575" s="30"/>
      <c r="AP1575" s="30"/>
      <c r="AQ1575" s="30"/>
      <c r="AR1575" s="30"/>
      <c r="AS1575" s="30"/>
      <c r="AT1575" s="30"/>
      <c r="AU1575" s="30"/>
    </row>
    <row r="1576" spans="10:47" ht="15" customHeight="1" x14ac:dyDescent="0.25">
      <c r="J1576" s="30"/>
      <c r="K1576" s="30"/>
      <c r="L1576" s="30"/>
      <c r="M1576" s="30"/>
      <c r="N1576" s="30"/>
      <c r="O1576" s="30"/>
      <c r="P1576" s="29"/>
      <c r="Q1576" s="29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  <c r="AJ1576" s="34"/>
      <c r="AK1576" s="30"/>
      <c r="AL1576" s="30"/>
      <c r="AM1576" s="30"/>
      <c r="AN1576" s="30"/>
      <c r="AO1576" s="30"/>
      <c r="AP1576" s="30"/>
      <c r="AQ1576" s="30"/>
      <c r="AR1576" s="30"/>
      <c r="AS1576" s="30"/>
      <c r="AT1576" s="30"/>
      <c r="AU1576" s="30"/>
    </row>
    <row r="1577" spans="10:47" ht="15" customHeight="1" x14ac:dyDescent="0.25">
      <c r="J1577" s="30"/>
      <c r="K1577" s="30"/>
      <c r="L1577" s="30"/>
      <c r="M1577" s="30"/>
      <c r="N1577" s="33"/>
      <c r="O1577" s="30"/>
      <c r="P1577" s="29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0"/>
      <c r="AJ1577" s="34"/>
      <c r="AK1577" s="30"/>
      <c r="AL1577" s="30"/>
      <c r="AM1577" s="30"/>
      <c r="AN1577" s="30"/>
      <c r="AO1577" s="30"/>
      <c r="AP1577" s="30"/>
      <c r="AQ1577" s="30"/>
      <c r="AR1577" s="30"/>
      <c r="AS1577" s="30"/>
      <c r="AT1577" s="30"/>
      <c r="AU1577" s="30"/>
    </row>
    <row r="1578" spans="10:47" ht="15" customHeight="1" x14ac:dyDescent="0.25">
      <c r="J1578" s="30"/>
      <c r="K1578" s="30"/>
      <c r="L1578" s="30"/>
      <c r="M1578" s="30"/>
      <c r="N1578" s="33"/>
      <c r="O1578" s="30"/>
      <c r="P1578" s="29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0"/>
      <c r="AJ1578" s="34"/>
      <c r="AK1578" s="30"/>
      <c r="AL1578" s="30"/>
      <c r="AM1578" s="30"/>
      <c r="AN1578" s="30"/>
      <c r="AO1578" s="30"/>
      <c r="AP1578" s="30"/>
      <c r="AQ1578" s="30"/>
      <c r="AR1578" s="30"/>
      <c r="AS1578" s="30"/>
      <c r="AT1578" s="30"/>
      <c r="AU1578" s="30"/>
    </row>
    <row r="1579" spans="10:47" ht="15" customHeight="1" x14ac:dyDescent="0.25">
      <c r="J1579" s="30"/>
      <c r="K1579" s="30"/>
      <c r="L1579" s="30"/>
      <c r="M1579" s="30"/>
      <c r="N1579" s="33"/>
      <c r="O1579" s="30"/>
      <c r="P1579" s="29"/>
      <c r="Q1579" s="29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  <c r="AJ1579" s="34"/>
      <c r="AK1579" s="30"/>
      <c r="AL1579" s="30"/>
      <c r="AM1579" s="30"/>
      <c r="AN1579" s="30"/>
      <c r="AO1579" s="30"/>
      <c r="AP1579" s="30"/>
      <c r="AQ1579" s="30"/>
      <c r="AR1579" s="30"/>
      <c r="AS1579" s="30"/>
      <c r="AT1579" s="30"/>
      <c r="AU1579" s="30"/>
    </row>
    <row r="1580" spans="10:47" ht="15" customHeight="1" x14ac:dyDescent="0.25">
      <c r="J1580" s="30"/>
      <c r="K1580" s="30"/>
      <c r="L1580" s="30"/>
      <c r="M1580" s="30"/>
      <c r="N1580" s="33"/>
      <c r="O1580" s="30"/>
      <c r="P1580" s="29"/>
      <c r="Q1580" s="29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  <c r="AJ1580" s="34"/>
      <c r="AK1580" s="30"/>
      <c r="AL1580" s="30"/>
      <c r="AM1580" s="30"/>
      <c r="AN1580" s="30"/>
      <c r="AO1580" s="30"/>
      <c r="AP1580" s="30"/>
      <c r="AQ1580" s="30"/>
      <c r="AR1580" s="30"/>
      <c r="AS1580" s="30"/>
      <c r="AT1580" s="30"/>
      <c r="AU1580" s="30"/>
    </row>
    <row r="1581" spans="10:47" ht="15" customHeight="1" x14ac:dyDescent="0.25">
      <c r="J1581" s="30"/>
      <c r="K1581" s="30"/>
      <c r="L1581" s="30"/>
      <c r="M1581" s="30"/>
      <c r="N1581" s="33"/>
      <c r="O1581" s="30"/>
      <c r="P1581" s="29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  <c r="AJ1581" s="34"/>
      <c r="AK1581" s="30"/>
      <c r="AL1581" s="30"/>
      <c r="AM1581" s="30"/>
      <c r="AN1581" s="30"/>
      <c r="AO1581" s="30"/>
      <c r="AP1581" s="30"/>
      <c r="AQ1581" s="30"/>
      <c r="AR1581" s="30"/>
      <c r="AS1581" s="30"/>
      <c r="AT1581" s="30"/>
      <c r="AU1581" s="30"/>
    </row>
    <row r="1582" spans="10:47" ht="15" customHeight="1" x14ac:dyDescent="0.25">
      <c r="J1582" s="30"/>
      <c r="K1582" s="30"/>
      <c r="L1582" s="30"/>
      <c r="M1582" s="30"/>
      <c r="N1582" s="33"/>
      <c r="O1582" s="30"/>
      <c r="P1582" s="29"/>
      <c r="Q1582" s="29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0"/>
      <c r="AJ1582" s="34"/>
      <c r="AK1582" s="30"/>
      <c r="AL1582" s="30"/>
      <c r="AM1582" s="30"/>
      <c r="AN1582" s="30"/>
      <c r="AO1582" s="30"/>
      <c r="AP1582" s="30"/>
      <c r="AQ1582" s="30"/>
      <c r="AR1582" s="30"/>
      <c r="AS1582" s="30"/>
      <c r="AT1582" s="30"/>
      <c r="AU1582" s="30"/>
    </row>
    <row r="1583" spans="10:47" ht="15" customHeight="1" x14ac:dyDescent="0.25">
      <c r="J1583" s="30"/>
      <c r="K1583" s="30"/>
      <c r="L1583" s="30"/>
      <c r="M1583" s="30"/>
      <c r="N1583" s="30"/>
      <c r="O1583" s="30"/>
      <c r="P1583" s="29"/>
      <c r="Q1583" s="29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0"/>
      <c r="AJ1583" s="34"/>
      <c r="AK1583" s="30"/>
      <c r="AL1583" s="30"/>
      <c r="AM1583" s="30"/>
      <c r="AN1583" s="30"/>
      <c r="AO1583" s="30"/>
      <c r="AP1583" s="30"/>
      <c r="AQ1583" s="30"/>
      <c r="AR1583" s="30"/>
      <c r="AS1583" s="30"/>
      <c r="AT1583" s="30"/>
      <c r="AU1583" s="30"/>
    </row>
    <row r="1584" spans="10:47" ht="15" customHeight="1" x14ac:dyDescent="0.25">
      <c r="J1584" s="30"/>
      <c r="K1584" s="30"/>
      <c r="L1584" s="30"/>
      <c r="M1584" s="30"/>
      <c r="N1584" s="30"/>
      <c r="O1584" s="30"/>
      <c r="P1584" s="29"/>
      <c r="Q1584" s="29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  <c r="AJ1584" s="34"/>
      <c r="AK1584" s="30"/>
      <c r="AL1584" s="30"/>
      <c r="AM1584" s="30"/>
      <c r="AN1584" s="30"/>
      <c r="AO1584" s="30"/>
      <c r="AP1584" s="30"/>
      <c r="AQ1584" s="30"/>
      <c r="AR1584" s="30"/>
      <c r="AS1584" s="30"/>
      <c r="AT1584" s="30"/>
      <c r="AU1584" s="30"/>
    </row>
    <row r="1585" spans="10:47" ht="15" customHeight="1" x14ac:dyDescent="0.25">
      <c r="J1585" s="30"/>
      <c r="K1585" s="30"/>
      <c r="L1585" s="30"/>
      <c r="M1585" s="30"/>
      <c r="N1585" s="33"/>
      <c r="O1585" s="30"/>
      <c r="P1585" s="29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c r="AJ1585" s="34"/>
      <c r="AK1585" s="30"/>
      <c r="AL1585" s="30"/>
      <c r="AM1585" s="30"/>
      <c r="AN1585" s="30"/>
      <c r="AO1585" s="30"/>
      <c r="AP1585" s="30"/>
      <c r="AQ1585" s="30"/>
      <c r="AR1585" s="30"/>
      <c r="AS1585" s="30"/>
      <c r="AT1585" s="30"/>
      <c r="AU1585" s="30"/>
    </row>
    <row r="1586" spans="10:47" ht="15" customHeight="1" x14ac:dyDescent="0.25">
      <c r="J1586" s="30"/>
      <c r="K1586" s="30"/>
      <c r="L1586" s="30"/>
      <c r="M1586" s="30"/>
      <c r="N1586" s="33"/>
      <c r="O1586" s="30"/>
      <c r="P1586" s="29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  <c r="AJ1586" s="34"/>
      <c r="AK1586" s="30"/>
      <c r="AL1586" s="30"/>
      <c r="AM1586" s="30"/>
      <c r="AN1586" s="30"/>
      <c r="AO1586" s="30"/>
      <c r="AP1586" s="30"/>
      <c r="AQ1586" s="30"/>
      <c r="AR1586" s="30"/>
      <c r="AS1586" s="30"/>
      <c r="AT1586" s="30"/>
      <c r="AU1586" s="30"/>
    </row>
    <row r="1587" spans="10:47" ht="15" customHeight="1" x14ac:dyDescent="0.25">
      <c r="J1587" s="30"/>
      <c r="K1587" s="30"/>
      <c r="L1587" s="30"/>
      <c r="M1587" s="30"/>
      <c r="N1587" s="33"/>
      <c r="O1587" s="30"/>
      <c r="P1587" s="29"/>
      <c r="Q1587" s="29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  <c r="AJ1587" s="34"/>
      <c r="AK1587" s="30"/>
      <c r="AL1587" s="30"/>
      <c r="AM1587" s="30"/>
      <c r="AN1587" s="30"/>
      <c r="AO1587" s="30"/>
      <c r="AP1587" s="30"/>
      <c r="AQ1587" s="30"/>
      <c r="AR1587" s="30"/>
      <c r="AS1587" s="30"/>
      <c r="AT1587" s="30"/>
      <c r="AU1587" s="30"/>
    </row>
    <row r="1588" spans="10:47" ht="15" customHeight="1" x14ac:dyDescent="0.25">
      <c r="J1588" s="30"/>
      <c r="K1588" s="30"/>
      <c r="L1588" s="30"/>
      <c r="M1588" s="30"/>
      <c r="N1588" s="33"/>
      <c r="O1588" s="30"/>
      <c r="P1588" s="29"/>
      <c r="Q1588" s="29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c r="AJ1588" s="34"/>
      <c r="AK1588" s="30"/>
      <c r="AL1588" s="30"/>
      <c r="AM1588" s="30"/>
      <c r="AN1588" s="30"/>
      <c r="AO1588" s="30"/>
      <c r="AP1588" s="30"/>
      <c r="AQ1588" s="30"/>
      <c r="AR1588" s="30"/>
      <c r="AS1588" s="30"/>
      <c r="AT1588" s="30"/>
      <c r="AU1588" s="30"/>
    </row>
    <row r="1589" spans="10:47" ht="15" customHeight="1" x14ac:dyDescent="0.25">
      <c r="J1589" s="30"/>
      <c r="K1589" s="30"/>
      <c r="L1589" s="30"/>
      <c r="M1589" s="30"/>
      <c r="N1589" s="33"/>
      <c r="O1589" s="30"/>
      <c r="P1589" s="29"/>
      <c r="Q1589" s="29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c r="AJ1589" s="34"/>
      <c r="AK1589" s="30"/>
      <c r="AL1589" s="30"/>
      <c r="AM1589" s="30"/>
      <c r="AN1589" s="30"/>
      <c r="AO1589" s="30"/>
      <c r="AP1589" s="30"/>
      <c r="AQ1589" s="30"/>
      <c r="AR1589" s="30"/>
      <c r="AS1589" s="30"/>
      <c r="AT1589" s="30"/>
      <c r="AU1589" s="30"/>
    </row>
    <row r="1590" spans="10:47" ht="15" customHeight="1" x14ac:dyDescent="0.25">
      <c r="J1590" s="30"/>
      <c r="K1590" s="30"/>
      <c r="L1590" s="30"/>
      <c r="M1590" s="30"/>
      <c r="N1590" s="33"/>
      <c r="O1590" s="30"/>
      <c r="P1590" s="29"/>
      <c r="Q1590" s="29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  <c r="AJ1590" s="34"/>
      <c r="AK1590" s="30"/>
      <c r="AL1590" s="30"/>
      <c r="AM1590" s="30"/>
      <c r="AN1590" s="30"/>
      <c r="AO1590" s="30"/>
      <c r="AP1590" s="30"/>
      <c r="AQ1590" s="30"/>
      <c r="AR1590" s="30"/>
      <c r="AS1590" s="30"/>
      <c r="AT1590" s="30"/>
      <c r="AU1590" s="30"/>
    </row>
    <row r="1591" spans="10:47" ht="15" customHeight="1" x14ac:dyDescent="0.25">
      <c r="J1591" s="30"/>
      <c r="K1591" s="30"/>
      <c r="L1591" s="30"/>
      <c r="M1591" s="30"/>
      <c r="N1591" s="30"/>
      <c r="O1591" s="30"/>
      <c r="P1591" s="29"/>
      <c r="Q1591" s="29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  <c r="AJ1591" s="34"/>
      <c r="AK1591" s="30"/>
      <c r="AL1591" s="30"/>
      <c r="AM1591" s="30"/>
      <c r="AN1591" s="30"/>
      <c r="AO1591" s="30"/>
      <c r="AP1591" s="30"/>
      <c r="AQ1591" s="30"/>
      <c r="AR1591" s="30"/>
      <c r="AS1591" s="30"/>
      <c r="AT1591" s="30"/>
      <c r="AU1591" s="30"/>
    </row>
    <row r="1592" spans="10:47" ht="15" customHeight="1" x14ac:dyDescent="0.25">
      <c r="J1592" s="30"/>
      <c r="K1592" s="30"/>
      <c r="L1592" s="30"/>
      <c r="M1592" s="30"/>
      <c r="N1592" s="33"/>
      <c r="O1592" s="30"/>
      <c r="P1592" s="29"/>
      <c r="Q1592" s="29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0"/>
      <c r="AJ1592" s="34"/>
      <c r="AK1592" s="30"/>
      <c r="AL1592" s="30"/>
      <c r="AM1592" s="30"/>
      <c r="AN1592" s="30"/>
      <c r="AO1592" s="30"/>
      <c r="AP1592" s="30"/>
      <c r="AQ1592" s="30"/>
      <c r="AR1592" s="30"/>
      <c r="AS1592" s="30"/>
      <c r="AT1592" s="30"/>
      <c r="AU1592" s="30"/>
    </row>
    <row r="1593" spans="10:47" ht="15" customHeight="1" x14ac:dyDescent="0.25">
      <c r="J1593" s="30"/>
      <c r="K1593" s="30"/>
      <c r="L1593" s="30"/>
      <c r="M1593" s="30"/>
      <c r="N1593" s="33"/>
      <c r="O1593" s="30"/>
      <c r="P1593" s="29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0"/>
      <c r="AJ1593" s="34"/>
      <c r="AK1593" s="30"/>
      <c r="AL1593" s="30"/>
      <c r="AM1593" s="30"/>
      <c r="AN1593" s="30"/>
      <c r="AO1593" s="30"/>
      <c r="AP1593" s="30"/>
      <c r="AQ1593" s="30"/>
      <c r="AR1593" s="30"/>
      <c r="AS1593" s="30"/>
      <c r="AT1593" s="30"/>
      <c r="AU1593" s="30"/>
    </row>
    <row r="1594" spans="10:47" ht="15" customHeight="1" x14ac:dyDescent="0.25">
      <c r="J1594" s="30"/>
      <c r="K1594" s="30"/>
      <c r="L1594" s="30"/>
      <c r="M1594" s="30"/>
      <c r="N1594" s="30"/>
      <c r="O1594" s="30"/>
      <c r="P1594" s="29"/>
      <c r="Q1594" s="29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  <c r="AJ1594" s="34"/>
      <c r="AK1594" s="30"/>
      <c r="AL1594" s="30"/>
      <c r="AM1594" s="30"/>
      <c r="AN1594" s="30"/>
      <c r="AO1594" s="30"/>
      <c r="AP1594" s="30"/>
      <c r="AQ1594" s="30"/>
      <c r="AR1594" s="30"/>
      <c r="AS1594" s="30"/>
      <c r="AT1594" s="30"/>
      <c r="AU1594" s="30"/>
    </row>
    <row r="1595" spans="10:47" ht="15" customHeight="1" x14ac:dyDescent="0.25">
      <c r="J1595" s="30"/>
      <c r="K1595" s="30"/>
      <c r="L1595" s="30"/>
      <c r="M1595" s="30"/>
      <c r="N1595" s="30"/>
      <c r="O1595" s="30"/>
      <c r="P1595" s="29"/>
      <c r="Q1595" s="29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  <c r="AJ1595" s="34"/>
      <c r="AK1595" s="30"/>
      <c r="AL1595" s="30"/>
      <c r="AM1595" s="30"/>
      <c r="AN1595" s="30"/>
      <c r="AO1595" s="30"/>
      <c r="AP1595" s="30"/>
      <c r="AQ1595" s="30"/>
      <c r="AR1595" s="30"/>
      <c r="AS1595" s="30"/>
      <c r="AT1595" s="30"/>
      <c r="AU1595" s="30"/>
    </row>
    <row r="1596" spans="10:47" ht="15" customHeight="1" x14ac:dyDescent="0.25">
      <c r="J1596" s="30"/>
      <c r="K1596" s="30"/>
      <c r="L1596" s="30"/>
      <c r="M1596" s="30"/>
      <c r="N1596" s="33"/>
      <c r="O1596" s="30"/>
      <c r="P1596" s="29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  <c r="AJ1596" s="34"/>
      <c r="AK1596" s="30"/>
      <c r="AL1596" s="30"/>
      <c r="AM1596" s="30"/>
      <c r="AN1596" s="30"/>
      <c r="AO1596" s="30"/>
      <c r="AP1596" s="30"/>
      <c r="AQ1596" s="30"/>
      <c r="AR1596" s="30"/>
      <c r="AS1596" s="30"/>
      <c r="AT1596" s="30"/>
      <c r="AU1596" s="30"/>
    </row>
    <row r="1597" spans="10:47" ht="15" customHeight="1" x14ac:dyDescent="0.25">
      <c r="J1597" s="30"/>
      <c r="K1597" s="30"/>
      <c r="L1597" s="30"/>
      <c r="M1597" s="30"/>
      <c r="N1597" s="33"/>
      <c r="O1597" s="30"/>
      <c r="P1597" s="29"/>
      <c r="Q1597" s="29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  <c r="AJ1597" s="34"/>
      <c r="AK1597" s="30"/>
      <c r="AL1597" s="30"/>
      <c r="AM1597" s="30"/>
      <c r="AN1597" s="30"/>
      <c r="AO1597" s="30"/>
      <c r="AP1597" s="30"/>
      <c r="AQ1597" s="30"/>
      <c r="AR1597" s="30"/>
      <c r="AS1597" s="30"/>
      <c r="AT1597" s="30"/>
      <c r="AU1597" s="30"/>
    </row>
    <row r="1598" spans="10:47" ht="15" customHeight="1" x14ac:dyDescent="0.25">
      <c r="J1598" s="30"/>
      <c r="K1598" s="30"/>
      <c r="L1598" s="30"/>
      <c r="M1598" s="30"/>
      <c r="N1598" s="33"/>
      <c r="O1598" s="30"/>
      <c r="P1598" s="29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  <c r="AJ1598" s="34"/>
      <c r="AK1598" s="30"/>
      <c r="AL1598" s="30"/>
      <c r="AM1598" s="30"/>
      <c r="AN1598" s="30"/>
      <c r="AO1598" s="30"/>
      <c r="AP1598" s="30"/>
      <c r="AQ1598" s="30"/>
      <c r="AR1598" s="30"/>
      <c r="AS1598" s="30"/>
      <c r="AT1598" s="30"/>
      <c r="AU1598" s="30"/>
    </row>
    <row r="1599" spans="10:47" ht="15" customHeight="1" x14ac:dyDescent="0.25">
      <c r="J1599" s="30"/>
      <c r="K1599" s="30"/>
      <c r="L1599" s="30"/>
      <c r="M1599" s="30"/>
      <c r="N1599" s="30"/>
      <c r="O1599" s="30"/>
      <c r="P1599" s="29"/>
      <c r="Q1599" s="29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  <c r="AJ1599" s="34"/>
      <c r="AK1599" s="30"/>
      <c r="AL1599" s="30"/>
      <c r="AM1599" s="30"/>
      <c r="AN1599" s="30"/>
      <c r="AO1599" s="30"/>
      <c r="AP1599" s="30"/>
      <c r="AQ1599" s="30"/>
      <c r="AR1599" s="30"/>
      <c r="AS1599" s="30"/>
      <c r="AT1599" s="30"/>
      <c r="AU1599" s="30"/>
    </row>
    <row r="1600" spans="10:47" ht="15" customHeight="1" x14ac:dyDescent="0.25">
      <c r="J1600" s="30"/>
      <c r="K1600" s="30"/>
      <c r="L1600" s="30"/>
      <c r="M1600" s="30"/>
      <c r="N1600" s="33"/>
      <c r="O1600" s="30"/>
      <c r="P1600" s="29"/>
      <c r="Q1600" s="29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0"/>
      <c r="AJ1600" s="34"/>
      <c r="AK1600" s="30"/>
      <c r="AL1600" s="30"/>
      <c r="AM1600" s="30"/>
      <c r="AN1600" s="30"/>
      <c r="AO1600" s="30"/>
      <c r="AP1600" s="30"/>
      <c r="AQ1600" s="30"/>
      <c r="AR1600" s="30"/>
      <c r="AS1600" s="30"/>
      <c r="AT1600" s="30"/>
      <c r="AU1600" s="30"/>
    </row>
    <row r="1601" spans="10:47" ht="15" customHeight="1" x14ac:dyDescent="0.25">
      <c r="J1601" s="30"/>
      <c r="K1601" s="30"/>
      <c r="L1601" s="30"/>
      <c r="M1601" s="30"/>
      <c r="N1601" s="33"/>
      <c r="O1601" s="30"/>
      <c r="P1601" s="29"/>
      <c r="Q1601" s="29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0"/>
      <c r="AJ1601" s="34"/>
      <c r="AK1601" s="30"/>
      <c r="AL1601" s="30"/>
      <c r="AM1601" s="30"/>
      <c r="AN1601" s="30"/>
      <c r="AO1601" s="30"/>
      <c r="AP1601" s="30"/>
      <c r="AQ1601" s="30"/>
      <c r="AR1601" s="30"/>
      <c r="AS1601" s="30"/>
      <c r="AT1601" s="30"/>
      <c r="AU1601" s="30"/>
    </row>
    <row r="1602" spans="10:47" ht="15" customHeight="1" x14ac:dyDescent="0.25">
      <c r="J1602" s="30"/>
      <c r="K1602" s="30"/>
      <c r="L1602" s="30"/>
      <c r="M1602" s="30"/>
      <c r="N1602" s="30"/>
      <c r="O1602" s="30"/>
      <c r="P1602" s="29"/>
      <c r="Q1602" s="29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  <c r="AJ1602" s="34"/>
      <c r="AK1602" s="30"/>
      <c r="AL1602" s="30"/>
      <c r="AM1602" s="30"/>
      <c r="AN1602" s="30"/>
      <c r="AO1602" s="30"/>
      <c r="AP1602" s="30"/>
      <c r="AQ1602" s="30"/>
      <c r="AR1602" s="30"/>
      <c r="AS1602" s="30"/>
      <c r="AT1602" s="30"/>
      <c r="AU1602" s="30"/>
    </row>
    <row r="1603" spans="10:47" ht="15" customHeight="1" x14ac:dyDescent="0.25">
      <c r="J1603" s="30"/>
      <c r="K1603" s="30"/>
      <c r="L1603" s="30"/>
      <c r="M1603" s="30"/>
      <c r="N1603" s="30"/>
      <c r="O1603" s="30"/>
      <c r="P1603" s="29"/>
      <c r="Q1603" s="29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  <c r="AJ1603" s="34"/>
      <c r="AK1603" s="30"/>
      <c r="AL1603" s="30"/>
      <c r="AM1603" s="30"/>
      <c r="AN1603" s="30"/>
      <c r="AO1603" s="30"/>
      <c r="AP1603" s="30"/>
      <c r="AQ1603" s="30"/>
      <c r="AR1603" s="30"/>
      <c r="AS1603" s="30"/>
      <c r="AT1603" s="30"/>
      <c r="AU1603" s="30"/>
    </row>
    <row r="1604" spans="10:47" ht="15" customHeight="1" x14ac:dyDescent="0.25">
      <c r="J1604" s="30"/>
      <c r="K1604" s="30"/>
      <c r="L1604" s="30"/>
      <c r="M1604" s="30"/>
      <c r="N1604" s="30"/>
      <c r="O1604" s="30"/>
      <c r="P1604" s="29"/>
      <c r="Q1604" s="29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  <c r="AJ1604" s="34"/>
      <c r="AK1604" s="30"/>
      <c r="AL1604" s="30"/>
      <c r="AM1604" s="30"/>
      <c r="AN1604" s="30"/>
      <c r="AO1604" s="30"/>
      <c r="AP1604" s="30"/>
      <c r="AQ1604" s="30"/>
      <c r="AR1604" s="30"/>
      <c r="AS1604" s="30"/>
      <c r="AT1604" s="30"/>
      <c r="AU1604" s="30"/>
    </row>
    <row r="1605" spans="10:47" ht="15" customHeight="1" x14ac:dyDescent="0.25">
      <c r="J1605" s="30"/>
      <c r="K1605" s="30"/>
      <c r="L1605" s="30"/>
      <c r="M1605" s="30"/>
      <c r="N1605" s="33"/>
      <c r="O1605" s="30"/>
      <c r="P1605" s="29"/>
      <c r="Q1605" s="29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  <c r="AJ1605" s="34"/>
      <c r="AK1605" s="30"/>
      <c r="AL1605" s="30"/>
      <c r="AM1605" s="30"/>
      <c r="AN1605" s="30"/>
      <c r="AO1605" s="30"/>
      <c r="AP1605" s="30"/>
      <c r="AQ1605" s="30"/>
      <c r="AR1605" s="30"/>
      <c r="AS1605" s="30"/>
      <c r="AT1605" s="30"/>
      <c r="AU1605" s="30"/>
    </row>
    <row r="1606" spans="10:47" ht="15" customHeight="1" x14ac:dyDescent="0.25">
      <c r="J1606" s="30"/>
      <c r="K1606" s="30"/>
      <c r="L1606" s="30"/>
      <c r="M1606" s="30"/>
      <c r="N1606" s="33"/>
      <c r="O1606" s="30"/>
      <c r="P1606" s="29"/>
      <c r="Q1606" s="29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  <c r="AJ1606" s="34"/>
      <c r="AK1606" s="30"/>
      <c r="AL1606" s="30"/>
      <c r="AM1606" s="30"/>
      <c r="AN1606" s="30"/>
      <c r="AO1606" s="30"/>
      <c r="AP1606" s="30"/>
      <c r="AQ1606" s="30"/>
      <c r="AR1606" s="30"/>
      <c r="AS1606" s="30"/>
      <c r="AT1606" s="30"/>
      <c r="AU1606" s="30"/>
    </row>
    <row r="1607" spans="10:47" ht="15" customHeight="1" x14ac:dyDescent="0.25">
      <c r="J1607" s="30"/>
      <c r="K1607" s="30"/>
      <c r="L1607" s="30"/>
      <c r="M1607" s="30"/>
      <c r="N1607" s="33"/>
      <c r="O1607" s="30"/>
      <c r="P1607" s="29"/>
      <c r="Q1607" s="29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0"/>
      <c r="AJ1607" s="34"/>
      <c r="AK1607" s="30"/>
      <c r="AL1607" s="30"/>
      <c r="AM1607" s="30"/>
      <c r="AN1607" s="30"/>
      <c r="AO1607" s="30"/>
      <c r="AP1607" s="30"/>
      <c r="AQ1607" s="30"/>
      <c r="AR1607" s="30"/>
      <c r="AS1607" s="30"/>
      <c r="AT1607" s="30"/>
      <c r="AU1607" s="30"/>
    </row>
    <row r="1608" spans="10:47" ht="15" customHeight="1" x14ac:dyDescent="0.25">
      <c r="J1608" s="30"/>
      <c r="K1608" s="30"/>
      <c r="L1608" s="30"/>
      <c r="M1608" s="30"/>
      <c r="N1608" s="33"/>
      <c r="O1608" s="30"/>
      <c r="P1608" s="29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0"/>
      <c r="AJ1608" s="34"/>
      <c r="AK1608" s="30"/>
      <c r="AL1608" s="30"/>
      <c r="AM1608" s="30"/>
      <c r="AN1608" s="30"/>
      <c r="AO1608" s="30"/>
      <c r="AP1608" s="30"/>
      <c r="AQ1608" s="30"/>
      <c r="AR1608" s="30"/>
      <c r="AS1608" s="30"/>
      <c r="AT1608" s="30"/>
      <c r="AU1608" s="30"/>
    </row>
    <row r="1609" spans="10:47" ht="15" customHeight="1" x14ac:dyDescent="0.25">
      <c r="J1609" s="30"/>
      <c r="K1609" s="30"/>
      <c r="L1609" s="30"/>
      <c r="M1609" s="30"/>
      <c r="N1609" s="33"/>
      <c r="O1609" s="30"/>
      <c r="P1609" s="29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  <c r="AJ1609" s="34"/>
      <c r="AK1609" s="30"/>
      <c r="AL1609" s="30"/>
      <c r="AM1609" s="30"/>
      <c r="AN1609" s="30"/>
      <c r="AO1609" s="30"/>
      <c r="AP1609" s="30"/>
      <c r="AQ1609" s="30"/>
      <c r="AR1609" s="30"/>
      <c r="AS1609" s="30"/>
      <c r="AT1609" s="30"/>
      <c r="AU1609" s="30"/>
    </row>
    <row r="1610" spans="10:47" ht="15" customHeight="1" x14ac:dyDescent="0.25">
      <c r="J1610" s="30"/>
      <c r="K1610" s="30"/>
      <c r="L1610" s="30"/>
      <c r="M1610" s="30"/>
      <c r="N1610" s="33"/>
      <c r="O1610" s="30"/>
      <c r="P1610" s="29"/>
      <c r="Q1610" s="29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  <c r="AJ1610" s="34"/>
      <c r="AK1610" s="30"/>
      <c r="AL1610" s="30"/>
      <c r="AM1610" s="30"/>
      <c r="AN1610" s="30"/>
      <c r="AO1610" s="30"/>
      <c r="AP1610" s="30"/>
      <c r="AQ1610" s="30"/>
      <c r="AR1610" s="30"/>
      <c r="AS1610" s="30"/>
      <c r="AT1610" s="30"/>
      <c r="AU1610" s="30"/>
    </row>
    <row r="1611" spans="10:47" ht="15" customHeight="1" x14ac:dyDescent="0.25">
      <c r="J1611" s="30"/>
      <c r="K1611" s="30"/>
      <c r="L1611" s="30"/>
      <c r="M1611" s="30"/>
      <c r="N1611" s="33"/>
      <c r="O1611" s="30"/>
      <c r="P1611" s="29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  <c r="AJ1611" s="34"/>
      <c r="AK1611" s="30"/>
      <c r="AL1611" s="30"/>
      <c r="AM1611" s="30"/>
      <c r="AN1611" s="30"/>
      <c r="AO1611" s="30"/>
      <c r="AP1611" s="30"/>
      <c r="AQ1611" s="30"/>
      <c r="AR1611" s="30"/>
      <c r="AS1611" s="30"/>
      <c r="AT1611" s="30"/>
      <c r="AU1611" s="30"/>
    </row>
    <row r="1612" spans="10:47" ht="15" customHeight="1" x14ac:dyDescent="0.25">
      <c r="J1612" s="30"/>
      <c r="K1612" s="30"/>
      <c r="L1612" s="30"/>
      <c r="M1612" s="30"/>
      <c r="N1612" s="33"/>
      <c r="O1612" s="30"/>
      <c r="P1612" s="29"/>
      <c r="Q1612" s="29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  <c r="AJ1612" s="34"/>
      <c r="AK1612" s="30"/>
      <c r="AL1612" s="30"/>
      <c r="AM1612" s="30"/>
      <c r="AN1612" s="30"/>
      <c r="AO1612" s="30"/>
      <c r="AP1612" s="30"/>
      <c r="AQ1612" s="30"/>
      <c r="AR1612" s="30"/>
      <c r="AS1612" s="30"/>
      <c r="AT1612" s="30"/>
      <c r="AU1612" s="30"/>
    </row>
    <row r="1613" spans="10:47" ht="15" customHeight="1" x14ac:dyDescent="0.25">
      <c r="J1613" s="30"/>
      <c r="K1613" s="30"/>
      <c r="L1613" s="30"/>
      <c r="M1613" s="30"/>
      <c r="N1613" s="33"/>
      <c r="O1613" s="30"/>
      <c r="P1613" s="29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  <c r="AJ1613" s="34"/>
      <c r="AK1613" s="30"/>
      <c r="AL1613" s="30"/>
      <c r="AM1613" s="30"/>
      <c r="AN1613" s="30"/>
      <c r="AO1613" s="30"/>
      <c r="AP1613" s="30"/>
      <c r="AQ1613" s="30"/>
      <c r="AR1613" s="30"/>
      <c r="AS1613" s="30"/>
      <c r="AT1613" s="30"/>
      <c r="AU1613" s="30"/>
    </row>
    <row r="1614" spans="10:47" ht="15" customHeight="1" x14ac:dyDescent="0.25">
      <c r="J1614" s="30"/>
      <c r="K1614" s="30"/>
      <c r="L1614" s="30"/>
      <c r="M1614" s="30"/>
      <c r="N1614" s="33"/>
      <c r="O1614" s="30"/>
      <c r="P1614" s="29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  <c r="AJ1614" s="34"/>
      <c r="AK1614" s="30"/>
      <c r="AL1614" s="30"/>
      <c r="AM1614" s="30"/>
      <c r="AN1614" s="30"/>
      <c r="AO1614" s="30"/>
      <c r="AP1614" s="30"/>
      <c r="AQ1614" s="30"/>
      <c r="AR1614" s="30"/>
      <c r="AS1614" s="30"/>
      <c r="AT1614" s="30"/>
      <c r="AU1614" s="30"/>
    </row>
    <row r="1615" spans="10:47" ht="15" customHeight="1" x14ac:dyDescent="0.25">
      <c r="J1615" s="30"/>
      <c r="K1615" s="30"/>
      <c r="L1615" s="30"/>
      <c r="M1615" s="30"/>
      <c r="N1615" s="30"/>
      <c r="O1615" s="30"/>
      <c r="P1615" s="29"/>
      <c r="Q1615" s="29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0"/>
      <c r="AJ1615" s="34"/>
      <c r="AK1615" s="30"/>
      <c r="AL1615" s="30"/>
      <c r="AM1615" s="30"/>
      <c r="AN1615" s="30"/>
      <c r="AO1615" s="30"/>
      <c r="AP1615" s="30"/>
      <c r="AQ1615" s="30"/>
      <c r="AR1615" s="30"/>
      <c r="AS1615" s="30"/>
      <c r="AT1615" s="30"/>
      <c r="AU1615" s="30"/>
    </row>
    <row r="1616" spans="10:47" ht="15" customHeight="1" x14ac:dyDescent="0.25">
      <c r="J1616" s="30"/>
      <c r="K1616" s="30"/>
      <c r="L1616" s="30"/>
      <c r="M1616" s="30"/>
      <c r="N1616" s="33"/>
      <c r="O1616" s="30"/>
      <c r="P1616" s="29"/>
      <c r="Q1616" s="29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0"/>
      <c r="AJ1616" s="34"/>
      <c r="AK1616" s="30"/>
      <c r="AL1616" s="30"/>
      <c r="AM1616" s="30"/>
      <c r="AN1616" s="30"/>
      <c r="AO1616" s="30"/>
      <c r="AP1616" s="30"/>
      <c r="AQ1616" s="30"/>
      <c r="AR1616" s="30"/>
      <c r="AS1616" s="30"/>
      <c r="AT1616" s="30"/>
      <c r="AU1616" s="30"/>
    </row>
    <row r="1617" spans="10:47" ht="15" customHeight="1" x14ac:dyDescent="0.25">
      <c r="J1617" s="30"/>
      <c r="K1617" s="30"/>
      <c r="L1617" s="30"/>
      <c r="M1617" s="30"/>
      <c r="N1617" s="33"/>
      <c r="O1617" s="30"/>
      <c r="P1617" s="29"/>
      <c r="Q1617" s="29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  <c r="AJ1617" s="34"/>
      <c r="AK1617" s="30"/>
      <c r="AL1617" s="30"/>
      <c r="AM1617" s="30"/>
      <c r="AN1617" s="30"/>
      <c r="AO1617" s="30"/>
      <c r="AP1617" s="30"/>
      <c r="AQ1617" s="30"/>
      <c r="AR1617" s="30"/>
      <c r="AS1617" s="30"/>
      <c r="AT1617" s="30"/>
      <c r="AU1617" s="30"/>
    </row>
    <row r="1618" spans="10:47" ht="15" customHeight="1" x14ac:dyDescent="0.25">
      <c r="J1618" s="30"/>
      <c r="K1618" s="30"/>
      <c r="L1618" s="30"/>
      <c r="M1618" s="30"/>
      <c r="N1618" s="33"/>
      <c r="O1618" s="30"/>
      <c r="P1618" s="29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  <c r="AJ1618" s="34"/>
      <c r="AK1618" s="30"/>
      <c r="AL1618" s="30"/>
      <c r="AM1618" s="30"/>
      <c r="AN1618" s="30"/>
      <c r="AO1618" s="30"/>
      <c r="AP1618" s="30"/>
      <c r="AQ1618" s="30"/>
      <c r="AR1618" s="30"/>
      <c r="AS1618" s="30"/>
      <c r="AT1618" s="30"/>
      <c r="AU1618" s="30"/>
    </row>
    <row r="1619" spans="10:47" ht="15" customHeight="1" x14ac:dyDescent="0.25">
      <c r="J1619" s="30"/>
      <c r="K1619" s="30"/>
      <c r="L1619" s="30"/>
      <c r="M1619" s="30"/>
      <c r="N1619" s="33"/>
      <c r="O1619" s="30"/>
      <c r="P1619" s="29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  <c r="AJ1619" s="34"/>
      <c r="AK1619" s="30"/>
      <c r="AL1619" s="30"/>
      <c r="AM1619" s="30"/>
      <c r="AN1619" s="30"/>
      <c r="AO1619" s="30"/>
      <c r="AP1619" s="30"/>
      <c r="AQ1619" s="30"/>
      <c r="AR1619" s="30"/>
      <c r="AS1619" s="30"/>
      <c r="AT1619" s="30"/>
      <c r="AU1619" s="30"/>
    </row>
    <row r="1620" spans="10:47" ht="15" customHeight="1" x14ac:dyDescent="0.25">
      <c r="J1620" s="30"/>
      <c r="K1620" s="30"/>
      <c r="L1620" s="30"/>
      <c r="M1620" s="30"/>
      <c r="N1620" s="33"/>
      <c r="O1620" s="30"/>
      <c r="P1620" s="29"/>
      <c r="Q1620" s="29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  <c r="AJ1620" s="34"/>
      <c r="AK1620" s="30"/>
      <c r="AL1620" s="30"/>
      <c r="AM1620" s="30"/>
      <c r="AN1620" s="30"/>
      <c r="AO1620" s="30"/>
      <c r="AP1620" s="30"/>
      <c r="AQ1620" s="30"/>
      <c r="AR1620" s="30"/>
      <c r="AS1620" s="30"/>
      <c r="AT1620" s="30"/>
      <c r="AU1620" s="30"/>
    </row>
    <row r="1621" spans="10:47" ht="15" customHeight="1" x14ac:dyDescent="0.25">
      <c r="J1621" s="30"/>
      <c r="K1621" s="30"/>
      <c r="L1621" s="30"/>
      <c r="M1621" s="30"/>
      <c r="N1621" s="33"/>
      <c r="O1621" s="30"/>
      <c r="P1621" s="29"/>
      <c r="Q1621" s="29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0"/>
      <c r="AJ1621" s="34"/>
      <c r="AK1621" s="30"/>
      <c r="AL1621" s="30"/>
      <c r="AM1621" s="30"/>
      <c r="AN1621" s="30"/>
      <c r="AO1621" s="30"/>
      <c r="AP1621" s="30"/>
      <c r="AQ1621" s="30"/>
      <c r="AR1621" s="30"/>
      <c r="AS1621" s="30"/>
      <c r="AT1621" s="30"/>
      <c r="AU1621" s="30"/>
    </row>
    <row r="1622" spans="10:47" ht="15" customHeight="1" x14ac:dyDescent="0.25">
      <c r="J1622" s="30"/>
      <c r="K1622" s="30"/>
      <c r="L1622" s="30"/>
      <c r="M1622" s="30"/>
      <c r="N1622" s="33"/>
      <c r="O1622" s="30"/>
      <c r="P1622" s="29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0"/>
      <c r="AJ1622" s="34"/>
      <c r="AK1622" s="30"/>
      <c r="AL1622" s="30"/>
      <c r="AM1622" s="30"/>
      <c r="AN1622" s="30"/>
      <c r="AO1622" s="30"/>
      <c r="AP1622" s="30"/>
      <c r="AQ1622" s="30"/>
      <c r="AR1622" s="30"/>
      <c r="AS1622" s="30"/>
      <c r="AT1622" s="30"/>
      <c r="AU1622" s="30"/>
    </row>
    <row r="1623" spans="10:47" ht="15" customHeight="1" x14ac:dyDescent="0.25">
      <c r="J1623" s="30"/>
      <c r="K1623" s="30"/>
      <c r="L1623" s="30"/>
      <c r="M1623" s="30"/>
      <c r="N1623" s="33"/>
      <c r="O1623" s="30"/>
      <c r="P1623" s="29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  <c r="AJ1623" s="34"/>
      <c r="AK1623" s="30"/>
      <c r="AL1623" s="30"/>
      <c r="AM1623" s="30"/>
      <c r="AN1623" s="30"/>
      <c r="AO1623" s="30"/>
      <c r="AP1623" s="30"/>
      <c r="AQ1623" s="30"/>
      <c r="AR1623" s="30"/>
      <c r="AS1623" s="30"/>
      <c r="AT1623" s="30"/>
      <c r="AU1623" s="30"/>
    </row>
    <row r="1624" spans="10:47" ht="15" customHeight="1" x14ac:dyDescent="0.25">
      <c r="J1624" s="30"/>
      <c r="K1624" s="30"/>
      <c r="L1624" s="30"/>
      <c r="M1624" s="30"/>
      <c r="N1624" s="33"/>
      <c r="O1624" s="30"/>
      <c r="P1624" s="29"/>
      <c r="Q1624" s="29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  <c r="AJ1624" s="34"/>
      <c r="AK1624" s="30"/>
      <c r="AL1624" s="30"/>
      <c r="AM1624" s="30"/>
      <c r="AN1624" s="30"/>
      <c r="AO1624" s="30"/>
      <c r="AP1624" s="30"/>
      <c r="AQ1624" s="30"/>
      <c r="AR1624" s="30"/>
      <c r="AS1624" s="30"/>
      <c r="AT1624" s="30"/>
      <c r="AU1624" s="30"/>
    </row>
    <row r="1625" spans="10:47" ht="15" customHeight="1" x14ac:dyDescent="0.25">
      <c r="J1625" s="30"/>
      <c r="K1625" s="30"/>
      <c r="L1625" s="30"/>
      <c r="M1625" s="30"/>
      <c r="N1625" s="30"/>
      <c r="O1625" s="30"/>
      <c r="P1625" s="29"/>
      <c r="Q1625" s="29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  <c r="AJ1625" s="34"/>
      <c r="AK1625" s="30"/>
      <c r="AL1625" s="30"/>
      <c r="AM1625" s="30"/>
      <c r="AN1625" s="30"/>
      <c r="AO1625" s="30"/>
      <c r="AP1625" s="30"/>
      <c r="AQ1625" s="30"/>
      <c r="AR1625" s="30"/>
      <c r="AS1625" s="30"/>
      <c r="AT1625" s="30"/>
      <c r="AU1625" s="30"/>
    </row>
    <row r="1626" spans="10:47" ht="15" customHeight="1" x14ac:dyDescent="0.25">
      <c r="J1626" s="30"/>
      <c r="K1626" s="30"/>
      <c r="L1626" s="30"/>
      <c r="M1626" s="30"/>
      <c r="N1626" s="33"/>
      <c r="O1626" s="30"/>
      <c r="P1626" s="29"/>
      <c r="Q1626" s="29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c r="AJ1626" s="34"/>
      <c r="AK1626" s="30"/>
      <c r="AL1626" s="30"/>
      <c r="AM1626" s="30"/>
      <c r="AN1626" s="30"/>
      <c r="AO1626" s="30"/>
      <c r="AP1626" s="30"/>
      <c r="AQ1626" s="30"/>
      <c r="AR1626" s="30"/>
      <c r="AS1626" s="30"/>
      <c r="AT1626" s="30"/>
      <c r="AU1626" s="30"/>
    </row>
    <row r="1627" spans="10:47" ht="15" customHeight="1" x14ac:dyDescent="0.25">
      <c r="J1627" s="30"/>
      <c r="K1627" s="30"/>
      <c r="L1627" s="30"/>
      <c r="M1627" s="30"/>
      <c r="N1627" s="33"/>
      <c r="O1627" s="30"/>
      <c r="P1627" s="29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4"/>
      <c r="AK1627" s="30"/>
      <c r="AL1627" s="30"/>
      <c r="AM1627" s="30"/>
      <c r="AN1627" s="30"/>
      <c r="AO1627" s="30"/>
      <c r="AP1627" s="30"/>
      <c r="AQ1627" s="30"/>
      <c r="AR1627" s="30"/>
      <c r="AS1627" s="30"/>
      <c r="AT1627" s="30"/>
      <c r="AU1627" s="30"/>
    </row>
    <row r="1628" spans="10:47" ht="15" customHeight="1" x14ac:dyDescent="0.25">
      <c r="J1628" s="30"/>
      <c r="K1628" s="30"/>
      <c r="L1628" s="30"/>
      <c r="M1628" s="30"/>
      <c r="N1628" s="33"/>
      <c r="O1628" s="30"/>
      <c r="P1628" s="29"/>
      <c r="Q1628" s="29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  <c r="AJ1628" s="34"/>
      <c r="AK1628" s="30"/>
      <c r="AL1628" s="30"/>
      <c r="AM1628" s="30"/>
      <c r="AN1628" s="30"/>
      <c r="AO1628" s="30"/>
      <c r="AP1628" s="30"/>
      <c r="AQ1628" s="30"/>
      <c r="AR1628" s="30"/>
      <c r="AS1628" s="30"/>
      <c r="AT1628" s="30"/>
      <c r="AU1628" s="30"/>
    </row>
    <row r="1629" spans="10:47" ht="15" customHeight="1" x14ac:dyDescent="0.25">
      <c r="J1629" s="30"/>
      <c r="K1629" s="30"/>
      <c r="L1629" s="30"/>
      <c r="M1629" s="30"/>
      <c r="N1629" s="33"/>
      <c r="O1629" s="30"/>
      <c r="P1629" s="29"/>
      <c r="Q1629" s="29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  <c r="AJ1629" s="34"/>
      <c r="AK1629" s="30"/>
      <c r="AL1629" s="30"/>
      <c r="AM1629" s="30"/>
      <c r="AN1629" s="30"/>
      <c r="AO1629" s="30"/>
      <c r="AP1629" s="30"/>
      <c r="AQ1629" s="30"/>
      <c r="AR1629" s="30"/>
      <c r="AS1629" s="30"/>
      <c r="AT1629" s="30"/>
      <c r="AU1629" s="30"/>
    </row>
    <row r="1630" spans="10:47" ht="15" customHeight="1" x14ac:dyDescent="0.25">
      <c r="J1630" s="30"/>
      <c r="K1630" s="30"/>
      <c r="L1630" s="30"/>
      <c r="M1630" s="30"/>
      <c r="N1630" s="33"/>
      <c r="O1630" s="30"/>
      <c r="P1630" s="29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  <c r="AJ1630" s="34"/>
      <c r="AK1630" s="30"/>
      <c r="AL1630" s="30"/>
      <c r="AM1630" s="30"/>
      <c r="AN1630" s="30"/>
      <c r="AO1630" s="30"/>
      <c r="AP1630" s="30"/>
      <c r="AQ1630" s="30"/>
      <c r="AR1630" s="30"/>
      <c r="AS1630" s="30"/>
      <c r="AT1630" s="30"/>
      <c r="AU1630" s="30"/>
    </row>
    <row r="1631" spans="10:47" ht="15" customHeight="1" x14ac:dyDescent="0.25">
      <c r="J1631" s="30"/>
      <c r="K1631" s="30"/>
      <c r="L1631" s="30"/>
      <c r="M1631" s="30"/>
      <c r="N1631" s="30"/>
      <c r="O1631" s="30"/>
      <c r="P1631" s="29"/>
      <c r="Q1631" s="29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  <c r="AJ1631" s="34"/>
      <c r="AK1631" s="30"/>
      <c r="AL1631" s="30"/>
      <c r="AM1631" s="30"/>
      <c r="AN1631" s="30"/>
      <c r="AO1631" s="30"/>
      <c r="AP1631" s="30"/>
      <c r="AQ1631" s="30"/>
      <c r="AR1631" s="30"/>
      <c r="AS1631" s="30"/>
      <c r="AT1631" s="30"/>
      <c r="AU1631" s="30"/>
    </row>
    <row r="1632" spans="10:47" ht="15" customHeight="1" x14ac:dyDescent="0.25">
      <c r="J1632" s="30"/>
      <c r="K1632" s="30"/>
      <c r="L1632" s="30"/>
      <c r="M1632" s="30"/>
      <c r="N1632" s="30"/>
      <c r="O1632" s="30"/>
      <c r="P1632" s="29"/>
      <c r="Q1632" s="29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  <c r="AJ1632" s="34"/>
      <c r="AK1632" s="30"/>
      <c r="AL1632" s="30"/>
      <c r="AM1632" s="30"/>
      <c r="AN1632" s="30"/>
      <c r="AO1632" s="30"/>
      <c r="AP1632" s="30"/>
      <c r="AQ1632" s="30"/>
      <c r="AR1632" s="30"/>
      <c r="AS1632" s="30"/>
      <c r="AT1632" s="30"/>
      <c r="AU1632" s="30"/>
    </row>
    <row r="1633" spans="10:47" ht="15" customHeight="1" x14ac:dyDescent="0.25">
      <c r="J1633" s="30"/>
      <c r="K1633" s="30"/>
      <c r="L1633" s="30"/>
      <c r="M1633" s="30"/>
      <c r="N1633" s="30"/>
      <c r="O1633" s="30"/>
      <c r="P1633" s="29"/>
      <c r="Q1633" s="29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  <c r="AJ1633" s="34"/>
      <c r="AK1633" s="30"/>
      <c r="AL1633" s="30"/>
      <c r="AM1633" s="30"/>
      <c r="AN1633" s="30"/>
      <c r="AO1633" s="30"/>
      <c r="AP1633" s="30"/>
      <c r="AQ1633" s="30"/>
      <c r="AR1633" s="30"/>
      <c r="AS1633" s="30"/>
      <c r="AT1633" s="30"/>
      <c r="AU1633" s="30"/>
    </row>
    <row r="1634" spans="10:47" ht="15" customHeight="1" x14ac:dyDescent="0.25">
      <c r="J1634" s="30"/>
      <c r="K1634" s="30"/>
      <c r="L1634" s="30"/>
      <c r="M1634" s="30"/>
      <c r="N1634" s="33"/>
      <c r="O1634" s="30"/>
      <c r="P1634" s="29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  <c r="AJ1634" s="34"/>
      <c r="AK1634" s="30"/>
      <c r="AL1634" s="30"/>
      <c r="AM1634" s="30"/>
      <c r="AN1634" s="30"/>
      <c r="AO1634" s="30"/>
      <c r="AP1634" s="30"/>
      <c r="AQ1634" s="30"/>
      <c r="AR1634" s="30"/>
      <c r="AS1634" s="30"/>
      <c r="AT1634" s="30"/>
      <c r="AU1634" s="30"/>
    </row>
    <row r="1635" spans="10:47" ht="15" customHeight="1" x14ac:dyDescent="0.25">
      <c r="J1635" s="30"/>
      <c r="K1635" s="30"/>
      <c r="L1635" s="30"/>
      <c r="M1635" s="30"/>
      <c r="N1635" s="33"/>
      <c r="O1635" s="30"/>
      <c r="P1635" s="29"/>
      <c r="Q1635" s="29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  <c r="AJ1635" s="34"/>
      <c r="AK1635" s="30"/>
      <c r="AL1635" s="30"/>
      <c r="AM1635" s="30"/>
      <c r="AN1635" s="30"/>
      <c r="AO1635" s="30"/>
      <c r="AP1635" s="30"/>
      <c r="AQ1635" s="30"/>
      <c r="AR1635" s="30"/>
      <c r="AS1635" s="30"/>
      <c r="AT1635" s="30"/>
      <c r="AU1635" s="30"/>
    </row>
    <row r="1636" spans="10:47" ht="15" customHeight="1" x14ac:dyDescent="0.25">
      <c r="J1636" s="30"/>
      <c r="K1636" s="30"/>
      <c r="L1636" s="30"/>
      <c r="M1636" s="30"/>
      <c r="N1636" s="33"/>
      <c r="O1636" s="30"/>
      <c r="P1636" s="29"/>
      <c r="Q1636" s="29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  <c r="AJ1636" s="34"/>
      <c r="AK1636" s="30"/>
      <c r="AL1636" s="30"/>
      <c r="AM1636" s="30"/>
      <c r="AN1636" s="30"/>
      <c r="AO1636" s="30"/>
      <c r="AP1636" s="30"/>
      <c r="AQ1636" s="30"/>
      <c r="AR1636" s="30"/>
      <c r="AS1636" s="30"/>
      <c r="AT1636" s="30"/>
      <c r="AU1636" s="30"/>
    </row>
    <row r="1637" spans="10:47" ht="15" customHeight="1" x14ac:dyDescent="0.25">
      <c r="J1637" s="30"/>
      <c r="K1637" s="30"/>
      <c r="L1637" s="30"/>
      <c r="M1637" s="30"/>
      <c r="N1637" s="33"/>
      <c r="O1637" s="30"/>
      <c r="P1637" s="29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  <c r="AJ1637" s="34"/>
      <c r="AK1637" s="30"/>
      <c r="AL1637" s="30"/>
      <c r="AM1637" s="30"/>
      <c r="AN1637" s="30"/>
      <c r="AO1637" s="30"/>
      <c r="AP1637" s="30"/>
      <c r="AQ1637" s="30"/>
      <c r="AR1637" s="30"/>
      <c r="AS1637" s="30"/>
      <c r="AT1637" s="30"/>
      <c r="AU1637" s="30"/>
    </row>
    <row r="1638" spans="10:47" ht="15" customHeight="1" x14ac:dyDescent="0.25">
      <c r="J1638" s="30"/>
      <c r="K1638" s="30"/>
      <c r="L1638" s="30"/>
      <c r="M1638" s="30"/>
      <c r="N1638" s="33"/>
      <c r="O1638" s="30"/>
      <c r="P1638" s="29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  <c r="AJ1638" s="34"/>
      <c r="AK1638" s="30"/>
      <c r="AL1638" s="30"/>
      <c r="AM1638" s="30"/>
      <c r="AN1638" s="30"/>
      <c r="AO1638" s="30"/>
      <c r="AP1638" s="30"/>
      <c r="AQ1638" s="30"/>
      <c r="AR1638" s="30"/>
      <c r="AS1638" s="30"/>
      <c r="AT1638" s="30"/>
      <c r="AU1638" s="30"/>
    </row>
    <row r="1639" spans="10:47" ht="15" customHeight="1" x14ac:dyDescent="0.25">
      <c r="J1639" s="30"/>
      <c r="K1639" s="30"/>
      <c r="L1639" s="30"/>
      <c r="M1639" s="30"/>
      <c r="N1639" s="33"/>
      <c r="O1639" s="30"/>
      <c r="P1639" s="29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  <c r="AJ1639" s="34"/>
      <c r="AK1639" s="30"/>
      <c r="AL1639" s="30"/>
      <c r="AM1639" s="30"/>
      <c r="AN1639" s="30"/>
      <c r="AO1639" s="30"/>
      <c r="AP1639" s="30"/>
      <c r="AQ1639" s="30"/>
      <c r="AR1639" s="30"/>
      <c r="AS1639" s="30"/>
      <c r="AT1639" s="30"/>
      <c r="AU1639" s="30"/>
    </row>
    <row r="1640" spans="10:47" ht="15" customHeight="1" x14ac:dyDescent="0.25">
      <c r="J1640" s="30"/>
      <c r="K1640" s="30"/>
      <c r="L1640" s="30"/>
      <c r="M1640" s="30"/>
      <c r="N1640" s="33"/>
      <c r="O1640" s="30"/>
      <c r="P1640" s="29"/>
      <c r="Q1640" s="29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  <c r="AJ1640" s="34"/>
      <c r="AK1640" s="30"/>
      <c r="AL1640" s="30"/>
      <c r="AM1640" s="30"/>
      <c r="AN1640" s="30"/>
      <c r="AO1640" s="30"/>
      <c r="AP1640" s="30"/>
      <c r="AQ1640" s="30"/>
      <c r="AR1640" s="30"/>
      <c r="AS1640" s="30"/>
      <c r="AT1640" s="30"/>
      <c r="AU1640" s="30"/>
    </row>
    <row r="1641" spans="10:47" ht="15" customHeight="1" x14ac:dyDescent="0.25">
      <c r="J1641" s="30"/>
      <c r="K1641" s="30"/>
      <c r="L1641" s="30"/>
      <c r="M1641" s="30"/>
      <c r="N1641" s="33"/>
      <c r="O1641" s="30"/>
      <c r="P1641" s="29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  <c r="AJ1641" s="34"/>
      <c r="AK1641" s="30"/>
      <c r="AL1641" s="30"/>
      <c r="AM1641" s="30"/>
      <c r="AN1641" s="30"/>
      <c r="AO1641" s="30"/>
      <c r="AP1641" s="30"/>
      <c r="AQ1641" s="30"/>
      <c r="AR1641" s="30"/>
      <c r="AS1641" s="30"/>
      <c r="AT1641" s="30"/>
      <c r="AU1641" s="30"/>
    </row>
  </sheetData>
  <autoFilter ref="A1:AZ1440" xr:uid="{38B5175C-2F99-4021-A66E-F5B096DDE049}"/>
  <pageMargins left="0" right="0" top="0" bottom="0" header="0" footer="0"/>
  <pageSetup paperSize="9" firstPageNumber="0" fitToWidth="0" fitToHeight="0" orientation="landscape" useFirstPageNumber="1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FOLHA_DP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Gonçalves</dc:creator>
  <cp:lastModifiedBy>Matheus Gonçalves</cp:lastModifiedBy>
  <dcterms:created xsi:type="dcterms:W3CDTF">2026-01-14T16:45:18Z</dcterms:created>
  <dcterms:modified xsi:type="dcterms:W3CDTF">2026-01-14T16:45:32Z</dcterms:modified>
</cp:coreProperties>
</file>